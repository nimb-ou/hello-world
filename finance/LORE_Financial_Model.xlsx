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Pricing &amp; Mix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Subscription Cohorts" sheetId="6" state="visible" r:id="rId6"/>
    <sheet xmlns:r="http://schemas.openxmlformats.org/officeDocument/2006/relationships" name="Revenue Build" sheetId="7" state="visible" r:id="rId7"/>
    <sheet xmlns:r="http://schemas.openxmlformats.org/officeDocument/2006/relationships" name="Hardware COGS" sheetId="8" state="visible" r:id="rId8"/>
    <sheet xmlns:r="http://schemas.openxmlformats.org/officeDocument/2006/relationships" name="Cloud &amp; AI COGS" sheetId="9" state="visible" r:id="rId9"/>
    <sheet xmlns:r="http://schemas.openxmlformats.org/officeDocument/2006/relationships" name="Headcount" sheetId="10" state="visible" r:id="rId10"/>
    <sheet xmlns:r="http://schemas.openxmlformats.org/officeDocument/2006/relationships" name="Headcount Plan" sheetId="11" state="visible" r:id="rId11"/>
    <sheet xmlns:r="http://schemas.openxmlformats.org/officeDocument/2006/relationships" name="OpEx" sheetId="12" state="visible" r:id="rId12"/>
    <sheet xmlns:r="http://schemas.openxmlformats.org/officeDocument/2006/relationships" name="Working Capital" sheetId="13" state="visible" r:id="rId13"/>
    <sheet xmlns:r="http://schemas.openxmlformats.org/officeDocument/2006/relationships" name="P&amp;L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Balance Sheet" sheetId="16" state="visible" r:id="rId16"/>
    <sheet xmlns:r="http://schemas.openxmlformats.org/officeDocument/2006/relationships" name="Funding &amp; Runway" sheetId="17" state="visible" r:id="rId17"/>
    <sheet xmlns:r="http://schemas.openxmlformats.org/officeDocument/2006/relationships" name="Runway" sheetId="18" state="visible" r:id="rId18"/>
    <sheet xmlns:r="http://schemas.openxmlformats.org/officeDocument/2006/relationships" name="Cap Table" sheetId="19" state="visible" r:id="rId19"/>
    <sheet xmlns:r="http://schemas.openxmlformats.org/officeDocument/2006/relationships" name="Timeline" sheetId="20" state="visible" r:id="rId20"/>
  </sheets>
  <definedNames>
    <definedName name="Scenario">Scenarios!$C$3</definedName>
    <definedName name="sc_vol">Scenarios!$F$6</definedName>
    <definedName name="sc_price">Scenarios!$F$7</definedName>
    <definedName name="sc_attach">Scenarios!$F$8</definedName>
    <definedName name="sc_churn">Scenarios!$F$9</definedName>
    <definedName name="sc_cogs">Scenarios!$F$10</definedName>
    <definedName name="sc_cac">Scenarios!$F$11</definedName>
    <definedName name="opening_cash">Assumptions!$C$6</definedName>
    <definedName name="interest_rate">Assumptions!$C$7</definedName>
    <definedName name="tax_rate">Assumptions!$C$8</definedName>
    <definedName name="burden">Assumptions!$C$9</definedName>
    <definedName name="salary_infl">Assumptions!$C$10</definedName>
    <definedName name="msrp_peb">Assumptions!$C$13</definedName>
    <definedName name="msrp_sq">Assumptions!$C$14</definedName>
    <definedName name="msrp_atl">Assumptions!$C$15</definedName>
    <definedName name="ks_peb">Assumptions!$C$16</definedName>
    <definedName name="ks_sq">Assumptions!$C$17</definedName>
    <definedName name="pre_peb">Assumptions!$C$18</definedName>
    <definedName name="pre_sq">Assumptions!$C$19</definedName>
    <definedName name="dtc_disc">Assumptions!$C$20</definedName>
    <definedName name="retail_margin">Assumptions!$C$21</definedName>
    <definedName name="returns_pct">Assumptions!$C$22</definedName>
    <definedName name="bom_peb">Assumptions!$C$25</definedName>
    <definedName name="asm_peb">Assumptions!$C$26</definedName>
    <definedName name="pkg_peb">Assumptions!$C$27</definedName>
    <definedName name="bom_sq">Assumptions!$C$28</definedName>
    <definedName name="asm_sq">Assumptions!$C$29</definedName>
    <definedName name="pkg_sq">Assumptions!$C$30</definedName>
    <definedName name="bom_atl">Assumptions!$C$31</definedName>
    <definedName name="asm_atl">Assumptions!$C$32</definedName>
    <definedName name="pkg_atl">Assumptions!$C$33</definedName>
    <definedName name="freight_duty">Assumptions!$C$34</definedName>
    <definedName name="warranty_pct">Assumptions!$C$35</definedName>
    <definedName name="dtc_ship">Assumptions!$C$36</definedName>
    <definedName name="retail_dist">Assumptions!$C$37</definedName>
    <definedName name="ks_fulfil_net">Assumptions!$C$38</definedName>
    <definedName name="pay_pct">Assumptions!$C$39</definedName>
    <definedName name="pay_fixed">Assumptions!$C$40</definedName>
    <definedName name="ks_units">Assumptions!$C$43</definedName>
    <definedName name="pre_units">Assumptions!$C$44</definedName>
    <definedName name="pre_mix_peb">Assumptions!$C$45</definedName>
    <definedName name="ks_fee">Assumptions!$C$46</definedName>
    <definedName name="ks_proc">Assumptions!$C$47</definedName>
    <definedName name="ks_proc_fixed">Assumptions!$C$48</definedName>
    <definedName name="units_per_pledge">Assumptions!$C$49</definedName>
    <definedName name="sub_price">Assumptions!$C$52</definedName>
    <definedName name="arpu_real">Assumptions!$C$53</definedName>
    <definedName name="trial_months">Assumptions!$C$54</definedName>
    <definedName name="attach_peb">Assumptions!$C$55</definedName>
    <definedName name="attach_sq">Assumptions!$C$56</definedName>
    <definedName name="attach_atl">Assumptions!$C$57</definedName>
    <definedName name="churn">Assumptions!$C$58</definedName>
    <definedName name="trip_price">Assumptions!$C$59</definedName>
    <definedName name="trip_rate">Assumptions!$C$60</definedName>
    <definedName name="device_inactive">Assumptions!$C$61</definedName>
    <definedName name="acc_attach">Assumptions!$C$64</definedName>
    <definedName name="acc_aov">Assumptions!$C$65</definedName>
    <definedName name="acc_cogs_pct">Assumptions!$C$66</definedName>
    <definedName name="fleet_fee">Assumptions!$C$67</definedName>
    <definedName name="fleet_unit_cost">Assumptions!$C$68</definedName>
    <definedName name="fleet_cloud">Assumptions!$C$69</definedName>
    <definedName name="fleet_replace">Assumptions!$C$70</definedName>
    <definedName name="llm_cost">Assumptions!$C$73</definedName>
    <definedName name="stt_cost">Assumptions!$C$74</definedName>
    <definedName name="tts_cost">Assumptions!$C$75</definedName>
    <definedName name="infra_cost">Assumptions!$C$76</definedName>
    <definedName name="data_gb_used">Assumptions!$C$77</definedName>
    <definedName name="data_cost_gb">Assumptions!$C$78</definedName>
    <definedName name="sub_pay_fee">Assumptions!$C$79</definedName>
    <definedName name="free_cost">Assumptions!$C$80</definedName>
    <definedName name="trip_data_gb">Assumptions!$C$81</definedName>
    <definedName name="trip_ai">Assumptions!$C$82</definedName>
    <definedName name="ai_defl">Assumptions!$C$83</definedName>
    <definedName name="data_defl">Assumptions!$C$84</definedName>
    <definedName name="odm_dep">Assumptions!$C$87</definedName>
    <definedName name="dep_lead">Assumptions!$C$88</definedName>
    <definedName name="bal_lead">Assumptions!$C$89</definedName>
    <definedName name="inv_days">Assumptions!$C$90</definedName>
    <definedName name="ar_days">Assumptions!$C$91</definedName>
    <definedName name="retail_coop">Assumptions!$C$94</definedName>
    <definedName name="FirstYear">Assumptions!$C$2</definedName>
    <definedName name="ct_founder">'Cap Table'!$B$3</definedName>
    <definedName name="ct_pool0">'Cap Table'!$B$4</definedName>
    <definedName name="ct_pool_seed">'Cap Table'!$B$5</definedName>
    <definedName name="ct_pool_A">'Cap Table'!$B$6</definedName>
    <definedName name="ct_pool_B">'Cap Table'!$B$7</definedName>
    <definedName name="ct_safe_pct">'Cap Table'!$B$11</definedName>
    <definedName name="ct_cap_safe">'Cap Table'!$B$12</definedName>
    <definedName name="ct_safe_sh">'Cap Table'!$B$13</definedName>
    <definedName name="ct_seed_pct">'Cap Table'!$B$14</definedName>
    <definedName name="ct_post_seed">'Cap Table'!$B$15</definedName>
    <definedName name="ct_seed_sh">'Cap Table'!$B$16</definedName>
    <definedName name="ct_pool_add_seed">'Cap Table'!$B$17</definedName>
    <definedName name="ct_seed_px">'Cap Table'!$B$18</definedName>
    <definedName name="ct_safe_px">'Cap Table'!$B$19</definedName>
    <definedName name="ct_A_pct">'Cap Table'!$B$20</definedName>
    <definedName name="ct_post_A">'Cap Table'!$B$21</definedName>
    <definedName name="ct_A_sh">'Cap Table'!$B$22</definedName>
    <definedName name="ct_pool_add_A">'Cap Table'!$B$23</definedName>
    <definedName name="ct_A_px">'Cap Table'!$B$24</definedName>
    <definedName name="ct_B_pct">'Cap Table'!$B$25</definedName>
    <definedName name="ct_post_B">'Cap Table'!$B$26</definedName>
    <definedName name="ct_B_sh">'Cap Table'!$B$27</definedName>
    <definedName name="ct_pool_add_B">'Cap Table'!$B$28</definedName>
    <definedName name="ct_B_px">'Cap Table'!$B$29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0.0%"/>
    <numFmt numFmtId="166" formatCode="#,##0;[Red](#,##0);&quot;-&quot;"/>
    <numFmt numFmtId="167" formatCode="0.0%;[Red]-0.0%;&quot;-&quot;"/>
    <numFmt numFmtId="168" formatCode="#,##0.00;[Red](#,##0.00);&quot;-&quot;"/>
    <numFmt numFmtId="169" formatCode="#,##0.0;[Red](#,##0.0);&quot;-&quot;"/>
    <numFmt numFmtId="170" formatCode="$0.0000"/>
    <numFmt numFmtId="171" formatCode="0.00&quot;x&quot;"/>
    <numFmt numFmtId="172" formatCode="+0%;-0%;0%"/>
    <numFmt numFmtId="173" formatCode="$#,##0"/>
  </numFmts>
  <fonts count="9">
    <font>
      <name val="Calibri"/>
      <family val="2"/>
      <color theme="1"/>
      <sz val="11"/>
      <scheme val="minor"/>
    </font>
    <font>
      <name val="Inter"/>
      <b val="1"/>
      <color rgb="0014161A"/>
      <sz val="14"/>
    </font>
    <font>
      <name val="Inter"/>
      <b val="1"/>
    </font>
    <font>
      <name val="Inter"/>
      <b val="1"/>
      <color rgb="000000FF"/>
      <sz val="14"/>
    </font>
    <font>
      <name val="Inter"/>
      <b val="1"/>
      <color rgb="00F3EEE6"/>
    </font>
    <font>
      <name val="Inter"/>
      <i val="1"/>
      <color rgb="005E6B4E"/>
      <sz val="9"/>
    </font>
    <font>
      <name val="Inter"/>
      <color rgb="000000FF"/>
    </font>
    <font>
      <name val="Inter"/>
    </font>
    <font>
      <name val="Fraunces"/>
      <b val="1"/>
      <color rgb="00C4623A"/>
      <sz val="20"/>
    </font>
  </fonts>
  <fills count="6">
    <fill>
      <patternFill/>
    </fill>
    <fill>
      <patternFill patternType="gray125"/>
    </fill>
    <fill>
      <patternFill patternType="solid">
        <fgColor rgb="00FFF7E0"/>
      </patternFill>
    </fill>
    <fill>
      <patternFill patternType="solid">
        <fgColor rgb="0014161A"/>
      </patternFill>
    </fill>
    <fill>
      <patternFill patternType="solid">
        <fgColor rgb="00F3EEE6"/>
      </patternFill>
    </fill>
    <fill>
      <patternFill patternType="solid">
        <fgColor rgb="00C4623A"/>
      </patternFill>
    </fill>
  </fills>
  <borders count="2">
    <border>
      <left/>
      <right/>
      <top/>
      <bottom/>
      <diagonal/>
    </border>
    <border>
      <top style="thin">
        <color rgb="009AA0A6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4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0" borderId="0" pivotButton="0" quotePrefix="0" xfId="0"/>
    <xf numFmtId="166" fontId="2" fillId="0" borderId="0" pivotButton="0" quotePrefix="0" xfId="0"/>
    <xf numFmtId="0" fontId="2" fillId="4" borderId="0" pivotButton="0" quotePrefix="0" xfId="0"/>
    <xf numFmtId="0" fontId="0" fillId="4" borderId="0" pivotButton="0" quotePrefix="0" xfId="0"/>
    <xf numFmtId="3" fontId="6" fillId="2" borderId="0" pivotButton="0" quotePrefix="0" xfId="0"/>
    <xf numFmtId="165" fontId="6" fillId="2" borderId="0" pivotButton="0" quotePrefix="0" xfId="0"/>
    <xf numFmtId="4" fontId="6" fillId="2" borderId="0" pivotButton="0" quotePrefix="0" xfId="0"/>
    <xf numFmtId="0" fontId="2" fillId="0" borderId="0" pivotButton="0" quotePrefix="0" xfId="0"/>
    <xf numFmtId="166" fontId="6" fillId="2" borderId="0" pivotButton="0" quotePrefix="0" xfId="0"/>
    <xf numFmtId="167" fontId="6" fillId="2" borderId="0" pivotButton="0" quotePrefix="0" xfId="0"/>
    <xf numFmtId="2" fontId="6" fillId="2" borderId="0" pivotButton="0" quotePrefix="0" xfId="0"/>
    <xf numFmtId="168" fontId="6" fillId="2" borderId="0" pivotButton="0" quotePrefix="0" xfId="0"/>
    <xf numFmtId="0" fontId="3" fillId="2" borderId="0" pivotButton="0" quotePrefix="0" xfId="0"/>
    <xf numFmtId="2" fontId="2" fillId="0" borderId="0" pivotButton="0" quotePrefix="0" xfId="0"/>
    <xf numFmtId="0" fontId="4" fillId="3" borderId="0" applyAlignment="1" pivotButton="0" quotePrefix="0" xfId="0">
      <alignment horizontal="center"/>
    </xf>
    <xf numFmtId="0" fontId="4" fillId="5" borderId="0" pivotButton="0" quotePrefix="0" xfId="0"/>
    <xf numFmtId="17" fontId="0" fillId="0" borderId="0" pivotButton="0" quotePrefix="0" xfId="0"/>
    <xf numFmtId="168" fontId="0" fillId="0" borderId="0" pivotButton="0" quotePrefix="0" xfId="0"/>
    <xf numFmtId="166" fontId="2" fillId="0" borderId="1" pivotButton="0" quotePrefix="0" xfId="0"/>
    <xf numFmtId="0" fontId="7" fillId="0" borderId="0" pivotButton="0" quotePrefix="0" xfId="0"/>
    <xf numFmtId="168" fontId="2" fillId="0" borderId="1" pivotButton="0" quotePrefix="0" xfId="0"/>
    <xf numFmtId="169" fontId="0" fillId="0" borderId="0" pivotButton="0" quotePrefix="0" xfId="0"/>
    <xf numFmtId="171" fontId="0" fillId="0" borderId="0" pivotButton="0" quotePrefix="0" xfId="0"/>
    <xf numFmtId="172" fontId="6" fillId="2" borderId="0" pivotButton="0" quotePrefix="0" xfId="0"/>
    <xf numFmtId="173" fontId="6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6" fillId="2" borderId="0" pivotButton="0" quotePrefix="0" xfId="0"/>
    <xf numFmtId="1" fontId="6" fillId="2" borderId="0" pivotButton="0" quotePrefix="0" xfId="0"/>
    <xf numFmtId="17" fontId="6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stream (FY)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'Dashboard'!$B$4:$G$4</f>
            </numRef>
          </cat>
          <val>
            <numRef>
              <f>'Dashboard'!$B$7:$G$7</f>
            </numRef>
          </val>
        </ser>
        <ser>
          <idx val="1"/>
          <order val="1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'Dashboard'!$B$4:$G$4</f>
            </numRef>
          </cat>
          <val>
            <numRef>
              <f>'Dashboard'!$B$8:$G$8</f>
            </numRef>
          </val>
        </ser>
        <ser>
          <idx val="2"/>
          <order val="2"/>
          <tx>
            <strRef>
              <f>'Dashboard'!A9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'Dashboard'!$B$4:$G$4</f>
            </numRef>
          </cat>
          <val>
            <numRef>
              <f>'Dashboard'!$B$9:$G$9</f>
            </numRef>
          </val>
        </ser>
        <ser>
          <idx val="3"/>
          <order val="3"/>
          <tx>
            <strRef>
              <f>'Dashboard'!A10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'Dashboard'!$B$4:$G$4</f>
            </numRef>
          </cat>
          <val>
            <numRef>
              <f>'Dashboard'!$B$10:$G$10</f>
            </numRef>
          </val>
        </ser>
        <ser>
          <idx val="4"/>
          <order val="4"/>
          <tx>
            <strRef>
              <f>'Dashboard'!A11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'Dashboard'!$B$4:$G$4</f>
            </numRef>
          </cat>
          <val>
            <numRef>
              <f>'Dashboard'!$B$11:$G$11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% (FY)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'Dashboard'!$B$4:$G$4</f>
            </numRef>
          </cat>
          <val>
            <numRef>
              <f>'Dashboard'!$B$14:$G$14</f>
            </numRef>
          </val>
        </ser>
        <ser>
          <idx val="1"/>
          <order val="1"/>
          <tx>
            <strRef>
              <f>'Dashboard'!A15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'Dashboard'!$B$4:$G$4</f>
            </numRef>
          </cat>
          <val>
            <numRef>
              <f>'Dashboard'!$B$15:$G$15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Flow'!$C$2:$AE$2</f>
            </numRef>
          </cat>
          <val>
            <numRef>
              <f>'Cash Flow'!$C$28:$AE$28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Headcount (end of FY)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'Dashboard'!A25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'Dashboard'!$B$4:$G$4</f>
            </numRef>
          </cat>
          <val>
            <numRef>
              <f>'Dashboard'!$B$25:$G$25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39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3</row>
      <rowOff>0</rowOff>
    </from>
    <ext cx="576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LORE Labs -- CFO Dashboard</t>
        </is>
      </c>
    </row>
    <row r="2">
      <c r="A2" s="2">
        <f>"Scenario: "&amp;Scenarios!D3&amp;"   |   all figures USD, live from model"</f>
        <v/>
      </c>
    </row>
    <row r="4">
      <c r="B4" s="3" t="inlineStr">
        <is>
          <t>FY2026*</t>
        </is>
      </c>
      <c r="C4" s="3" t="inlineStr">
        <is>
          <t>FY2027</t>
        </is>
      </c>
      <c r="D4" s="3" t="inlineStr">
        <is>
          <t>FY2028</t>
        </is>
      </c>
      <c r="E4" s="3" t="inlineStr">
        <is>
          <t>FY2029</t>
        </is>
      </c>
      <c r="F4" s="3" t="inlineStr">
        <is>
          <t>FY2030</t>
        </is>
      </c>
      <c r="G4" s="3" t="inlineStr">
        <is>
          <t>FY2031</t>
        </is>
      </c>
    </row>
    <row r="5">
      <c r="A5" t="inlineStr">
        <is>
          <t>Units shipped</t>
        </is>
      </c>
      <c r="B5" s="4">
        <f>'Pricing &amp; Mix'!AG40</f>
        <v/>
      </c>
      <c r="C5" s="4">
        <f>'Pricing &amp; Mix'!AH40</f>
        <v/>
      </c>
      <c r="D5" s="4">
        <f>'Pricing &amp; Mix'!AI40</f>
        <v/>
      </c>
      <c r="E5" s="4">
        <f>'Pricing &amp; Mix'!AJ40</f>
        <v/>
      </c>
      <c r="F5" s="4">
        <f>'Pricing &amp; Mix'!AK40</f>
        <v/>
      </c>
      <c r="G5" s="4">
        <f>'Pricing &amp; Mix'!AL40</f>
        <v/>
      </c>
    </row>
    <row r="6">
      <c r="A6" t="inlineStr">
        <is>
          <t>Total revenue</t>
        </is>
      </c>
      <c r="B6" s="4">
        <f>'P&amp;L'!AG16</f>
        <v/>
      </c>
      <c r="C6" s="4">
        <f>'P&amp;L'!AH16</f>
        <v/>
      </c>
      <c r="D6" s="4">
        <f>'P&amp;L'!AI16</f>
        <v/>
      </c>
      <c r="E6" s="4">
        <f>'P&amp;L'!AJ16</f>
        <v/>
      </c>
      <c r="F6" s="4">
        <f>'P&amp;L'!AK16</f>
        <v/>
      </c>
      <c r="G6" s="4">
        <f>'P&amp;L'!AL16</f>
        <v/>
      </c>
    </row>
    <row r="7">
      <c r="A7" t="inlineStr">
        <is>
          <t xml:space="preserve">  Hardware (net)</t>
        </is>
      </c>
      <c r="B7" s="4">
        <f>'P&amp;L'!AG10</f>
        <v/>
      </c>
      <c r="C7" s="4">
        <f>'P&amp;L'!AH10</f>
        <v/>
      </c>
      <c r="D7" s="4">
        <f>'P&amp;L'!AI10</f>
        <v/>
      </c>
      <c r="E7" s="4">
        <f>'P&amp;L'!AJ10</f>
        <v/>
      </c>
      <c r="F7" s="4">
        <f>'P&amp;L'!AK10</f>
        <v/>
      </c>
      <c r="G7" s="4">
        <f>'P&amp;L'!AL10</f>
        <v/>
      </c>
    </row>
    <row r="8">
      <c r="A8" t="inlineStr">
        <is>
          <t xml:space="preserve">  Subscriptions (Explorer + Trip Pass)</t>
        </is>
      </c>
      <c r="B8" s="4">
        <f>'P&amp;L'!AG11+'P&amp;L'!AG12</f>
        <v/>
      </c>
      <c r="C8" s="4">
        <f>'P&amp;L'!AH11+'P&amp;L'!AH12</f>
        <v/>
      </c>
      <c r="D8" s="4">
        <f>'P&amp;L'!AI11+'P&amp;L'!AI12</f>
        <v/>
      </c>
      <c r="E8" s="4">
        <f>'P&amp;L'!AJ11+'P&amp;L'!AJ12</f>
        <v/>
      </c>
      <c r="F8" s="4">
        <f>'P&amp;L'!AK11+'P&amp;L'!AK12</f>
        <v/>
      </c>
      <c r="G8" s="4">
        <f>'P&amp;L'!AL11+'P&amp;L'!AL12</f>
        <v/>
      </c>
    </row>
    <row r="9">
      <c r="A9" t="inlineStr">
        <is>
          <t xml:space="preserve">  Accessories</t>
        </is>
      </c>
      <c r="B9" s="4">
        <f>'P&amp;L'!AG13</f>
        <v/>
      </c>
      <c r="C9" s="4">
        <f>'P&amp;L'!AH13</f>
        <v/>
      </c>
      <c r="D9" s="4">
        <f>'P&amp;L'!AI13</f>
        <v/>
      </c>
      <c r="E9" s="4">
        <f>'P&amp;L'!AJ13</f>
        <v/>
      </c>
      <c r="F9" s="4">
        <f>'P&amp;L'!AK13</f>
        <v/>
      </c>
      <c r="G9" s="4">
        <f>'P&amp;L'!AL13</f>
        <v/>
      </c>
    </row>
    <row r="10">
      <c r="A10" t="inlineStr">
        <is>
          <t xml:space="preserve">  Affiliate</t>
        </is>
      </c>
      <c r="B10" s="4">
        <f>'P&amp;L'!AG14</f>
        <v/>
      </c>
      <c r="C10" s="4">
        <f>'P&amp;L'!AH14</f>
        <v/>
      </c>
      <c r="D10" s="4">
        <f>'P&amp;L'!AI14</f>
        <v/>
      </c>
      <c r="E10" s="4">
        <f>'P&amp;L'!AJ14</f>
        <v/>
      </c>
      <c r="F10" s="4">
        <f>'P&amp;L'!AK14</f>
        <v/>
      </c>
      <c r="G10" s="4">
        <f>'P&amp;L'!AL14</f>
        <v/>
      </c>
    </row>
    <row r="11">
      <c r="A11" t="inlineStr">
        <is>
          <t xml:space="preserve">  B2B fleet</t>
        </is>
      </c>
      <c r="B11" s="4">
        <f>'P&amp;L'!AG15</f>
        <v/>
      </c>
      <c r="C11" s="4">
        <f>'P&amp;L'!AH15</f>
        <v/>
      </c>
      <c r="D11" s="4">
        <f>'P&amp;L'!AI15</f>
        <v/>
      </c>
      <c r="E11" s="4">
        <f>'P&amp;L'!AJ15</f>
        <v/>
      </c>
      <c r="F11" s="4">
        <f>'P&amp;L'!AK15</f>
        <v/>
      </c>
      <c r="G11" s="4">
        <f>'P&amp;L'!AL15</f>
        <v/>
      </c>
    </row>
    <row r="12">
      <c r="A12" t="inlineStr">
        <is>
          <t>Revenue growth YoY</t>
        </is>
      </c>
      <c r="B12" s="5">
        <f>0</f>
        <v/>
      </c>
      <c r="C12" s="5">
        <f>IF(B6&gt;0,C6/B6-1,0)</f>
        <v/>
      </c>
      <c r="D12" s="5">
        <f>IF(C6&gt;0,D6/C6-1,0)</f>
        <v/>
      </c>
      <c r="E12" s="5">
        <f>IF(D6&gt;0,E6/D6-1,0)</f>
        <v/>
      </c>
      <c r="F12" s="5">
        <f>IF(E6&gt;0,F6/E6-1,0)</f>
        <v/>
      </c>
      <c r="G12" s="5">
        <f>IF(F6&gt;0,G6/F6-1,0)</f>
        <v/>
      </c>
    </row>
    <row r="13">
      <c r="A13" t="inlineStr">
        <is>
          <t>Gross profit</t>
        </is>
      </c>
      <c r="B13" s="4">
        <f>'P&amp;L'!AG23</f>
        <v/>
      </c>
      <c r="C13" s="4">
        <f>'P&amp;L'!AH23</f>
        <v/>
      </c>
      <c r="D13" s="4">
        <f>'P&amp;L'!AI23</f>
        <v/>
      </c>
      <c r="E13" s="4">
        <f>'P&amp;L'!AJ23</f>
        <v/>
      </c>
      <c r="F13" s="4">
        <f>'P&amp;L'!AK23</f>
        <v/>
      </c>
      <c r="G13" s="4">
        <f>'P&amp;L'!AL23</f>
        <v/>
      </c>
    </row>
    <row r="14">
      <c r="A14" t="inlineStr">
        <is>
          <t>Gross margin %</t>
        </is>
      </c>
      <c r="B14" s="5">
        <f>'P&amp;L'!AG24</f>
        <v/>
      </c>
      <c r="C14" s="5">
        <f>'P&amp;L'!AH24</f>
        <v/>
      </c>
      <c r="D14" s="5">
        <f>'P&amp;L'!AI24</f>
        <v/>
      </c>
      <c r="E14" s="5">
        <f>'P&amp;L'!AJ24</f>
        <v/>
      </c>
      <c r="F14" s="5">
        <f>'P&amp;L'!AK24</f>
        <v/>
      </c>
      <c r="G14" s="5">
        <f>'P&amp;L'!AL24</f>
        <v/>
      </c>
    </row>
    <row r="15">
      <c r="A15" t="inlineStr">
        <is>
          <t>Hardware gross margin %</t>
        </is>
      </c>
      <c r="B15" s="5">
        <f>'P&amp;L'!AG44</f>
        <v/>
      </c>
      <c r="C15" s="5">
        <f>'P&amp;L'!AH44</f>
        <v/>
      </c>
      <c r="D15" s="5">
        <f>'P&amp;L'!AI44</f>
        <v/>
      </c>
      <c r="E15" s="5">
        <f>'P&amp;L'!AJ44</f>
        <v/>
      </c>
      <c r="F15" s="5">
        <f>'P&amp;L'!AK44</f>
        <v/>
      </c>
      <c r="G15" s="5">
        <f>'P&amp;L'!AL44</f>
        <v/>
      </c>
    </row>
    <row r="16">
      <c r="A16" t="inlineStr">
        <is>
          <t>EBITDA</t>
        </is>
      </c>
      <c r="B16" s="4">
        <f>'P&amp;L'!AG32</f>
        <v/>
      </c>
      <c r="C16" s="4">
        <f>'P&amp;L'!AH32</f>
        <v/>
      </c>
      <c r="D16" s="4">
        <f>'P&amp;L'!AI32</f>
        <v/>
      </c>
      <c r="E16" s="4">
        <f>'P&amp;L'!AJ32</f>
        <v/>
      </c>
      <c r="F16" s="4">
        <f>'P&amp;L'!AK32</f>
        <v/>
      </c>
      <c r="G16" s="4">
        <f>'P&amp;L'!AL32</f>
        <v/>
      </c>
    </row>
    <row r="17">
      <c r="A17" t="inlineStr">
        <is>
          <t>EBITDA margin %</t>
        </is>
      </c>
      <c r="B17" s="5">
        <f>'P&amp;L'!AG33</f>
        <v/>
      </c>
      <c r="C17" s="5">
        <f>'P&amp;L'!AH33</f>
        <v/>
      </c>
      <c r="D17" s="5">
        <f>'P&amp;L'!AI33</f>
        <v/>
      </c>
      <c r="E17" s="5">
        <f>'P&amp;L'!AJ33</f>
        <v/>
      </c>
      <c r="F17" s="5">
        <f>'P&amp;L'!AK33</f>
        <v/>
      </c>
      <c r="G17" s="5">
        <f>'P&amp;L'!AL33</f>
        <v/>
      </c>
    </row>
    <row r="18">
      <c r="A18" t="inlineStr">
        <is>
          <t>Net income</t>
        </is>
      </c>
      <c r="B18" s="4">
        <f>'P&amp;L'!AG40</f>
        <v/>
      </c>
      <c r="C18" s="4">
        <f>'P&amp;L'!AH40</f>
        <v/>
      </c>
      <c r="D18" s="4">
        <f>'P&amp;L'!AI40</f>
        <v/>
      </c>
      <c r="E18" s="4">
        <f>'P&amp;L'!AJ40</f>
        <v/>
      </c>
      <c r="F18" s="4">
        <f>'P&amp;L'!AK40</f>
        <v/>
      </c>
      <c r="G18" s="4">
        <f>'P&amp;L'!AL40</f>
        <v/>
      </c>
    </row>
    <row r="19">
      <c r="A19" t="inlineStr">
        <is>
          <t>Ending cash</t>
        </is>
      </c>
      <c r="B19" s="4">
        <f>'Cash Flow'!AG28</f>
        <v/>
      </c>
      <c r="C19" s="4">
        <f>'Cash Flow'!AH28</f>
        <v/>
      </c>
      <c r="D19" s="4">
        <f>'Cash Flow'!AI28</f>
        <v/>
      </c>
      <c r="E19" s="4">
        <f>'Cash Flow'!AJ28</f>
        <v/>
      </c>
      <c r="F19" s="4">
        <f>'Cash Flow'!AK28</f>
        <v/>
      </c>
      <c r="G19" s="4">
        <f>'Cash Flow'!AL28</f>
        <v/>
      </c>
    </row>
    <row r="20">
      <c r="A20" t="inlineStr">
        <is>
          <t>Net burn (op + inv cash flow)</t>
        </is>
      </c>
      <c r="B20" s="4">
        <f>'Cash Flow'!AG29</f>
        <v/>
      </c>
      <c r="C20" s="4">
        <f>'Cash Flow'!AH29</f>
        <v/>
      </c>
      <c r="D20" s="4">
        <f>'Cash Flow'!AI29</f>
        <v/>
      </c>
      <c r="E20" s="4">
        <f>'Cash Flow'!AJ29</f>
        <v/>
      </c>
      <c r="F20" s="4">
        <f>'Cash Flow'!AK29</f>
        <v/>
      </c>
      <c r="G20" s="4">
        <f>'Cash Flow'!AL29</f>
        <v/>
      </c>
    </row>
    <row r="21">
      <c r="A21" t="inlineStr">
        <is>
          <t>Equity raised in year</t>
        </is>
      </c>
      <c r="B21" s="4">
        <f>'Cash Flow'!AG22</f>
        <v/>
      </c>
      <c r="C21" s="4">
        <f>'Cash Flow'!AH22</f>
        <v/>
      </c>
      <c r="D21" s="4">
        <f>'Cash Flow'!AI22</f>
        <v/>
      </c>
      <c r="E21" s="4">
        <f>'Cash Flow'!AJ22</f>
        <v/>
      </c>
      <c r="F21" s="4">
        <f>'Cash Flow'!AK22</f>
        <v/>
      </c>
      <c r="G21" s="4">
        <f>'Cash Flow'!AL22</f>
        <v/>
      </c>
    </row>
    <row r="22">
      <c r="A22" t="inlineStr">
        <is>
          <t>Paid subscribers (end)</t>
        </is>
      </c>
      <c r="B22" s="4">
        <f>'Subscription Cohorts'!AG19</f>
        <v/>
      </c>
      <c r="C22" s="4">
        <f>'Subscription Cohorts'!AH19</f>
        <v/>
      </c>
      <c r="D22" s="4">
        <f>'Subscription Cohorts'!AI19</f>
        <v/>
      </c>
      <c r="E22" s="4">
        <f>'Subscription Cohorts'!AJ19</f>
        <v/>
      </c>
      <c r="F22" s="4">
        <f>'Subscription Cohorts'!AK19</f>
        <v/>
      </c>
      <c r="G22" s="4">
        <f>'Subscription Cohorts'!AL19</f>
        <v/>
      </c>
    </row>
    <row r="23">
      <c r="A23" t="inlineStr">
        <is>
          <t>Subscription ARR (end)</t>
        </is>
      </c>
      <c r="B23" s="4">
        <f>'Subscription Cohorts'!AG24</f>
        <v/>
      </c>
      <c r="C23" s="4">
        <f>'Subscription Cohorts'!AH24</f>
        <v/>
      </c>
      <c r="D23" s="4">
        <f>'Subscription Cohorts'!AI24</f>
        <v/>
      </c>
      <c r="E23" s="4">
        <f>'Subscription Cohorts'!AJ24</f>
        <v/>
      </c>
      <c r="F23" s="4">
        <f>'Subscription Cohorts'!AK24</f>
        <v/>
      </c>
      <c r="G23" s="4">
        <f>'Subscription Cohorts'!AL24</f>
        <v/>
      </c>
    </row>
    <row r="24">
      <c r="A24" t="inlineStr">
        <is>
          <t>Active devices (end)</t>
        </is>
      </c>
      <c r="B24" s="4">
        <f>'Subscription Cohorts'!AG29</f>
        <v/>
      </c>
      <c r="C24" s="4">
        <f>'Subscription Cohorts'!AH29</f>
        <v/>
      </c>
      <c r="D24" s="4">
        <f>'Subscription Cohorts'!AI29</f>
        <v/>
      </c>
      <c r="E24" s="4">
        <f>'Subscription Cohorts'!AJ29</f>
        <v/>
      </c>
      <c r="F24" s="4">
        <f>'Subscription Cohorts'!AK29</f>
        <v/>
      </c>
      <c r="G24" s="4">
        <f>'Subscription Cohorts'!AL29</f>
        <v/>
      </c>
    </row>
    <row r="25">
      <c r="A25" t="inlineStr">
        <is>
          <t>Headcount (end)</t>
        </is>
      </c>
      <c r="B25" s="4">
        <f>'Headcount Plan'!AG104</f>
        <v/>
      </c>
      <c r="C25" s="4">
        <f>'Headcount Plan'!AH104</f>
        <v/>
      </c>
      <c r="D25" s="4">
        <f>'Headcount Plan'!AI104</f>
        <v/>
      </c>
      <c r="E25" s="4">
        <f>'Headcount Plan'!AJ104</f>
        <v/>
      </c>
      <c r="F25" s="4">
        <f>'Headcount Plan'!AK104</f>
        <v/>
      </c>
      <c r="G25" s="4">
        <f>'Headcount Plan'!AL104</f>
        <v/>
      </c>
    </row>
    <row r="26">
      <c r="A26" s="2" t="inlineStr">
        <is>
          <t>* FY2026 = Nov-Dec stub</t>
        </is>
      </c>
    </row>
    <row r="28">
      <c r="A28" s="6" t="inlineStr">
        <is>
          <t>Funding &amp; runway</t>
        </is>
      </c>
    </row>
    <row r="29">
      <c r="A29" t="inlineStr">
        <is>
          <t>Total equity raised through FY2031</t>
        </is>
      </c>
      <c r="B29" s="7">
        <f>'Funding &amp; Runway'!D11</f>
        <v/>
      </c>
    </row>
    <row r="30">
      <c r="A30" t="inlineStr">
        <is>
          <t>Minimum month-end cash, Nov-26..Dec-28</t>
        </is>
      </c>
      <c r="B30" s="7">
        <f>'Funding &amp; Runway'!D12</f>
        <v/>
      </c>
    </row>
    <row r="31">
      <c r="A31" t="inlineStr">
        <is>
          <t>Month of minimum cash</t>
        </is>
      </c>
      <c r="B31" s="7">
        <f>'Funding &amp; Runway'!D13</f>
        <v/>
      </c>
    </row>
    <row r="32">
      <c r="A32" t="inlineStr">
        <is>
          <t>Peak monthly net burn (monthly periods)</t>
        </is>
      </c>
      <c r="B32" s="7">
        <f>'Funding &amp; Runway'!D15</f>
        <v/>
      </c>
    </row>
    <row r="33">
      <c r="A33" t="inlineStr">
        <is>
          <t>Month of peak burn</t>
        </is>
      </c>
      <c r="B33" s="7">
        <f>'Funding &amp; Runway'!D16</f>
        <v/>
      </c>
    </row>
    <row r="34">
      <c r="A34" t="inlineStr">
        <is>
          <t>Peak average monthly burn (any period incl. FY29-31)</t>
        </is>
      </c>
      <c r="B34" s="7">
        <f>'Funding &amp; Runway'!D17</f>
        <v/>
      </c>
    </row>
    <row r="35">
      <c r="A35" t="inlineStr">
        <is>
          <t>First monthly period with positive EBITDA (monthly cols)</t>
        </is>
      </c>
      <c r="B35" s="7">
        <f>'Funding &amp; Runway'!D19</f>
        <v/>
      </c>
    </row>
    <row r="36">
      <c r="A36" t="inlineStr">
        <is>
          <t>First fiscal year with positive EBITDA</t>
        </is>
      </c>
      <c r="B36" s="7">
        <f>'Funding &amp; Runway'!D20</f>
        <v/>
      </c>
    </row>
    <row r="37">
      <c r="A37" t="inlineStr">
        <is>
          <t>First fiscal year with positive operating+investing cash flow</t>
        </is>
      </c>
      <c r="B37" s="7">
        <f>'Funding &amp; Runway'!D21</f>
        <v/>
      </c>
    </row>
    <row r="38">
      <c r="A38" t="inlineStr">
        <is>
          <t>Minimum period-end cash incl. FY29-31</t>
        </is>
      </c>
      <c r="B38" s="7">
        <f>'Funding &amp; Runway'!D14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19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2" customWidth="1" min="3" max="3"/>
    <col width="14" customWidth="1" min="4" max="4"/>
    <col width="110" customWidth="1" min="5" max="5"/>
  </cols>
  <sheetData>
    <row r="1">
      <c r="A1" s="6" t="inlineStr">
        <is>
          <t>Assumptions -- all inputs in BLUE. Estimates unless a source is cited. Prices ex-VAT/sales tax.</t>
        </is>
      </c>
    </row>
    <row r="2">
      <c r="B2" t="inlineStr">
        <is>
          <t>Model base year</t>
        </is>
      </c>
      <c r="C2" t="n">
        <v>2027</v>
      </c>
    </row>
    <row r="3">
      <c r="A3" s="3" t="inlineStr">
        <is>
          <t>Input</t>
        </is>
      </c>
      <c r="B3" s="3" t="inlineStr">
        <is>
          <t>Name</t>
        </is>
      </c>
      <c r="C3" s="3" t="inlineStr">
        <is>
          <t>Value</t>
        </is>
      </c>
      <c r="D3" s="3" t="inlineStr">
        <is>
          <t>Unit</t>
        </is>
      </c>
      <c r="E3" s="3" t="inlineStr">
        <is>
          <t>Basis / source</t>
        </is>
      </c>
    </row>
    <row r="5">
      <c r="A5" s="8" t="inlineStr">
        <is>
          <t>General &amp; finance</t>
        </is>
      </c>
      <c r="B5" s="9" t="n"/>
      <c r="C5" s="9" t="n"/>
      <c r="D5" s="9" t="n"/>
      <c r="E5" s="9" t="n"/>
    </row>
    <row r="6">
      <c r="A6" t="inlineStr">
        <is>
          <t>Opening cash (Nov-2026, before pre-seed)</t>
        </is>
      </c>
      <c r="B6" s="2" t="inlineStr">
        <is>
          <t>opening_cash</t>
        </is>
      </c>
      <c r="C6" s="10" t="n">
        <v>0</v>
      </c>
      <c r="D6" s="2" t="inlineStr">
        <is>
          <t>$</t>
        </is>
      </c>
      <c r="E6" s="2" t="inlineStr">
        <is>
          <t>Founder-funded work to date excluded.</t>
        </is>
      </c>
    </row>
    <row r="7">
      <c r="A7" t="inlineStr">
        <is>
          <t>Interest earned on cash (annual)</t>
        </is>
      </c>
      <c r="B7" s="2" t="inlineStr">
        <is>
          <t>interest_rate</t>
        </is>
      </c>
      <c r="C7" s="11" t="n">
        <v>0.035</v>
      </c>
      <c r="D7" s="2" t="inlineStr">
        <is>
          <t>%/yr</t>
        </is>
      </c>
      <c r="E7" s="2" t="inlineStr">
        <is>
          <t>US T-bill / treasury MMF yields ~3.5-4% (2026), conservative.</t>
        </is>
      </c>
    </row>
    <row r="8">
      <c r="A8" t="inlineStr">
        <is>
          <t>Corporate income tax rate (after NOLs)</t>
        </is>
      </c>
      <c r="B8" s="2" t="inlineStr">
        <is>
          <t>tax_rate</t>
        </is>
      </c>
      <c r="C8" s="11" t="n">
        <v>0.21</v>
      </c>
      <c r="D8" s="2" t="inlineStr">
        <is>
          <t>%</t>
        </is>
      </c>
      <c r="E8" s="2" t="inlineStr">
        <is>
          <t>US federal 21%; state ignored; NOLs offset until cumulative pre-tax &gt; 0.</t>
        </is>
      </c>
    </row>
    <row r="9">
      <c r="A9" t="inlineStr">
        <is>
          <t>Employer burden on salary (benefits, payroll tax)</t>
        </is>
      </c>
      <c r="B9" s="2" t="inlineStr">
        <is>
          <t>burden</t>
        </is>
      </c>
      <c r="C9" s="11" t="n">
        <v>0.25</v>
      </c>
      <c r="D9" s="2" t="inlineStr">
        <is>
          <t>%</t>
        </is>
      </c>
      <c r="E9" s="2" t="inlineStr">
        <is>
          <t>Typical US startup 20-30%. Legal-ops owns final salary bands.</t>
        </is>
      </c>
    </row>
    <row r="10">
      <c r="A10" t="inlineStr">
        <is>
          <t>Annual salary inflation (from 2028)</t>
        </is>
      </c>
      <c r="B10" s="2" t="inlineStr">
        <is>
          <t>salary_infl</t>
        </is>
      </c>
      <c r="C10" s="11" t="n">
        <v>0.03</v>
      </c>
      <c r="D10" s="2" t="inlineStr">
        <is>
          <t>%/yr</t>
        </is>
      </c>
      <c r="E10" s="2" t="inlineStr">
        <is>
          <t>Estimate.</t>
        </is>
      </c>
    </row>
    <row r="12">
      <c r="A12" s="8" t="inlineStr">
        <is>
          <t>Hardware pricing (MSRP from COMPANY.md; KS prices = early-bird)</t>
        </is>
      </c>
      <c r="B12" s="9" t="n"/>
      <c r="C12" s="9" t="n"/>
      <c r="D12" s="9" t="n"/>
      <c r="E12" s="9" t="n"/>
    </row>
    <row r="13">
      <c r="A13" t="inlineStr">
        <is>
          <t>LORE Pebble MSRP</t>
        </is>
      </c>
      <c r="B13" s="2" t="inlineStr">
        <is>
          <t>msrp_peb</t>
        </is>
      </c>
      <c r="C13" s="10" t="n">
        <v>149</v>
      </c>
      <c r="D13" s="2" t="inlineStr">
        <is>
          <t>$</t>
        </is>
      </c>
      <c r="E13" s="2" t="inlineStr">
        <is>
          <t>COMPANY.md target price.</t>
        </is>
      </c>
    </row>
    <row r="14">
      <c r="A14" t="inlineStr">
        <is>
          <t>LORE Square MSRP</t>
        </is>
      </c>
      <c r="B14" s="2" t="inlineStr">
        <is>
          <t>msrp_sq</t>
        </is>
      </c>
      <c r="C14" s="10" t="n">
        <v>299</v>
      </c>
      <c r="D14" s="2" t="inlineStr">
        <is>
          <t>$</t>
        </is>
      </c>
      <c r="E14" s="2" t="inlineStr">
        <is>
          <t>COMPANY.md target price.</t>
        </is>
      </c>
    </row>
    <row r="15">
      <c r="A15" t="inlineStr">
        <is>
          <t>LORE Atlas MSRP</t>
        </is>
      </c>
      <c r="B15" s="2" t="inlineStr">
        <is>
          <t>msrp_atl</t>
        </is>
      </c>
      <c r="C15" s="10" t="n">
        <v>549</v>
      </c>
      <c r="D15" s="2" t="inlineStr">
        <is>
          <t>$</t>
        </is>
      </c>
      <c r="E15" s="2" t="inlineStr">
        <is>
          <t>COMPANY.md target price. Atlas launches Sep-2028 (CFO assumption: NTN + camera + titanium need a separate EVT/DVT cycle).</t>
        </is>
      </c>
    </row>
    <row r="16">
      <c r="A16" t="inlineStr">
        <is>
          <t>Kickstarter early-bird price -- Pebble</t>
        </is>
      </c>
      <c r="B16" s="2" t="inlineStr">
        <is>
          <t>ks_peb</t>
        </is>
      </c>
      <c r="C16" s="10" t="n">
        <v>109</v>
      </c>
      <c r="D16" s="2" t="inlineStr">
        <is>
          <t>$</t>
        </is>
      </c>
      <c r="E16" s="2" t="inlineStr">
        <is>
          <t>~27% off MSRP; hardware KS early-birds typically 25-40% off.</t>
        </is>
      </c>
    </row>
    <row r="17">
      <c r="A17" t="inlineStr">
        <is>
          <t>Kickstarter early-bird price -- Square</t>
        </is>
      </c>
      <c r="B17" s="2" t="inlineStr">
        <is>
          <t>ks_sq</t>
        </is>
      </c>
      <c r="C17" s="10" t="n">
        <v>219</v>
      </c>
      <c r="D17" s="2" t="inlineStr">
        <is>
          <t>$</t>
        </is>
      </c>
      <c r="E17" s="2" t="inlineStr">
        <is>
          <t>~27% off MSRP.</t>
        </is>
      </c>
    </row>
    <row r="18">
      <c r="A18" t="inlineStr">
        <is>
          <t>Post-campaign pre-order price -- Pebble</t>
        </is>
      </c>
      <c r="B18" s="2" t="inlineStr">
        <is>
          <t>pre_peb</t>
        </is>
      </c>
      <c r="C18" s="10" t="n">
        <v>129</v>
      </c>
      <c r="D18" s="2" t="inlineStr">
        <is>
          <t>$</t>
        </is>
      </c>
      <c r="E18" s="2" t="inlineStr">
        <is>
          <t>BackerKit/website pre-order, ~13% off.</t>
        </is>
      </c>
    </row>
    <row r="19">
      <c r="A19" t="inlineStr">
        <is>
          <t>Post-campaign pre-order price -- Square</t>
        </is>
      </c>
      <c r="B19" s="2" t="inlineStr">
        <is>
          <t>pre_sq</t>
        </is>
      </c>
      <c r="C19" s="10" t="n">
        <v>259</v>
      </c>
      <c r="D19" s="2" t="inlineStr">
        <is>
          <t>$</t>
        </is>
      </c>
      <c r="E19" s="2" t="inlineStr">
        <is>
          <t>~13% off.</t>
        </is>
      </c>
    </row>
    <row r="20">
      <c r="A20" t="inlineStr">
        <is>
          <t>Average DTC promo discount vs MSRP</t>
        </is>
      </c>
      <c r="B20" s="2" t="inlineStr">
        <is>
          <t>dtc_disc</t>
        </is>
      </c>
      <c r="C20" s="11" t="n">
        <v>0.06</v>
      </c>
      <c r="D20" s="2" t="inlineStr">
        <is>
          <t>%</t>
        </is>
      </c>
      <c r="E20" s="2" t="inlineStr">
        <is>
          <t>Blended codes/bundles/Black Friday.</t>
        </is>
      </c>
    </row>
    <row r="21">
      <c r="A21" t="inlineStr">
        <is>
          <t>Retailer / distributor margin (off MSRP)</t>
        </is>
      </c>
      <c r="B21" s="2" t="inlineStr">
        <is>
          <t>retail_margin</t>
        </is>
      </c>
      <c r="C21" s="11" t="n">
        <v>0.38</v>
      </c>
      <c r="D21" s="2" t="inlineStr">
        <is>
          <t>%</t>
        </is>
      </c>
      <c r="E21" s="2" t="inlineStr">
        <is>
          <t>Consumer electronics retail margins typically 30-45% incl. distributor; estimate.</t>
        </is>
      </c>
    </row>
    <row r="22">
      <c r="A22" t="inlineStr">
        <is>
          <t>Returns &amp; refunds allowance (of HW revenue)</t>
        </is>
      </c>
      <c r="B22" s="2" t="inlineStr">
        <is>
          <t>returns_pct</t>
        </is>
      </c>
      <c r="C22" s="11" t="n">
        <v>0.04</v>
      </c>
      <c r="D22" s="2" t="inlineStr">
        <is>
          <t>%</t>
        </is>
      </c>
      <c r="E22" s="2" t="inlineStr">
        <is>
          <t>Consumer electronics 3-8%; estimate.</t>
        </is>
      </c>
    </row>
    <row r="24">
      <c r="A24" s="8" t="inlineStr">
        <is>
          <t>Landed COGS per unit at 10k+ volume (CFO estimate; reconciled to hardware/bom/ if available)</t>
        </is>
      </c>
      <c r="B24" s="9" t="n"/>
      <c r="C24" s="9" t="n"/>
      <c r="D24" s="9" t="n"/>
      <c r="E24" s="9" t="n"/>
    </row>
    <row r="25">
      <c r="A25" t="inlineStr">
        <is>
          <t>Pebble -- BOM (FOB components)</t>
        </is>
      </c>
      <c r="B25" s="2" t="inlineStr">
        <is>
          <t>bom_peb</t>
        </is>
      </c>
      <c r="C25" s="12" t="n">
        <v>44</v>
      </c>
      <c r="D25" s="2" t="inlineStr">
        <is>
          <t>$</t>
        </is>
      </c>
      <c r="E25" s="2" t="inlineStr">
        <is>
          <t>BLE/Wi-Fi SoC w/ NPU, 512MB-1GB RAM, L1+L5 GNSS, 9-axis IMU, LED ring, ~500mAh cell, PC/GF housing.</t>
        </is>
      </c>
    </row>
    <row r="26">
      <c r="A26" t="inlineStr">
        <is>
          <t>Pebble -- assembly, test, yield loss</t>
        </is>
      </c>
      <c r="B26" s="2" t="inlineStr">
        <is>
          <t>asm_peb</t>
        </is>
      </c>
      <c r="C26" s="12" t="n">
        <v>6</v>
      </c>
      <c r="D26" s="2" t="inlineStr">
        <is>
          <t>$</t>
        </is>
      </c>
      <c r="E26" s="2" t="inlineStr">
        <is>
          <t>ODM CM fee + FCT/RF test.</t>
        </is>
      </c>
    </row>
    <row r="27">
      <c r="A27" t="inlineStr">
        <is>
          <t>Pebble -- packaging &amp; inserts</t>
        </is>
      </c>
      <c r="B27" s="2" t="inlineStr">
        <is>
          <t>pkg_peb</t>
        </is>
      </c>
      <c r="C27" s="12" t="n">
        <v>4</v>
      </c>
      <c r="D27" s="2" t="inlineStr">
        <is>
          <t>$</t>
        </is>
      </c>
      <c r="E27" s="2" t="inlineStr">
        <is>
          <t>Premium FSC board box.</t>
        </is>
      </c>
    </row>
    <row r="28">
      <c r="A28" t="inlineStr">
        <is>
          <t>Square -- BOM</t>
        </is>
      </c>
      <c r="B28" s="2" t="inlineStr">
        <is>
          <t>bom_sq</t>
        </is>
      </c>
      <c r="C28" s="12" t="n">
        <v>112</v>
      </c>
      <c r="D28" s="2" t="inlineStr">
        <is>
          <t>$</t>
        </is>
      </c>
      <c r="E28" s="2" t="inlineStr">
        <is>
          <t>LTE Cat-4 module + eSIM (eUICC), 1.6in AMOLED, SoC w/ NPU + 4GB LPDDR (3B model), L1+L5 GNSS, Al housing.</t>
        </is>
      </c>
    </row>
    <row r="29">
      <c r="A29" t="inlineStr">
        <is>
          <t>Square -- assembly, test, yield loss</t>
        </is>
      </c>
      <c r="B29" s="2" t="inlineStr">
        <is>
          <t>asm_sq</t>
        </is>
      </c>
      <c r="C29" s="12" t="n">
        <v>9</v>
      </c>
      <c r="D29" s="2" t="inlineStr">
        <is>
          <t>$</t>
        </is>
      </c>
      <c r="E29" s="2" t="inlineStr">
        <is>
          <t>Incl. RF conducted/OTA test.</t>
        </is>
      </c>
    </row>
    <row r="30">
      <c r="A30" t="inlineStr">
        <is>
          <t>Square -- packaging</t>
        </is>
      </c>
      <c r="B30" s="2" t="inlineStr">
        <is>
          <t>pkg_sq</t>
        </is>
      </c>
      <c r="C30" s="12" t="n">
        <v>5</v>
      </c>
      <c r="D30" s="2" t="inlineStr">
        <is>
          <t>$</t>
        </is>
      </c>
      <c r="E30" s="2" t="inlineStr"/>
    </row>
    <row r="31">
      <c r="A31" t="inlineStr">
        <is>
          <t>Atlas -- BOM</t>
        </is>
      </c>
      <c r="B31" s="2" t="inlineStr">
        <is>
          <t>bom_atl</t>
        </is>
      </c>
      <c r="C31" s="12" t="n">
        <v>198</v>
      </c>
      <c r="D31" s="2" t="inlineStr">
        <is>
          <t>$</t>
        </is>
      </c>
      <c r="E31" s="2" t="inlineStr">
        <is>
          <t>Ti CNC housing, sapphire, NTN-capable modem, camera, 8GB RAM.</t>
        </is>
      </c>
    </row>
    <row r="32">
      <c r="A32" t="inlineStr">
        <is>
          <t>Atlas -- assembly, test, yield loss</t>
        </is>
      </c>
      <c r="B32" s="2" t="inlineStr">
        <is>
          <t>asm_atl</t>
        </is>
      </c>
      <c r="C32" s="12" t="n">
        <v>14</v>
      </c>
      <c r="D32" s="2" t="inlineStr">
        <is>
          <t>$</t>
        </is>
      </c>
      <c r="E32" s="2" t="inlineStr">
        <is>
          <t>Ti/sapphire yields lower.</t>
        </is>
      </c>
    </row>
    <row r="33">
      <c r="A33" t="inlineStr">
        <is>
          <t>Atlas -- packaging</t>
        </is>
      </c>
      <c r="B33" s="2" t="inlineStr">
        <is>
          <t>pkg_atl</t>
        </is>
      </c>
      <c r="C33" s="12" t="n">
        <v>8</v>
      </c>
      <c r="D33" s="2" t="inlineStr">
        <is>
          <t>$</t>
        </is>
      </c>
      <c r="E33" s="2" t="inlineStr"/>
    </row>
    <row r="34">
      <c r="A34" t="inlineStr">
        <is>
          <t>Inbound freight, insurance &amp; duties (% of FOB)</t>
        </is>
      </c>
      <c r="B34" s="2" t="inlineStr">
        <is>
          <t>freight_duty</t>
        </is>
      </c>
      <c r="C34" s="11" t="n">
        <v>0.09</v>
      </c>
      <c r="D34" s="2" t="inlineStr">
        <is>
          <t>%</t>
        </is>
      </c>
      <c r="E34" s="2" t="inlineStr">
        <is>
          <t>Ocean/air blend + US import duties for SE-Asia assembly; tariff risk in sensitivity doc.</t>
        </is>
      </c>
    </row>
    <row r="35">
      <c r="A35" t="inlineStr">
        <is>
          <t>Warranty reserve (% of HW revenue)</t>
        </is>
      </c>
      <c r="B35" s="2" t="inlineStr">
        <is>
          <t>warranty_pct</t>
        </is>
      </c>
      <c r="C35" s="11" t="n">
        <v>0.02</v>
      </c>
      <c r="D35" s="2" t="inlineStr">
        <is>
          <t>%</t>
        </is>
      </c>
      <c r="E35" s="2" t="inlineStr">
        <is>
          <t>1-2 yr warranty; estimate.</t>
        </is>
      </c>
    </row>
    <row r="36">
      <c r="A36" t="inlineStr">
        <is>
          <t>DTC outbound shipping + 3PL pick/pack per unit</t>
        </is>
      </c>
      <c r="B36" s="2" t="inlineStr">
        <is>
          <t>dtc_ship</t>
        </is>
      </c>
      <c r="C36" s="12" t="n">
        <v>11</v>
      </c>
      <c r="D36" s="2" t="inlineStr">
        <is>
          <t>$</t>
        </is>
      </c>
      <c r="E36" s="2" t="inlineStr">
        <is>
          <t>3PL ~$3-4 + ground/intl blend.</t>
        </is>
      </c>
    </row>
    <row r="37">
      <c r="A37" t="inlineStr">
        <is>
          <t>Retail distribution cost per unit</t>
        </is>
      </c>
      <c r="B37" s="2" t="inlineStr">
        <is>
          <t>retail_dist</t>
        </is>
      </c>
      <c r="C37" s="12" t="n">
        <v>4</v>
      </c>
      <c r="D37" s="2" t="inlineStr">
        <is>
          <t>$</t>
        </is>
      </c>
      <c r="E37" s="2" t="inlineStr">
        <is>
          <t>Palletised to DC.</t>
        </is>
      </c>
    </row>
    <row r="38">
      <c r="A38" t="inlineStr">
        <is>
          <t>Pre-order (KS) fulfilment cost per unit, net of shipping charged</t>
        </is>
      </c>
      <c r="B38" s="2" t="inlineStr">
        <is>
          <t>ks_fulfil_net</t>
        </is>
      </c>
      <c r="C38" s="12" t="n">
        <v>6</v>
      </c>
      <c r="D38" s="2" t="inlineStr">
        <is>
          <t>$</t>
        </is>
      </c>
      <c r="E38" s="2" t="inlineStr">
        <is>
          <t>Backers pay shipping; residual subsidy + 3PL.</t>
        </is>
      </c>
    </row>
    <row r="39">
      <c r="A39" t="inlineStr">
        <is>
          <t>Card processing -- % (DTC)</t>
        </is>
      </c>
      <c r="B39" s="2" t="inlineStr">
        <is>
          <t>pay_pct</t>
        </is>
      </c>
      <c r="C39" s="11" t="n">
        <v>0.029</v>
      </c>
      <c r="D39" s="2" t="inlineStr">
        <is>
          <t>%</t>
        </is>
      </c>
      <c r="E39" s="2" t="inlineStr">
        <is>
          <t>Stripe/Shopify Payments standard 2.9% + $0.30.</t>
        </is>
      </c>
    </row>
    <row r="40">
      <c r="A40" t="inlineStr">
        <is>
          <t>Card processing -- fixed per order</t>
        </is>
      </c>
      <c r="B40" s="2" t="inlineStr">
        <is>
          <t>pay_fixed</t>
        </is>
      </c>
      <c r="C40" s="12" t="n">
        <v>0.3</v>
      </c>
      <c r="D40" s="2" t="inlineStr">
        <is>
          <t>$</t>
        </is>
      </c>
      <c r="E40" s="2" t="inlineStr"/>
    </row>
    <row r="42">
      <c r="A42" s="8" t="inlineStr">
        <is>
          <t>Kickstarter / pre-orders (Q2-2027 campaign; ships Nov-2027 to Jan-2028)</t>
        </is>
      </c>
      <c r="B42" s="9" t="n"/>
      <c r="C42" s="9" t="n"/>
      <c r="D42" s="9" t="n"/>
      <c r="E42" s="9" t="n"/>
    </row>
    <row r="43">
      <c r="A43" t="inlineStr">
        <is>
          <t>Kickstarter backer units (base, before scenario)</t>
        </is>
      </c>
      <c r="B43" s="2" t="inlineStr">
        <is>
          <t>ks_units</t>
        </is>
      </c>
      <c r="C43" s="10" t="n">
        <v>4800</v>
      </c>
      <c r="D43" s="2" t="inlineStr">
        <is>
          <t>units</t>
        </is>
      </c>
      <c r="E43" s="2" t="inlineStr">
        <is>
          <t>~$0.84M raised; see kickstarter-economics.md for benchmarks.</t>
        </is>
      </c>
    </row>
    <row r="44">
      <c r="A44" t="inlineStr">
        <is>
          <t>Post-campaign pre-order units (BackerKit / website)</t>
        </is>
      </c>
      <c r="B44" s="2" t="inlineStr">
        <is>
          <t>pre_units</t>
        </is>
      </c>
      <c r="C44" s="10" t="n">
        <v>1200</v>
      </c>
      <c r="D44" s="2" t="inlineStr">
        <is>
          <t>units</t>
        </is>
      </c>
      <c r="E44" s="2" t="inlineStr">
        <is>
          <t>Late pledges typically 15-30% of campaign units.</t>
        </is>
      </c>
    </row>
    <row r="45">
      <c r="A45" t="inlineStr">
        <is>
          <t>Pre-order SKU mix -- Pebble share</t>
        </is>
      </c>
      <c r="B45" s="2" t="inlineStr">
        <is>
          <t>pre_mix_peb</t>
        </is>
      </c>
      <c r="C45" s="11" t="n">
        <v>0.45</v>
      </c>
      <c r="D45" s="2" t="inlineStr">
        <is>
          <t>%</t>
        </is>
      </c>
      <c r="E45" s="2" t="inlineStr">
        <is>
          <t>Atlas not offered on KS (ships later). Square share = 1 - Pebble.</t>
        </is>
      </c>
    </row>
    <row r="46">
      <c r="A46" t="inlineStr">
        <is>
          <t>Kickstarter platform fee</t>
        </is>
      </c>
      <c r="B46" s="2" t="inlineStr">
        <is>
          <t>ks_fee</t>
        </is>
      </c>
      <c r="C46" s="11" t="n">
        <v>0.05</v>
      </c>
      <c r="D46" s="2" t="inlineStr">
        <is>
          <t>%</t>
        </is>
      </c>
      <c r="E46" s="2" t="inlineStr">
        <is>
          <t>Kickstarter 5% of funds (https://www.launchboom.com/crowdfunding-tips/how-much-does-kickstarter-charge/)</t>
        </is>
      </c>
    </row>
    <row r="47">
      <c r="A47" t="inlineStr">
        <is>
          <t>Kickstarter payment processing %</t>
        </is>
      </c>
      <c r="B47" s="2" t="inlineStr">
        <is>
          <t>ks_proc</t>
        </is>
      </c>
      <c r="C47" s="11" t="n">
        <v>0.03</v>
      </c>
      <c r="D47" s="2" t="inlineStr">
        <is>
          <t>%</t>
        </is>
      </c>
      <c r="E47" s="2" t="inlineStr">
        <is>
          <t>3% + $0.20 per pledge (https://www.pledgebox.com/post/how-much-does-kickstarter-take)</t>
        </is>
      </c>
    </row>
    <row r="48">
      <c r="A48" t="inlineStr">
        <is>
          <t>Kickstarter processing fixed per pledge</t>
        </is>
      </c>
      <c r="B48" s="2" t="inlineStr">
        <is>
          <t>ks_proc_fixed</t>
        </is>
      </c>
      <c r="C48" s="12" t="n">
        <v>0.2</v>
      </c>
      <c r="D48" s="2" t="inlineStr">
        <is>
          <t>$</t>
        </is>
      </c>
      <c r="E48" s="2" t="inlineStr"/>
    </row>
    <row r="49">
      <c r="A49" t="inlineStr">
        <is>
          <t>Average units per pledge</t>
        </is>
      </c>
      <c r="B49" s="2" t="inlineStr">
        <is>
          <t>units_per_pledge</t>
        </is>
      </c>
      <c r="C49" s="12" t="n">
        <v>1.15</v>
      </c>
      <c r="D49" s="2" t="inlineStr">
        <is>
          <t>units</t>
        </is>
      </c>
      <c r="E49" s="2" t="inlineStr">
        <is>
          <t>Estimate (two-packs, gifts).</t>
        </is>
      </c>
    </row>
    <row r="51">
      <c r="A51" s="8" t="inlineStr">
        <is>
          <t>Subscription -- LORE Pass (COMPANY.md)</t>
        </is>
      </c>
      <c r="B51" s="9" t="n"/>
      <c r="C51" s="9" t="n"/>
      <c r="D51" s="9" t="n"/>
      <c r="E51" s="9" t="n"/>
    </row>
    <row r="52">
      <c r="A52" t="inlineStr">
        <is>
          <t>Explorer list price per month</t>
        </is>
      </c>
      <c r="B52" s="2" t="inlineStr">
        <is>
          <t>sub_price</t>
        </is>
      </c>
      <c r="C52" s="12" t="n">
        <v>9.99</v>
      </c>
      <c r="D52" s="2" t="inlineStr">
        <is>
          <t>$/mo</t>
        </is>
      </c>
      <c r="E52" s="2" t="inlineStr">
        <is>
          <t>COMPANY.md.</t>
        </is>
      </c>
    </row>
    <row r="53">
      <c r="A53" t="inlineStr">
        <is>
          <t>Realised ARPU as % of list (annual-plan discount, promos)</t>
        </is>
      </c>
      <c r="B53" s="2" t="inlineStr">
        <is>
          <t>arpu_real</t>
        </is>
      </c>
      <c r="C53" s="11" t="n">
        <v>0.9</v>
      </c>
      <c r="D53" s="2" t="inlineStr">
        <is>
          <t>%</t>
        </is>
      </c>
      <c r="E53" s="2" t="inlineStr">
        <is>
          <t>Assume ~30% on annual plan at ~$89/yr.</t>
        </is>
      </c>
    </row>
    <row r="54">
      <c r="A54" t="inlineStr">
        <is>
          <t>Free Explorer trial included with every device</t>
        </is>
      </c>
      <c r="B54" s="2" t="inlineStr">
        <is>
          <t>trial_months</t>
        </is>
      </c>
      <c r="C54" s="10" t="n">
        <v>3</v>
      </c>
      <c r="D54" s="2" t="inlineStr">
        <is>
          <t>months</t>
        </is>
      </c>
      <c r="E54" s="2" t="inlineStr">
        <is>
          <t>COMPANY.md.</t>
        </is>
      </c>
    </row>
    <row r="55">
      <c r="A55" t="inlineStr">
        <is>
          <t>Post-trial paid attach -- Pebble</t>
        </is>
      </c>
      <c r="B55" s="2" t="inlineStr">
        <is>
          <t>attach_peb</t>
        </is>
      </c>
      <c r="C55" s="11" t="n">
        <v>0.22</v>
      </c>
      <c r="D55" s="2" t="inlineStr">
        <is>
          <t>%</t>
        </is>
      </c>
      <c r="E55" s="2" t="inlineStr">
        <is>
          <t>No eSIM; value = unlimited live AI + packs. Hardware-subscription comps: Whoop/Oura are mandatory/near-mandatory; ours is optional.</t>
        </is>
      </c>
    </row>
    <row r="56">
      <c r="A56" t="inlineStr">
        <is>
          <t>Post-trial paid attach -- Square</t>
        </is>
      </c>
      <c r="B56" s="2" t="inlineStr">
        <is>
          <t>attach_sq</t>
        </is>
      </c>
      <c r="C56" s="11" t="n">
        <v>0.4</v>
      </c>
      <c r="D56" s="2" t="inlineStr">
        <is>
          <t>%</t>
        </is>
      </c>
      <c r="E56" s="2" t="inlineStr">
        <is>
          <t>eSIM data makes Pass the natural default.</t>
        </is>
      </c>
    </row>
    <row r="57">
      <c r="A57" t="inlineStr">
        <is>
          <t>Post-trial paid attach -- Atlas</t>
        </is>
      </c>
      <c r="B57" s="2" t="inlineStr">
        <is>
          <t>attach_atl</t>
        </is>
      </c>
      <c r="C57" s="11" t="n">
        <v>0.55</v>
      </c>
      <c r="D57" s="2" t="inlineStr">
        <is>
          <t>%</t>
        </is>
      </c>
      <c r="E57" s="2" t="inlineStr">
        <is>
          <t>Premium buyer; satellite SOS.</t>
        </is>
      </c>
    </row>
    <row r="58">
      <c r="A58" t="inlineStr">
        <is>
          <t>Monthly churn of paid Explorer subs (base)</t>
        </is>
      </c>
      <c r="B58" s="2" t="inlineStr">
        <is>
          <t>churn</t>
        </is>
      </c>
      <c r="C58" s="11" t="n">
        <v>0.06</v>
      </c>
      <c r="D58" s="2" t="inlineStr">
        <is>
          <t>%/mo</t>
        </is>
      </c>
      <c r="E58" s="2" t="inlineStr">
        <is>
          <t>Consumer subscription apps lose most subs in month 1; travel is seasonal (https://www.revenuecat.com/state-of-subscription-apps-2025). Annualised ~52%.</t>
        </is>
      </c>
    </row>
    <row r="59">
      <c r="A59" t="inlineStr">
        <is>
          <t>Trip Pass price (14 days, 5 GB)</t>
        </is>
      </c>
      <c r="B59" s="2" t="inlineStr">
        <is>
          <t>trip_price</t>
        </is>
      </c>
      <c r="C59" s="12" t="n">
        <v>29</v>
      </c>
      <c r="D59" s="2" t="inlineStr">
        <is>
          <t>$</t>
        </is>
      </c>
      <c r="E59" s="2" t="inlineStr">
        <is>
          <t>COMPANY.md.</t>
        </is>
      </c>
    </row>
    <row r="60">
      <c r="A60" t="inlineStr">
        <is>
          <t>Trip Pass purchase rate per month (non-paying eSIM devices)</t>
        </is>
      </c>
      <c r="B60" s="2" t="inlineStr">
        <is>
          <t>trip_rate</t>
        </is>
      </c>
      <c r="C60" s="12" t="n">
        <v>0.03</v>
      </c>
      <c r="D60" s="2" t="inlineStr">
        <is>
          <t>/mo</t>
        </is>
      </c>
      <c r="E60" s="2" t="inlineStr">
        <is>
          <t>~0.36 trips/yr bought by non-subscribers; estimate.</t>
        </is>
      </c>
    </row>
    <row r="61">
      <c r="A61" t="inlineStr">
        <is>
          <t>Device inactivity (abandonment) rate per month</t>
        </is>
      </c>
      <c r="B61" s="2" t="inlineStr">
        <is>
          <t>device_inactive</t>
        </is>
      </c>
      <c r="C61" s="11" t="n">
        <v>0.02</v>
      </c>
      <c r="D61" s="2" t="inlineStr">
        <is>
          <t>%/mo</t>
        </is>
      </c>
      <c r="E61" s="2" t="inlineStr">
        <is>
          <t>~22%/yr of installed base goes dormant.</t>
        </is>
      </c>
    </row>
    <row r="63">
      <c r="A63" s="8" t="inlineStr">
        <is>
          <t>Accessories, affiliate, B2B fleet</t>
        </is>
      </c>
      <c r="B63" s="9" t="n"/>
      <c r="C63" s="9" t="n"/>
      <c r="D63" s="9" t="n"/>
      <c r="E63" s="9" t="n"/>
    </row>
    <row r="64">
      <c r="A64" t="inlineStr">
        <is>
          <t>Accessory attach (orders per device sold)</t>
        </is>
      </c>
      <c r="B64" s="2" t="inlineStr">
        <is>
          <t>acc_attach</t>
        </is>
      </c>
      <c r="C64" s="12" t="n">
        <v>0.3</v>
      </c>
      <c r="D64" s="2" t="inlineStr">
        <is>
          <t>orders/unit</t>
        </is>
      </c>
      <c r="E64" s="2" t="inlineStr">
        <is>
          <t>LORE Kit: clip, lanyard, dock, case, Buds.</t>
        </is>
      </c>
    </row>
    <row r="65">
      <c r="A65" t="inlineStr">
        <is>
          <t>Accessory average order value</t>
        </is>
      </c>
      <c r="B65" s="2" t="inlineStr">
        <is>
          <t>acc_aov</t>
        </is>
      </c>
      <c r="C65" s="12" t="n">
        <v>45</v>
      </c>
      <c r="D65" s="2" t="inlineStr">
        <is>
          <t>$</t>
        </is>
      </c>
      <c r="E65" s="2" t="inlineStr">
        <is>
          <t>Mix of $19-29 straps/cases and $79 LORE Buds.</t>
        </is>
      </c>
    </row>
    <row r="66">
      <c r="A66" t="inlineStr">
        <is>
          <t>Accessory COGS (% of revenue)</t>
        </is>
      </c>
      <c r="B66" s="2" t="inlineStr">
        <is>
          <t>acc_cogs_pct</t>
        </is>
      </c>
      <c r="C66" s="11" t="n">
        <v>0.38</v>
      </c>
      <c r="D66" s="2" t="inlineStr">
        <is>
          <t>%</t>
        </is>
      </c>
      <c r="E66" s="2" t="inlineStr">
        <is>
          <t>Accessories typically 55-70% GM.</t>
        </is>
      </c>
    </row>
    <row r="67">
      <c r="A67" t="inlineStr">
        <is>
          <t>B2B fleet rental fee per device per month</t>
        </is>
      </c>
      <c r="B67" s="2" t="inlineStr">
        <is>
          <t>fleet_fee</t>
        </is>
      </c>
      <c r="C67" s="12" t="n">
        <v>22</v>
      </c>
      <c r="D67" s="2" t="inlineStr">
        <is>
          <t>$/unit/mo</t>
        </is>
      </c>
      <c r="E67" s="2" t="inlineStr">
        <is>
          <t>Hostels/tour operators re-rent at ~$5-8/day.</t>
        </is>
      </c>
    </row>
    <row r="68">
      <c r="A68" t="inlineStr">
        <is>
          <t>Fleet device cost (capitalised)</t>
        </is>
      </c>
      <c r="B68" s="2" t="inlineStr">
        <is>
          <t>fleet_unit_cost</t>
        </is>
      </c>
      <c r="C68" s="12" t="n">
        <v>95</v>
      </c>
      <c r="D68" s="2" t="inlineStr">
        <is>
          <t>$/unit</t>
        </is>
      </c>
      <c r="E68" s="2" t="inlineStr">
        <is>
          <t>Blend of Pebble/Square landed cost + rugged case.</t>
        </is>
      </c>
    </row>
    <row r="69">
      <c r="A69" t="inlineStr">
        <is>
          <t>Fleet cloud + data cost per device per month</t>
        </is>
      </c>
      <c r="B69" s="2" t="inlineStr">
        <is>
          <t>fleet_cloud</t>
        </is>
      </c>
      <c r="C69" s="12" t="n">
        <v>3</v>
      </c>
      <c r="D69" s="2" t="inlineStr">
        <is>
          <t>$/unit/mo</t>
        </is>
      </c>
      <c r="E69" s="2" t="inlineStr"/>
    </row>
    <row r="70">
      <c r="A70" t="inlineStr">
        <is>
          <t>Fleet device replacement / loss rate per month</t>
        </is>
      </c>
      <c r="B70" s="2" t="inlineStr">
        <is>
          <t>fleet_replace</t>
        </is>
      </c>
      <c r="C70" s="11" t="n">
        <v>0.01</v>
      </c>
      <c r="D70" s="2" t="inlineStr">
        <is>
          <t>%/mo</t>
        </is>
      </c>
      <c r="E70" s="2" t="inlineStr"/>
    </row>
    <row r="72">
      <c r="A72" s="8" t="inlineStr">
        <is>
          <t>Cloud / AI COGS per paid user-month (2027-28 prices; deflation thereafter)</t>
        </is>
      </c>
      <c r="B72" s="9" t="n"/>
      <c r="C72" s="9" t="n"/>
      <c r="D72" s="9" t="n"/>
      <c r="E72" s="9" t="n"/>
    </row>
    <row r="73">
      <c r="A73" t="inlineStr">
        <is>
          <t>LLM inference (live Q&amp;A, ~150 queries/mo)</t>
        </is>
      </c>
      <c r="B73" s="2" t="inlineStr">
        <is>
          <t>llm_cost</t>
        </is>
      </c>
      <c r="C73" s="12" t="n">
        <v>0.3</v>
      </c>
      <c r="D73" s="2" t="inlineStr">
        <is>
          <t>$/user-mo</t>
        </is>
      </c>
      <c r="E73" s="2" t="inlineStr">
        <is>
          <t>~300k in / 45k out tokens on a Flash-class model: $0.30/M in, $2.50/M out (https://www.morphllm.com/gemini-api-pricing).</t>
        </is>
      </c>
    </row>
    <row r="74">
      <c r="A74" t="inlineStr">
        <is>
          <t>Speech-to-text</t>
        </is>
      </c>
      <c r="B74" s="2" t="inlineStr">
        <is>
          <t>stt_cost</t>
        </is>
      </c>
      <c r="C74" s="12" t="n">
        <v>0.15</v>
      </c>
      <c r="D74" s="2" t="inlineStr">
        <is>
          <t>$/user-mo</t>
        </is>
      </c>
      <c r="E74" s="2" t="inlineStr">
        <is>
          <t>~25 min/mo at ~$0.006/min.</t>
        </is>
      </c>
    </row>
    <row r="75">
      <c r="A75" t="inlineStr">
        <is>
          <t>Cloud neural TTS (stories pre-rendered &amp; cached; live answers only)</t>
        </is>
      </c>
      <c r="B75" s="2" t="inlineStr">
        <is>
          <t>tts_cost</t>
        </is>
      </c>
      <c r="C75" s="12" t="n">
        <v>0.7</v>
      </c>
      <c r="D75" s="2" t="inlineStr">
        <is>
          <t>$/user-mo</t>
        </is>
      </c>
      <c r="E75" s="2" t="inlineStr">
        <is>
          <t>~45k chars at ~$0.016/1k (standard neural); premium ElevenLabs $0.04-0.10/1k would be 3-6x (https://developer.puter.com/tutorials/elevenlabs-api-pricing/).</t>
        </is>
      </c>
    </row>
    <row r="76">
      <c r="A76" t="inlineStr">
        <is>
          <t>Infra: hosting, maps/places API, observability</t>
        </is>
      </c>
      <c r="B76" s="2" t="inlineStr">
        <is>
          <t>infra_cost</t>
        </is>
      </c>
      <c r="C76" s="12" t="n">
        <v>0.25</v>
      </c>
      <c r="D76" s="2" t="inlineStr">
        <is>
          <t>$/user-mo</t>
        </is>
      </c>
      <c r="E76" s="2" t="inlineStr"/>
    </row>
    <row r="77">
      <c r="A77" t="inlineStr">
        <is>
          <t>Data used per Explorer eSIM user per month</t>
        </is>
      </c>
      <c r="B77" s="2" t="inlineStr">
        <is>
          <t>data_gb_used</t>
        </is>
      </c>
      <c r="C77" s="12" t="n">
        <v>0.7</v>
      </c>
      <c r="D77" s="2" t="inlineStr">
        <is>
          <t>GB</t>
        </is>
      </c>
      <c r="E77" s="2" t="inlineStr">
        <is>
          <t>1 GB allowance; most users under-consume.</t>
        </is>
      </c>
    </row>
    <row r="78">
      <c r="A78" t="inlineStr">
        <is>
          <t>Wholesale eSIM data cost per GB (blended global)</t>
        </is>
      </c>
      <c r="B78" s="2" t="inlineStr">
        <is>
          <t>data_cost_gb</t>
        </is>
      </c>
      <c r="C78" s="12" t="n">
        <v>1.6</v>
      </c>
      <c r="D78" s="2" t="inlineStr">
        <is>
          <t>$/GB</t>
        </is>
      </c>
      <c r="E78" s="2" t="inlineStr">
        <is>
          <t>Wholesale lists ~EUR2.5/GB small-volume, ~$1.85/GB illustrative blend (https://simology.io/blog/wholesale-pricing-forecasting-volume-tiers-commitments-and-margins); target with MVNE at volume.</t>
        </is>
      </c>
    </row>
    <row r="79">
      <c r="A79" t="inlineStr">
        <is>
          <t>Billing fees on subscriptions (blend web checkout + app stores)</t>
        </is>
      </c>
      <c r="B79" s="2" t="inlineStr">
        <is>
          <t>sub_pay_fee</t>
        </is>
      </c>
      <c r="C79" s="11" t="n">
        <v>0.08</v>
      </c>
      <c r="D79" s="2" t="inlineStr">
        <is>
          <t>% of rev</t>
        </is>
      </c>
      <c r="E79" s="2" t="inlineStr">
        <is>
          <t>Web checkout ~3%, app stores 15%; blended.</t>
        </is>
      </c>
    </row>
    <row r="80">
      <c r="A80" t="inlineStr">
        <is>
          <t>Free-tier / offline active device cost per month</t>
        </is>
      </c>
      <c r="B80" s="2" t="inlineStr">
        <is>
          <t>free_cost</t>
        </is>
      </c>
      <c r="C80" s="12" t="n">
        <v>0.12</v>
      </c>
      <c r="D80" s="2" t="inlineStr">
        <is>
          <t>$/device-mo</t>
        </is>
      </c>
      <c r="E80" s="2" t="inlineStr">
        <is>
          <t>Pack downloads, basic narration.</t>
        </is>
      </c>
    </row>
    <row r="81">
      <c r="A81" t="inlineStr">
        <is>
          <t>Trip Pass data actually used</t>
        </is>
      </c>
      <c r="B81" s="2" t="inlineStr">
        <is>
          <t>trip_data_gb</t>
        </is>
      </c>
      <c r="C81" s="12" t="n">
        <v>2.5</v>
      </c>
      <c r="D81" s="2" t="inlineStr">
        <is>
          <t>GB</t>
        </is>
      </c>
      <c r="E81" s="2" t="inlineStr">
        <is>
          <t>Half of the 5 GB allowance.</t>
        </is>
      </c>
    </row>
    <row r="82">
      <c r="A82" t="inlineStr">
        <is>
          <t>Trip Pass AI cost</t>
        </is>
      </c>
      <c r="B82" s="2" t="inlineStr">
        <is>
          <t>trip_ai</t>
        </is>
      </c>
      <c r="C82" s="12" t="n">
        <v>0.8</v>
      </c>
      <c r="D82" s="2" t="inlineStr">
        <is>
          <t>$/pass</t>
        </is>
      </c>
      <c r="E82" s="2" t="inlineStr"/>
    </row>
    <row r="83">
      <c r="A83" t="inlineStr">
        <is>
          <t>AI unit-cost deflation per year (from 2029)</t>
        </is>
      </c>
      <c r="B83" s="2" t="inlineStr">
        <is>
          <t>ai_defl</t>
        </is>
      </c>
      <c r="C83" s="11" t="n">
        <v>0.2</v>
      </c>
      <c r="D83" s="2" t="inlineStr">
        <is>
          <t>%/yr</t>
        </is>
      </c>
      <c r="E83" s="2" t="inlineStr">
        <is>
          <t>Token prices have fallen &gt;50%/yr historically; conservative.</t>
        </is>
      </c>
    </row>
    <row r="84">
      <c r="A84" t="inlineStr">
        <is>
          <t>Data cost deflation per year (from 2029)</t>
        </is>
      </c>
      <c r="B84" s="2" t="inlineStr">
        <is>
          <t>data_defl</t>
        </is>
      </c>
      <c r="C84" s="11" t="n">
        <v>0.08</v>
      </c>
      <c r="D84" s="2" t="inlineStr">
        <is>
          <t>%/yr</t>
        </is>
      </c>
      <c r="E84" s="2" t="inlineStr"/>
    </row>
    <row r="86">
      <c r="A86" s="8" t="inlineStr">
        <is>
          <t>Working capital</t>
        </is>
      </c>
      <c r="B86" s="9" t="n"/>
      <c r="C86" s="9" t="n"/>
      <c r="D86" s="9" t="n"/>
      <c r="E86" s="9" t="n"/>
    </row>
    <row r="87">
      <c r="A87" t="inlineStr">
        <is>
          <t>ODM deposit at PO (% of landed cost)</t>
        </is>
      </c>
      <c r="B87" s="2" t="inlineStr">
        <is>
          <t>odm_dep</t>
        </is>
      </c>
      <c r="C87" s="11" t="n">
        <v>0.3</v>
      </c>
      <c r="D87" s="2" t="inlineStr">
        <is>
          <t>%</t>
        </is>
      </c>
      <c r="E87" s="2" t="inlineStr">
        <is>
          <t>30/70 is the common opening term (https://harris-sliwoski.com/chinalawblog/china-manufacturing-payment-terms/).</t>
        </is>
      </c>
    </row>
    <row r="88">
      <c r="A88" t="inlineStr">
        <is>
          <t>Deposit paid N months before shipment month</t>
        </is>
      </c>
      <c r="B88" s="2" t="inlineStr">
        <is>
          <t>dep_lead</t>
        </is>
      </c>
      <c r="C88" s="10" t="n">
        <v>3</v>
      </c>
      <c r="D88" s="2" t="inlineStr">
        <is>
          <t>months</t>
        </is>
      </c>
      <c r="E88" s="2" t="inlineStr">
        <is>
          <t>Component lead time (LTE modules, AMOLED).</t>
        </is>
      </c>
    </row>
    <row r="89">
      <c r="A89" t="inlineStr">
        <is>
          <t>Balance (70%) paid N months before shipment month</t>
        </is>
      </c>
      <c r="B89" s="2" t="inlineStr">
        <is>
          <t>bal_lead</t>
        </is>
      </c>
      <c r="C89" s="10" t="n">
        <v>1</v>
      </c>
      <c r="D89" s="2" t="inlineStr">
        <is>
          <t>months</t>
        </is>
      </c>
      <c r="E89" s="2" t="inlineStr">
        <is>
          <t>Against B/L, ~4-5 wk ocean.</t>
        </is>
      </c>
    </row>
    <row r="90">
      <c r="A90" t="inlineStr">
        <is>
          <t>Inventory days (annual years FY29+)</t>
        </is>
      </c>
      <c r="B90" s="2" t="inlineStr">
        <is>
          <t>inv_days</t>
        </is>
      </c>
      <c r="C90" s="10" t="n">
        <v>60</v>
      </c>
      <c r="D90" s="2" t="inlineStr">
        <is>
          <t>days of HW COGS</t>
        </is>
      </c>
      <c r="E90" s="2" t="inlineStr"/>
    </row>
    <row r="91">
      <c r="A91" t="inlineStr">
        <is>
          <t>Retail receivable days</t>
        </is>
      </c>
      <c r="B91" s="2" t="inlineStr">
        <is>
          <t>ar_days</t>
        </is>
      </c>
      <c r="C91" s="10" t="n">
        <v>45</v>
      </c>
      <c r="D91" s="2" t="inlineStr">
        <is>
          <t>days</t>
        </is>
      </c>
      <c r="E91" s="2" t="inlineStr">
        <is>
          <t>Net-45 typical for big-box / Amazon vendor.</t>
        </is>
      </c>
    </row>
    <row r="93">
      <c r="A93" s="8" t="inlineStr">
        <is>
          <t>Sales &amp; marketing</t>
        </is>
      </c>
      <c r="B93" s="9" t="n"/>
      <c r="C93" s="9" t="n"/>
      <c r="D93" s="9" t="n"/>
      <c r="E93" s="9" t="n"/>
    </row>
    <row r="94">
      <c r="A94" t="inlineStr">
        <is>
          <t>Retail co-op / MDF / displays (% of retail HW revenue)</t>
        </is>
      </c>
      <c r="B94" s="2" t="inlineStr">
        <is>
          <t>retail_coop</t>
        </is>
      </c>
      <c r="C94" s="11" t="n">
        <v>0.06</v>
      </c>
      <c r="D94" s="2" t="inlineStr">
        <is>
          <t>%</t>
        </is>
      </c>
      <c r="E94" s="2" t="inlineStr"/>
    </row>
    <row r="97">
      <c r="A97" s="6" t="inlineStr">
        <is>
          <t>TIME-SERIES INPUTS (blue) -- monthly Nov-26..Dec-28, then FY2029-FY2031</t>
        </is>
      </c>
    </row>
    <row r="98">
      <c r="A98" s="13" t="inlineStr">
        <is>
          <t>Period</t>
        </is>
      </c>
      <c r="C98" s="3">
        <f>Timeline!C2</f>
        <v/>
      </c>
      <c r="D98" s="3">
        <f>Timeline!D2</f>
        <v/>
      </c>
      <c r="E98" s="3">
        <f>Timeline!E2</f>
        <v/>
      </c>
      <c r="F98" s="3">
        <f>Timeline!F2</f>
        <v/>
      </c>
      <c r="G98" s="3">
        <f>Timeline!G2</f>
        <v/>
      </c>
      <c r="H98" s="3">
        <f>Timeline!H2</f>
        <v/>
      </c>
      <c r="I98" s="3">
        <f>Timeline!I2</f>
        <v/>
      </c>
      <c r="J98" s="3">
        <f>Timeline!J2</f>
        <v/>
      </c>
      <c r="K98" s="3">
        <f>Timeline!K2</f>
        <v/>
      </c>
      <c r="L98" s="3">
        <f>Timeline!L2</f>
        <v/>
      </c>
      <c r="M98" s="3">
        <f>Timeline!M2</f>
        <v/>
      </c>
      <c r="N98" s="3">
        <f>Timeline!N2</f>
        <v/>
      </c>
      <c r="O98" s="3">
        <f>Timeline!O2</f>
        <v/>
      </c>
      <c r="P98" s="3">
        <f>Timeline!P2</f>
        <v/>
      </c>
      <c r="Q98" s="3">
        <f>Timeline!Q2</f>
        <v/>
      </c>
      <c r="R98" s="3">
        <f>Timeline!R2</f>
        <v/>
      </c>
      <c r="S98" s="3">
        <f>Timeline!S2</f>
        <v/>
      </c>
      <c r="T98" s="3">
        <f>Timeline!T2</f>
        <v/>
      </c>
      <c r="U98" s="3">
        <f>Timeline!U2</f>
        <v/>
      </c>
      <c r="V98" s="3">
        <f>Timeline!V2</f>
        <v/>
      </c>
      <c r="W98" s="3">
        <f>Timeline!W2</f>
        <v/>
      </c>
      <c r="X98" s="3">
        <f>Timeline!X2</f>
        <v/>
      </c>
      <c r="Y98" s="3">
        <f>Timeline!Y2</f>
        <v/>
      </c>
      <c r="Z98" s="3">
        <f>Timeline!Z2</f>
        <v/>
      </c>
      <c r="AA98" s="3">
        <f>Timeline!AA2</f>
        <v/>
      </c>
      <c r="AB98" s="3">
        <f>Timeline!AB2</f>
        <v/>
      </c>
      <c r="AC98" s="3">
        <f>Timeline!AC2</f>
        <v/>
      </c>
      <c r="AD98" s="3">
        <f>Timeline!AD2</f>
        <v/>
      </c>
      <c r="AE98" s="3">
        <f>Timeline!AE2</f>
        <v/>
      </c>
    </row>
    <row r="99">
      <c r="A99" t="inlineStr">
        <is>
          <t>Regular unit sales, all SKUs (DTC + retail), base</t>
        </is>
      </c>
      <c r="B99" s="2" t="inlineStr">
        <is>
          <t>reg_units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800</v>
      </c>
      <c r="Q99" s="14" t="n">
        <v>1200</v>
      </c>
      <c r="R99" s="14" t="n">
        <v>1300</v>
      </c>
      <c r="S99" s="14" t="n">
        <v>1600</v>
      </c>
      <c r="T99" s="14" t="n">
        <v>2000</v>
      </c>
      <c r="U99" s="14" t="n">
        <v>2400</v>
      </c>
      <c r="V99" s="14" t="n">
        <v>2800</v>
      </c>
      <c r="W99" s="14" t="n">
        <v>3300</v>
      </c>
      <c r="X99" s="14" t="n">
        <v>3400</v>
      </c>
      <c r="Y99" s="14" t="n">
        <v>3200</v>
      </c>
      <c r="Z99" s="14" t="n">
        <v>3600</v>
      </c>
      <c r="AA99" s="14" t="n">
        <v>5200</v>
      </c>
      <c r="AB99" s="14" t="n">
        <v>7400</v>
      </c>
      <c r="AC99" s="14" t="n">
        <v>95000</v>
      </c>
      <c r="AD99" s="14" t="n">
        <v>170000</v>
      </c>
      <c r="AE99" s="14" t="n">
        <v>265000</v>
      </c>
      <c r="AG99" s="2" t="inlineStr">
        <is>
          <t>2028 ramp w/ Q4 holiday peak; FY29-31 growth +154%/+79%/+56%.</t>
        </is>
      </c>
    </row>
    <row r="100">
      <c r="A100" t="inlineStr">
        <is>
          <t>Pre-order units shipped (% of total pre-orders)</t>
        </is>
      </c>
      <c r="B100" s="2" t="inlineStr">
        <is>
          <t>pre_ship_pct</t>
        </is>
      </c>
      <c r="C100" s="15" t="n">
        <v>0</v>
      </c>
      <c r="D100" s="15" t="n">
        <v>0</v>
      </c>
      <c r="E100" s="15" t="n">
        <v>0</v>
      </c>
      <c r="F100" s="15" t="n">
        <v>0</v>
      </c>
      <c r="G100" s="15" t="n">
        <v>0</v>
      </c>
      <c r="H100" s="15" t="n">
        <v>0</v>
      </c>
      <c r="I100" s="15" t="n">
        <v>0</v>
      </c>
      <c r="J100" s="15" t="n">
        <v>0</v>
      </c>
      <c r="K100" s="15" t="n">
        <v>0</v>
      </c>
      <c r="L100" s="15" t="n">
        <v>0</v>
      </c>
      <c r="M100" s="15" t="n">
        <v>0</v>
      </c>
      <c r="N100" s="15" t="n">
        <v>0</v>
      </c>
      <c r="O100" s="15" t="n">
        <v>0.5</v>
      </c>
      <c r="P100" s="15" t="n">
        <v>0.37</v>
      </c>
      <c r="Q100" s="15" t="n">
        <v>0.13</v>
      </c>
      <c r="R100" s="15" t="n">
        <v>0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0</v>
      </c>
      <c r="Y100" s="15" t="n">
        <v>0</v>
      </c>
      <c r="Z100" s="15" t="n">
        <v>0</v>
      </c>
      <c r="AA100" s="15" t="n">
        <v>0</v>
      </c>
      <c r="AB100" s="15" t="n">
        <v>0</v>
      </c>
      <c r="AC100" s="15" t="n">
        <v>0</v>
      </c>
      <c r="AD100" s="15" t="n">
        <v>0</v>
      </c>
      <c r="AE100" s="15" t="n">
        <v>0</v>
      </c>
      <c r="AG100" s="2" t="inlineStr">
        <is>
          <t>Q4-2027 first shipments (COMPANY.md).</t>
        </is>
      </c>
    </row>
    <row r="101">
      <c r="A101" t="inlineStr">
        <is>
          <t>Pre-order cash collected (% of total pre-orders)</t>
        </is>
      </c>
      <c r="B101" s="2" t="inlineStr">
        <is>
          <t>pre_collect_pct</t>
        </is>
      </c>
      <c r="C101" s="15" t="n">
        <v>0</v>
      </c>
      <c r="D101" s="15" t="n">
        <v>0</v>
      </c>
      <c r="E101" s="15" t="n">
        <v>0</v>
      </c>
      <c r="F101" s="15" t="n">
        <v>0</v>
      </c>
      <c r="G101" s="15" t="n">
        <v>0</v>
      </c>
      <c r="H101" s="15" t="n">
        <v>0</v>
      </c>
      <c r="I101" s="15" t="n">
        <v>0</v>
      </c>
      <c r="J101" s="15" t="n">
        <v>0.8</v>
      </c>
      <c r="K101" s="15" t="n">
        <v>0.05</v>
      </c>
      <c r="L101" s="15" t="n">
        <v>0.05</v>
      </c>
      <c r="M101" s="15" t="n">
        <v>0.05</v>
      </c>
      <c r="N101" s="15" t="n">
        <v>0.05</v>
      </c>
      <c r="O101" s="15" t="n">
        <v>0</v>
      </c>
      <c r="P101" s="15" t="n">
        <v>0</v>
      </c>
      <c r="Q101" s="15" t="n">
        <v>0</v>
      </c>
      <c r="R101" s="15" t="n">
        <v>0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0</v>
      </c>
      <c r="Y101" s="15" t="n">
        <v>0</v>
      </c>
      <c r="Z101" s="15" t="n">
        <v>0</v>
      </c>
      <c r="AA101" s="15" t="n">
        <v>0</v>
      </c>
      <c r="AB101" s="15" t="n">
        <v>0</v>
      </c>
      <c r="AC101" s="15" t="n">
        <v>0</v>
      </c>
      <c r="AD101" s="15" t="n">
        <v>0</v>
      </c>
      <c r="AE101" s="15" t="n">
        <v>0</v>
      </c>
      <c r="AG101" s="2" t="inlineStr">
        <is>
          <t>KS campaign May-2027, payout ~14 days after close = Jun-2027; late pledges Jul-Oct.</t>
        </is>
      </c>
    </row>
    <row r="102">
      <c r="A102" t="inlineStr">
        <is>
          <t>Retail / wholesale share of regular units</t>
        </is>
      </c>
      <c r="B102" s="2" t="inlineStr">
        <is>
          <t>retail_share</t>
        </is>
      </c>
      <c r="C102" s="15" t="n">
        <v>0</v>
      </c>
      <c r="D102" s="15" t="n">
        <v>0</v>
      </c>
      <c r="E102" s="15" t="n">
        <v>0</v>
      </c>
      <c r="F102" s="15" t="n">
        <v>0</v>
      </c>
      <c r="G102" s="15" t="n">
        <v>0</v>
      </c>
      <c r="H102" s="15" t="n">
        <v>0</v>
      </c>
      <c r="I102" s="15" t="n">
        <v>0</v>
      </c>
      <c r="J102" s="15" t="n">
        <v>0</v>
      </c>
      <c r="K102" s="15" t="n">
        <v>0</v>
      </c>
      <c r="L102" s="15" t="n">
        <v>0</v>
      </c>
      <c r="M102" s="15" t="n">
        <v>0</v>
      </c>
      <c r="N102" s="15" t="n">
        <v>0</v>
      </c>
      <c r="O102" s="15" t="n">
        <v>0</v>
      </c>
      <c r="P102" s="15" t="n">
        <v>0</v>
      </c>
      <c r="Q102" s="15" t="n">
        <v>0.1</v>
      </c>
      <c r="R102" s="15" t="n">
        <v>0.1</v>
      </c>
      <c r="S102" s="15" t="n">
        <v>0.1</v>
      </c>
      <c r="T102" s="15" t="n">
        <v>0.1</v>
      </c>
      <c r="U102" s="15" t="n">
        <v>0.1</v>
      </c>
      <c r="V102" s="15" t="n">
        <v>0.1</v>
      </c>
      <c r="W102" s="15" t="n">
        <v>0.25</v>
      </c>
      <c r="X102" s="15" t="n">
        <v>0.25</v>
      </c>
      <c r="Y102" s="15" t="n">
        <v>0.25</v>
      </c>
      <c r="Z102" s="15" t="n">
        <v>0.25</v>
      </c>
      <c r="AA102" s="15" t="n">
        <v>0.25</v>
      </c>
      <c r="AB102" s="15" t="n">
        <v>0.25</v>
      </c>
      <c r="AC102" s="15" t="n">
        <v>0.35</v>
      </c>
      <c r="AD102" s="15" t="n">
        <v>0.45</v>
      </c>
      <c r="AE102" s="15" t="n">
        <v>0.5</v>
      </c>
      <c r="AG102" s="2" t="inlineStr">
        <is>
          <t>Retail from 2028 (COMPANY.md).</t>
        </is>
      </c>
    </row>
    <row r="103">
      <c r="A103" t="inlineStr">
        <is>
          <t>SKU mix of regular units -- Pebble</t>
        </is>
      </c>
      <c r="B103" s="2" t="inlineStr">
        <is>
          <t>mix_peb</t>
        </is>
      </c>
      <c r="C103" s="15" t="n">
        <v>0.45</v>
      </c>
      <c r="D103" s="15" t="n">
        <v>0.45</v>
      </c>
      <c r="E103" s="15" t="n">
        <v>0.45</v>
      </c>
      <c r="F103" s="15" t="n">
        <v>0.45</v>
      </c>
      <c r="G103" s="15" t="n">
        <v>0.45</v>
      </c>
      <c r="H103" s="15" t="n">
        <v>0.45</v>
      </c>
      <c r="I103" s="15" t="n">
        <v>0.45</v>
      </c>
      <c r="J103" s="15" t="n">
        <v>0.45</v>
      </c>
      <c r="K103" s="15" t="n">
        <v>0.45</v>
      </c>
      <c r="L103" s="15" t="n">
        <v>0.45</v>
      </c>
      <c r="M103" s="15" t="n">
        <v>0.45</v>
      </c>
      <c r="N103" s="15" t="n">
        <v>0.45</v>
      </c>
      <c r="O103" s="15" t="n">
        <v>0.45</v>
      </c>
      <c r="P103" s="15" t="n">
        <v>0.45</v>
      </c>
      <c r="Q103" s="15" t="n">
        <v>0.45</v>
      </c>
      <c r="R103" s="15" t="n">
        <v>0.45</v>
      </c>
      <c r="S103" s="15" t="n">
        <v>0.45</v>
      </c>
      <c r="T103" s="15" t="n">
        <v>0.45</v>
      </c>
      <c r="U103" s="15" t="n">
        <v>0.45</v>
      </c>
      <c r="V103" s="15" t="n">
        <v>0.45</v>
      </c>
      <c r="W103" s="15" t="n">
        <v>0.45</v>
      </c>
      <c r="X103" s="15" t="n">
        <v>0.45</v>
      </c>
      <c r="Y103" s="15" t="n">
        <v>0.38</v>
      </c>
      <c r="Z103" s="15" t="n">
        <v>0.38</v>
      </c>
      <c r="AA103" s="15" t="n">
        <v>0.38</v>
      </c>
      <c r="AB103" s="15" t="n">
        <v>0.38</v>
      </c>
      <c r="AC103" s="15" t="n">
        <v>0.38</v>
      </c>
      <c r="AD103" s="15" t="n">
        <v>0.37</v>
      </c>
      <c r="AE103" s="15" t="n">
        <v>0.36</v>
      </c>
    </row>
    <row r="104">
      <c r="A104" t="inlineStr">
        <is>
          <t>SKU mix of regular units -- Square</t>
        </is>
      </c>
      <c r="B104" s="2" t="inlineStr">
        <is>
          <t>mix_sq</t>
        </is>
      </c>
      <c r="C104" s="15" t="n">
        <v>0.55</v>
      </c>
      <c r="D104" s="15" t="n">
        <v>0.55</v>
      </c>
      <c r="E104" s="15" t="n">
        <v>0.55</v>
      </c>
      <c r="F104" s="15" t="n">
        <v>0.55</v>
      </c>
      <c r="G104" s="15" t="n">
        <v>0.55</v>
      </c>
      <c r="H104" s="15" t="n">
        <v>0.55</v>
      </c>
      <c r="I104" s="15" t="n">
        <v>0.55</v>
      </c>
      <c r="J104" s="15" t="n">
        <v>0.55</v>
      </c>
      <c r="K104" s="15" t="n">
        <v>0.55</v>
      </c>
      <c r="L104" s="15" t="n">
        <v>0.55</v>
      </c>
      <c r="M104" s="15" t="n">
        <v>0.55</v>
      </c>
      <c r="N104" s="15" t="n">
        <v>0.55</v>
      </c>
      <c r="O104" s="15" t="n">
        <v>0.55</v>
      </c>
      <c r="P104" s="15" t="n">
        <v>0.55</v>
      </c>
      <c r="Q104" s="15" t="n">
        <v>0.55</v>
      </c>
      <c r="R104" s="15" t="n">
        <v>0.55</v>
      </c>
      <c r="S104" s="15" t="n">
        <v>0.55</v>
      </c>
      <c r="T104" s="15" t="n">
        <v>0.55</v>
      </c>
      <c r="U104" s="15" t="n">
        <v>0.55</v>
      </c>
      <c r="V104" s="15" t="n">
        <v>0.55</v>
      </c>
      <c r="W104" s="15" t="n">
        <v>0.55</v>
      </c>
      <c r="X104" s="15" t="n">
        <v>0.55</v>
      </c>
      <c r="Y104" s="15" t="n">
        <v>0.47</v>
      </c>
      <c r="Z104" s="15" t="n">
        <v>0.47</v>
      </c>
      <c r="AA104" s="15" t="n">
        <v>0.47</v>
      </c>
      <c r="AB104" s="15" t="n">
        <v>0.47</v>
      </c>
      <c r="AC104" s="15" t="n">
        <v>0.45</v>
      </c>
      <c r="AD104" s="15" t="n">
        <v>0.45</v>
      </c>
      <c r="AE104" s="15" t="n">
        <v>0.45</v>
      </c>
    </row>
    <row r="105">
      <c r="A105" t="inlineStr">
        <is>
          <t>SKU mix of regular units -- Atlas (from Sep-2028)</t>
        </is>
      </c>
      <c r="B105" s="2" t="inlineStr">
        <is>
          <t>mix_atl</t>
        </is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  <c r="K105" s="15" t="n">
        <v>0</v>
      </c>
      <c r="L105" s="15" t="n">
        <v>0</v>
      </c>
      <c r="M105" s="15" t="n">
        <v>0</v>
      </c>
      <c r="N105" s="15" t="n">
        <v>0</v>
      </c>
      <c r="O105" s="15" t="n">
        <v>0</v>
      </c>
      <c r="P105" s="15" t="n">
        <v>0</v>
      </c>
      <c r="Q105" s="15" t="n">
        <v>0</v>
      </c>
      <c r="R105" s="15" t="n">
        <v>0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0</v>
      </c>
      <c r="Y105" s="15" t="n">
        <v>0.15</v>
      </c>
      <c r="Z105" s="15" t="n">
        <v>0.15</v>
      </c>
      <c r="AA105" s="15" t="n">
        <v>0.15</v>
      </c>
      <c r="AB105" s="15" t="n">
        <v>0.15</v>
      </c>
      <c r="AC105" s="15" t="n">
        <v>0.17</v>
      </c>
      <c r="AD105" s="15" t="n">
        <v>0.18</v>
      </c>
      <c r="AE105" s="15" t="n">
        <v>0.19</v>
      </c>
    </row>
    <row r="106">
      <c r="A106" t="inlineStr">
        <is>
          <t>B2B fleet devices deployed (end of period)</t>
        </is>
      </c>
      <c r="B106" s="2" t="inlineStr">
        <is>
          <t>fleet_end</t>
        </is>
      </c>
      <c r="C106" s="14" t="n">
        <v>0</v>
      </c>
      <c r="D106" s="14" t="n">
        <v>0</v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50</v>
      </c>
      <c r="U106" s="14" t="n">
        <v>100</v>
      </c>
      <c r="V106" s="14" t="n">
        <v>150</v>
      </c>
      <c r="W106" s="14" t="n">
        <v>200</v>
      </c>
      <c r="X106" s="14" t="n">
        <v>250</v>
      </c>
      <c r="Y106" s="14" t="n">
        <v>300</v>
      </c>
      <c r="Z106" s="14" t="n">
        <v>400</v>
      </c>
      <c r="AA106" s="14" t="n">
        <v>500</v>
      </c>
      <c r="AB106" s="14" t="n">
        <v>600</v>
      </c>
      <c r="AC106" s="14" t="n">
        <v>2500</v>
      </c>
      <c r="AD106" s="14" t="n">
        <v>6000</v>
      </c>
      <c r="AE106" s="14" t="n">
        <v>11000</v>
      </c>
      <c r="AG106" s="2" t="inlineStr">
        <is>
          <t>Hostels &amp; tour operators.</t>
        </is>
      </c>
    </row>
    <row r="107">
      <c r="A107" t="inlineStr">
        <is>
          <t>Landed-COGS index (learning curve / volume)</t>
        </is>
      </c>
      <c r="B107" s="2" t="inlineStr">
        <is>
          <t>cogs_index</t>
        </is>
      </c>
      <c r="C107" s="16" t="n">
        <v>1</v>
      </c>
      <c r="D107" s="16" t="n">
        <v>1</v>
      </c>
      <c r="E107" s="16" t="n">
        <v>1</v>
      </c>
      <c r="F107" s="16" t="n">
        <v>1</v>
      </c>
      <c r="G107" s="16" t="n">
        <v>1</v>
      </c>
      <c r="H107" s="16" t="n">
        <v>1</v>
      </c>
      <c r="I107" s="16" t="n">
        <v>1</v>
      </c>
      <c r="J107" s="16" t="n">
        <v>1</v>
      </c>
      <c r="K107" s="16" t="n">
        <v>1</v>
      </c>
      <c r="L107" s="16" t="n">
        <v>1</v>
      </c>
      <c r="M107" s="16" t="n">
        <v>1</v>
      </c>
      <c r="N107" s="16" t="n">
        <v>1</v>
      </c>
      <c r="O107" s="16" t="n">
        <v>1</v>
      </c>
      <c r="P107" s="16" t="n">
        <v>1</v>
      </c>
      <c r="Q107" s="16" t="n">
        <v>1</v>
      </c>
      <c r="R107" s="16" t="n">
        <v>1</v>
      </c>
      <c r="S107" s="16" t="n">
        <v>1</v>
      </c>
      <c r="T107" s="16" t="n">
        <v>1</v>
      </c>
      <c r="U107" s="16" t="n">
        <v>1</v>
      </c>
      <c r="V107" s="16" t="n">
        <v>1</v>
      </c>
      <c r="W107" s="16" t="n">
        <v>1</v>
      </c>
      <c r="X107" s="16" t="n">
        <v>1</v>
      </c>
      <c r="Y107" s="16" t="n">
        <v>1</v>
      </c>
      <c r="Z107" s="16" t="n">
        <v>1</v>
      </c>
      <c r="AA107" s="16" t="n">
        <v>1</v>
      </c>
      <c r="AB107" s="16" t="n">
        <v>1</v>
      </c>
      <c r="AC107" s="16" t="n">
        <v>0.9399999999999999</v>
      </c>
      <c r="AD107" s="16" t="n">
        <v>0.89</v>
      </c>
      <c r="AE107" s="16" t="n">
        <v>0.85</v>
      </c>
      <c r="AG107" s="2" t="inlineStr">
        <is>
          <t>~5-6%/yr cost-down at volume.</t>
        </is>
      </c>
    </row>
    <row r="108">
      <c r="A108" t="inlineStr">
        <is>
          <t>Affiliate booking revenue per active device per month</t>
        </is>
      </c>
      <c r="B108" s="2" t="inlineStr">
        <is>
          <t>affiliate_rate</t>
        </is>
      </c>
      <c r="C108" s="17" t="n">
        <v>0.3</v>
      </c>
      <c r="D108" s="17" t="n">
        <v>0.3</v>
      </c>
      <c r="E108" s="17" t="n">
        <v>0.3</v>
      </c>
      <c r="F108" s="17" t="n">
        <v>0.3</v>
      </c>
      <c r="G108" s="17" t="n">
        <v>0.3</v>
      </c>
      <c r="H108" s="17" t="n">
        <v>0.3</v>
      </c>
      <c r="I108" s="17" t="n">
        <v>0.3</v>
      </c>
      <c r="J108" s="17" t="n">
        <v>0.3</v>
      </c>
      <c r="K108" s="17" t="n">
        <v>0.3</v>
      </c>
      <c r="L108" s="17" t="n">
        <v>0.3</v>
      </c>
      <c r="M108" s="17" t="n">
        <v>0.3</v>
      </c>
      <c r="N108" s="17" t="n">
        <v>0.3</v>
      </c>
      <c r="O108" s="17" t="n">
        <v>0.3</v>
      </c>
      <c r="P108" s="17" t="n">
        <v>0.3</v>
      </c>
      <c r="Q108" s="17" t="n">
        <v>0.3</v>
      </c>
      <c r="R108" s="17" t="n">
        <v>0.3</v>
      </c>
      <c r="S108" s="17" t="n">
        <v>0.3</v>
      </c>
      <c r="T108" s="17" t="n">
        <v>0.3</v>
      </c>
      <c r="U108" s="17" t="n">
        <v>0.3</v>
      </c>
      <c r="V108" s="17" t="n">
        <v>0.3</v>
      </c>
      <c r="W108" s="17" t="n">
        <v>0.3</v>
      </c>
      <c r="X108" s="17" t="n">
        <v>0.3</v>
      </c>
      <c r="Y108" s="17" t="n">
        <v>0.3</v>
      </c>
      <c r="Z108" s="17" t="n">
        <v>0.3</v>
      </c>
      <c r="AA108" s="17" t="n">
        <v>0.3</v>
      </c>
      <c r="AB108" s="17" t="n">
        <v>0.3</v>
      </c>
      <c r="AC108" s="17" t="n">
        <v>0.4</v>
      </c>
      <c r="AD108" s="17" t="n">
        <v>0.5</v>
      </c>
      <c r="AE108" s="17" t="n">
        <v>0.6</v>
      </c>
      <c r="AG108" s="2" t="inlineStr">
        <is>
          <t>Tours/hotels/restaurants commissions (~8% tours, ~4-6% hotels) on in-app bookings.</t>
        </is>
      </c>
    </row>
    <row r="109">
      <c r="A109" t="inlineStr">
        <is>
          <t>Paid CAC per regular DTC unit (before scenario)</t>
        </is>
      </c>
      <c r="B109" s="2" t="inlineStr">
        <is>
          <t>cac</t>
        </is>
      </c>
      <c r="C109" s="14" t="n">
        <v>0</v>
      </c>
      <c r="D109" s="14" t="n">
        <v>0</v>
      </c>
      <c r="E109" s="14" t="n">
        <v>45</v>
      </c>
      <c r="F109" s="14" t="n">
        <v>45</v>
      </c>
      <c r="G109" s="14" t="n">
        <v>45</v>
      </c>
      <c r="H109" s="14" t="n">
        <v>45</v>
      </c>
      <c r="I109" s="14" t="n">
        <v>45</v>
      </c>
      <c r="J109" s="14" t="n">
        <v>45</v>
      </c>
      <c r="K109" s="14" t="n">
        <v>45</v>
      </c>
      <c r="L109" s="14" t="n">
        <v>45</v>
      </c>
      <c r="M109" s="14" t="n">
        <v>45</v>
      </c>
      <c r="N109" s="14" t="n">
        <v>45</v>
      </c>
      <c r="O109" s="14" t="n">
        <v>45</v>
      </c>
      <c r="P109" s="14" t="n">
        <v>45</v>
      </c>
      <c r="Q109" s="14" t="n">
        <v>60</v>
      </c>
      <c r="R109" s="14" t="n">
        <v>60</v>
      </c>
      <c r="S109" s="14" t="n">
        <v>60</v>
      </c>
      <c r="T109" s="14" t="n">
        <v>60</v>
      </c>
      <c r="U109" s="14" t="n">
        <v>60</v>
      </c>
      <c r="V109" s="14" t="n">
        <v>60</v>
      </c>
      <c r="W109" s="14" t="n">
        <v>60</v>
      </c>
      <c r="X109" s="14" t="n">
        <v>60</v>
      </c>
      <c r="Y109" s="14" t="n">
        <v>60</v>
      </c>
      <c r="Z109" s="14" t="n">
        <v>60</v>
      </c>
      <c r="AA109" s="14" t="n">
        <v>60</v>
      </c>
      <c r="AB109" s="14" t="n">
        <v>60</v>
      </c>
      <c r="AC109" s="14" t="n">
        <v>70</v>
      </c>
      <c r="AD109" s="14" t="n">
        <v>75</v>
      </c>
      <c r="AE109" s="14" t="n">
        <v>80</v>
      </c>
      <c r="AG109" s="2" t="inlineStr">
        <is>
          <t>Consumer electronics CAC ~$76-120 across all channels (https://tenten.co/shopify/d2c-cac-benchmarks-2026/); ours lower as KS community + PR + affiliates drive a share.</t>
        </is>
      </c>
    </row>
    <row r="110">
      <c r="A110" t="inlineStr">
        <is>
          <t>Kickstarter pre-launch &amp; campaign marketing</t>
        </is>
      </c>
      <c r="B110" s="2" t="inlineStr">
        <is>
          <t>ks_mkt</t>
        </is>
      </c>
      <c r="C110" s="14" t="n">
        <v>0</v>
      </c>
      <c r="D110" s="14" t="n">
        <v>0</v>
      </c>
      <c r="E110" s="14" t="n">
        <v>10000</v>
      </c>
      <c r="F110" s="14" t="n">
        <v>20000</v>
      </c>
      <c r="G110" s="14" t="n">
        <v>40000</v>
      </c>
      <c r="H110" s="14" t="n">
        <v>60000</v>
      </c>
      <c r="I110" s="14" t="n">
        <v>70000</v>
      </c>
      <c r="J110" s="14" t="n">
        <v>15000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G110" s="2" t="inlineStr">
        <is>
          <t>Video, ads to build ~20-25k email leads, PR, agency (LaunchBoom/Jellop-type retainers).</t>
        </is>
      </c>
    </row>
    <row r="111">
      <c r="A111" t="inlineStr">
        <is>
          <t>Brand, content, PR &amp; events (non-paid-acquisition)</t>
        </is>
      </c>
      <c r="B111" s="2" t="inlineStr">
        <is>
          <t>brand_mkt</t>
        </is>
      </c>
      <c r="C111" s="14" t="n">
        <v>3000</v>
      </c>
      <c r="D111" s="14" t="n">
        <v>3000</v>
      </c>
      <c r="E111" s="14" t="n">
        <v>6000</v>
      </c>
      <c r="F111" s="14" t="n">
        <v>6000</v>
      </c>
      <c r="G111" s="14" t="n">
        <v>6000</v>
      </c>
      <c r="H111" s="14" t="n">
        <v>6000</v>
      </c>
      <c r="I111" s="14" t="n">
        <v>6000</v>
      </c>
      <c r="J111" s="14" t="n">
        <v>6000</v>
      </c>
      <c r="K111" s="14" t="n">
        <v>15000</v>
      </c>
      <c r="L111" s="14" t="n">
        <v>15000</v>
      </c>
      <c r="M111" s="14" t="n">
        <v>15000</v>
      </c>
      <c r="N111" s="14" t="n">
        <v>20000</v>
      </c>
      <c r="O111" s="14" t="n">
        <v>25000</v>
      </c>
      <c r="P111" s="14" t="n">
        <v>25000</v>
      </c>
      <c r="Q111" s="14" t="n">
        <v>40000</v>
      </c>
      <c r="R111" s="14" t="n">
        <v>40000</v>
      </c>
      <c r="S111" s="14" t="n">
        <v>40000</v>
      </c>
      <c r="T111" s="14" t="n">
        <v>40000</v>
      </c>
      <c r="U111" s="14" t="n">
        <v>40000</v>
      </c>
      <c r="V111" s="14" t="n">
        <v>40000</v>
      </c>
      <c r="W111" s="14" t="n">
        <v>40000</v>
      </c>
      <c r="X111" s="14" t="n">
        <v>40000</v>
      </c>
      <c r="Y111" s="14" t="n">
        <v>40000</v>
      </c>
      <c r="Z111" s="14" t="n">
        <v>40000</v>
      </c>
      <c r="AA111" s="14" t="n">
        <v>40000</v>
      </c>
      <c r="AB111" s="14" t="n">
        <v>40000</v>
      </c>
      <c r="AC111" s="14" t="n">
        <v>1200000</v>
      </c>
      <c r="AD111" s="14" t="n">
        <v>2500000</v>
      </c>
      <c r="AE111" s="14" t="n">
        <v>4000000</v>
      </c>
    </row>
    <row r="112">
      <c r="A112" t="inlineStr">
        <is>
          <t>R&amp;D: ID / ME / CMF design agency</t>
        </is>
      </c>
      <c r="B112" s="2" t="inlineStr">
        <is>
          <t>nre_id</t>
        </is>
      </c>
      <c r="C112" s="14" t="n">
        <v>25000</v>
      </c>
      <c r="D112" s="14" t="n">
        <v>25000</v>
      </c>
      <c r="E112" s="14" t="n">
        <v>20000</v>
      </c>
      <c r="F112" s="14" t="n">
        <v>15000</v>
      </c>
      <c r="G112" s="14" t="n">
        <v>10000</v>
      </c>
      <c r="H112" s="14" t="n">
        <v>0</v>
      </c>
      <c r="I112" s="14" t="n">
        <v>0</v>
      </c>
      <c r="J112" s="14" t="n">
        <v>0</v>
      </c>
      <c r="K112" s="14" t="n">
        <v>0</v>
      </c>
      <c r="L112" s="14" t="n">
        <v>0</v>
      </c>
      <c r="M112" s="14" t="n">
        <v>0</v>
      </c>
      <c r="N112" s="14" t="n">
        <v>0</v>
      </c>
      <c r="O112" s="14" t="n">
        <v>0</v>
      </c>
      <c r="P112" s="14" t="n">
        <v>0</v>
      </c>
      <c r="Q112" s="14" t="n">
        <v>20000</v>
      </c>
      <c r="R112" s="14" t="n">
        <v>20000</v>
      </c>
      <c r="S112" s="14" t="n">
        <v>15000</v>
      </c>
      <c r="T112" s="14" t="n">
        <v>0</v>
      </c>
      <c r="U112" s="14" t="n">
        <v>0</v>
      </c>
      <c r="V112" s="14" t="n">
        <v>0</v>
      </c>
      <c r="W112" s="14" t="n">
        <v>0</v>
      </c>
      <c r="X112" s="14" t="n">
        <v>0</v>
      </c>
      <c r="Y112" s="14" t="n">
        <v>0</v>
      </c>
      <c r="Z112" s="14" t="n">
        <v>0</v>
      </c>
      <c r="AA112" s="14" t="n">
        <v>0</v>
      </c>
      <c r="AB112" s="14" t="n">
        <v>0</v>
      </c>
      <c r="AC112" s="14" t="n">
        <v>300000</v>
      </c>
      <c r="AD112" s="14" t="n">
        <v>400000</v>
      </c>
      <c r="AE112" s="14" t="n">
        <v>500000</v>
      </c>
    </row>
    <row r="113">
      <c r="A113" t="inlineStr">
        <is>
          <t>R&amp;D: ODM engineering NRE (EVT/DVT/PVT)</t>
        </is>
      </c>
      <c r="B113" s="2" t="inlineStr">
        <is>
          <t>nre_odm</t>
        </is>
      </c>
      <c r="C113" s="14" t="n">
        <v>0</v>
      </c>
      <c r="D113" s="14" t="n">
        <v>30000</v>
      </c>
      <c r="E113" s="14" t="n">
        <v>30000</v>
      </c>
      <c r="F113" s="14" t="n">
        <v>20000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80000</v>
      </c>
      <c r="L113" s="14" t="n">
        <v>60000</v>
      </c>
      <c r="M113" s="14" t="n">
        <v>60000</v>
      </c>
      <c r="N113" s="14" t="n">
        <v>40000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80000</v>
      </c>
      <c r="T113" s="14" t="n">
        <v>0</v>
      </c>
      <c r="U113" s="14" t="n">
        <v>80000</v>
      </c>
      <c r="V113" s="14" t="n">
        <v>0</v>
      </c>
      <c r="W113" s="14" t="n">
        <v>60000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600000</v>
      </c>
      <c r="AD113" s="14" t="n">
        <v>900000</v>
      </c>
      <c r="AE113" s="14" t="n">
        <v>1200000</v>
      </c>
      <c r="AG113" s="2" t="inlineStr">
        <is>
          <t>Pebble+Square 2027; Atlas 2028; Gen-2 2029+.</t>
        </is>
      </c>
    </row>
    <row r="114">
      <c r="A114" t="inlineStr">
        <is>
          <t>R&amp;D: prototype builds (EVT 50u, DVT 150u, PVT)</t>
        </is>
      </c>
      <c r="B114" s="2" t="inlineStr">
        <is>
          <t>nre_proto</t>
        </is>
      </c>
      <c r="C114" s="14" t="n">
        <v>0</v>
      </c>
      <c r="D114" s="14" t="n">
        <v>0</v>
      </c>
      <c r="E114" s="14" t="n">
        <v>0</v>
      </c>
      <c r="F114" s="14" t="n">
        <v>35000</v>
      </c>
      <c r="G114" s="14" t="n">
        <v>0</v>
      </c>
      <c r="H114" s="14" t="n">
        <v>0</v>
      </c>
      <c r="I114" s="14" t="n">
        <v>0</v>
      </c>
      <c r="J114" s="14" t="n">
        <v>0</v>
      </c>
      <c r="K114" s="14" t="n">
        <v>40000</v>
      </c>
      <c r="L114" s="14" t="n">
        <v>0</v>
      </c>
      <c r="M114" s="14" t="n">
        <v>30000</v>
      </c>
      <c r="N114" s="14" t="n">
        <v>0</v>
      </c>
      <c r="O114" s="14" t="n">
        <v>0</v>
      </c>
      <c r="P114" s="14" t="n">
        <v>0</v>
      </c>
      <c r="Q114" s="14" t="n">
        <v>0</v>
      </c>
      <c r="R114" s="14" t="n">
        <v>0</v>
      </c>
      <c r="S114" s="14" t="n">
        <v>0</v>
      </c>
      <c r="T114" s="14" t="n">
        <v>30000</v>
      </c>
      <c r="U114" s="14" t="n">
        <v>0</v>
      </c>
      <c r="V114" s="14" t="n">
        <v>30000</v>
      </c>
      <c r="W114" s="14" t="n">
        <v>0</v>
      </c>
      <c r="X114" s="14" t="n">
        <v>0</v>
      </c>
      <c r="Y114" s="14" t="n">
        <v>0</v>
      </c>
      <c r="Z114" s="14" t="n">
        <v>0</v>
      </c>
      <c r="AA114" s="14" t="n">
        <v>0</v>
      </c>
      <c r="AB114" s="14" t="n">
        <v>0</v>
      </c>
      <c r="AC114" s="14" t="n">
        <v>150000</v>
      </c>
      <c r="AD114" s="14" t="n">
        <v>200000</v>
      </c>
      <c r="AE114" s="14" t="n">
        <v>250000</v>
      </c>
      <c r="AG114" s="2" t="inlineStr">
        <is>
          <t>Q1-2027: 50 EVT units (COMPANY.md).</t>
        </is>
      </c>
    </row>
    <row r="115">
      <c r="A115" t="inlineStr">
        <is>
          <t>R&amp;D: certification (FCC/CE/UKCA/IC, PTCRB/GCF, carrier, NTN)</t>
        </is>
      </c>
      <c r="B115" s="2" t="inlineStr">
        <is>
          <t>nre_cert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25000</v>
      </c>
      <c r="M115" s="14" t="n">
        <v>90000</v>
      </c>
      <c r="N115" s="14" t="n">
        <v>70000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120000</v>
      </c>
      <c r="X115" s="14" t="n">
        <v>60000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250000</v>
      </c>
      <c r="AD115" s="14" t="n">
        <v>300000</v>
      </c>
      <c r="AE115" s="14" t="n">
        <v>350000</v>
      </c>
      <c r="AG115" s="2" t="inlineStr">
        <is>
          <t>LTE device PTCRB/GCF + carrier is the big ticket; estimate, reconcile with hardware/ cert plan.</t>
        </is>
      </c>
    </row>
    <row r="116">
      <c r="A116" t="inlineStr">
        <is>
          <t>R&amp;D: City Pack content (fact-checking, data licences, editors' contracts)</t>
        </is>
      </c>
      <c r="B116" s="2" t="inlineStr">
        <is>
          <t>nre_content</t>
        </is>
      </c>
      <c r="C116" s="14" t="n">
        <v>8000</v>
      </c>
      <c r="D116" s="14" t="n">
        <v>8000</v>
      </c>
      <c r="E116" s="14" t="n">
        <v>8000</v>
      </c>
      <c r="F116" s="14" t="n">
        <v>8000</v>
      </c>
      <c r="G116" s="14" t="n">
        <v>8000</v>
      </c>
      <c r="H116" s="14" t="n">
        <v>0</v>
      </c>
      <c r="I116" s="14" t="n">
        <v>0</v>
      </c>
      <c r="J116" s="14" t="n">
        <v>0</v>
      </c>
      <c r="K116" s="14" t="n">
        <v>10000</v>
      </c>
      <c r="L116" s="14" t="n">
        <v>10000</v>
      </c>
      <c r="M116" s="14" t="n">
        <v>10000</v>
      </c>
      <c r="N116" s="14" t="n">
        <v>10000</v>
      </c>
      <c r="O116" s="14" t="n">
        <v>10000</v>
      </c>
      <c r="P116" s="14" t="n">
        <v>10000</v>
      </c>
      <c r="Q116" s="14" t="n">
        <v>35000</v>
      </c>
      <c r="R116" s="14" t="n">
        <v>35000</v>
      </c>
      <c r="S116" s="14" t="n">
        <v>35000</v>
      </c>
      <c r="T116" s="14" t="n">
        <v>35000</v>
      </c>
      <c r="U116" s="14" t="n">
        <v>35000</v>
      </c>
      <c r="V116" s="14" t="n">
        <v>35000</v>
      </c>
      <c r="W116" s="14" t="n">
        <v>35000</v>
      </c>
      <c r="X116" s="14" t="n">
        <v>35000</v>
      </c>
      <c r="Y116" s="14" t="n">
        <v>35000</v>
      </c>
      <c r="Z116" s="14" t="n">
        <v>35000</v>
      </c>
      <c r="AA116" s="14" t="n">
        <v>35000</v>
      </c>
      <c r="AB116" s="14" t="n">
        <v>35000</v>
      </c>
      <c r="AC116" s="14" t="n">
        <v>750000</v>
      </c>
      <c r="AD116" s="14" t="n">
        <v>1000000</v>
      </c>
      <c r="AE116" s="14" t="n">
        <v>1250000</v>
      </c>
      <c r="AG116" s="2" t="inlineStr">
        <is>
          <t>~$25k per new city; 20 cities in 2028 (COMPANY.md), +30/+40/+50 per year after.</t>
        </is>
      </c>
    </row>
    <row r="117">
      <c r="A117" t="inlineStr">
        <is>
          <t>R&amp;D: dev tools, cloud dev/test, on-device model fine-tuning compute</t>
        </is>
      </c>
      <c r="B117" s="2" t="inlineStr">
        <is>
          <t>nre_sw</t>
        </is>
      </c>
      <c r="C117" s="14" t="n">
        <v>3000</v>
      </c>
      <c r="D117" s="14" t="n">
        <v>3000</v>
      </c>
      <c r="E117" s="14" t="n">
        <v>5000</v>
      </c>
      <c r="F117" s="14" t="n">
        <v>5000</v>
      </c>
      <c r="G117" s="14" t="n">
        <v>5000</v>
      </c>
      <c r="H117" s="14" t="n">
        <v>5000</v>
      </c>
      <c r="I117" s="14" t="n">
        <v>5000</v>
      </c>
      <c r="J117" s="14" t="n">
        <v>5000</v>
      </c>
      <c r="K117" s="14" t="n">
        <v>5000</v>
      </c>
      <c r="L117" s="14" t="n">
        <v>5000</v>
      </c>
      <c r="M117" s="14" t="n">
        <v>5000</v>
      </c>
      <c r="N117" s="14" t="n">
        <v>5000</v>
      </c>
      <c r="O117" s="14" t="n">
        <v>5000</v>
      </c>
      <c r="P117" s="14" t="n">
        <v>5000</v>
      </c>
      <c r="Q117" s="14" t="n">
        <v>12000</v>
      </c>
      <c r="R117" s="14" t="n">
        <v>12000</v>
      </c>
      <c r="S117" s="14" t="n">
        <v>12000</v>
      </c>
      <c r="T117" s="14" t="n">
        <v>12000</v>
      </c>
      <c r="U117" s="14" t="n">
        <v>12000</v>
      </c>
      <c r="V117" s="14" t="n">
        <v>12000</v>
      </c>
      <c r="W117" s="14" t="n">
        <v>12000</v>
      </c>
      <c r="X117" s="14" t="n">
        <v>12000</v>
      </c>
      <c r="Y117" s="14" t="n">
        <v>12000</v>
      </c>
      <c r="Z117" s="14" t="n">
        <v>12000</v>
      </c>
      <c r="AA117" s="14" t="n">
        <v>12000</v>
      </c>
      <c r="AB117" s="14" t="n">
        <v>12000</v>
      </c>
      <c r="AC117" s="14" t="n">
        <v>250000</v>
      </c>
      <c r="AD117" s="14" t="n">
        <v>400000</v>
      </c>
      <c r="AE117" s="14" t="n">
        <v>600000</v>
      </c>
    </row>
    <row r="118">
      <c r="A118" t="inlineStr">
        <is>
          <t>Capex: production tooling &amp; test fixtures</t>
        </is>
      </c>
      <c r="B118" s="2" t="inlineStr">
        <is>
          <t>tooling</t>
        </is>
      </c>
      <c r="C118" s="14" t="n">
        <v>0</v>
      </c>
      <c r="D118" s="14" t="n">
        <v>0</v>
      </c>
      <c r="E118" s="14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150000</v>
      </c>
      <c r="L118" s="14" t="n">
        <v>150000</v>
      </c>
      <c r="M118" s="14" t="n">
        <v>0</v>
      </c>
      <c r="N118" s="14" t="n">
        <v>0</v>
      </c>
      <c r="O118" s="14" t="n">
        <v>0</v>
      </c>
      <c r="P118" s="14" t="n">
        <v>0</v>
      </c>
      <c r="Q118" s="14" t="n">
        <v>0</v>
      </c>
      <c r="R118" s="14" t="n">
        <v>0</v>
      </c>
      <c r="S118" s="14" t="n">
        <v>0</v>
      </c>
      <c r="T118" s="14" t="n">
        <v>0</v>
      </c>
      <c r="U118" s="14" t="n">
        <v>0</v>
      </c>
      <c r="V118" s="14" t="n">
        <v>250000</v>
      </c>
      <c r="W118" s="14" t="n">
        <v>0</v>
      </c>
      <c r="X118" s="14" t="n">
        <v>0</v>
      </c>
      <c r="Y118" s="14" t="n">
        <v>0</v>
      </c>
      <c r="Z118" s="14" t="n">
        <v>0</v>
      </c>
      <c r="AA118" s="14" t="n">
        <v>0</v>
      </c>
      <c r="AB118" s="14" t="n">
        <v>100000</v>
      </c>
      <c r="AC118" s="14" t="n">
        <v>500000</v>
      </c>
      <c r="AD118" s="14" t="n">
        <v>800000</v>
      </c>
      <c r="AE118" s="14" t="n">
        <v>1000000</v>
      </c>
      <c r="AG118" s="2" t="inlineStr">
        <is>
          <t>Pebble+Square injection/die-cast tooling ~$300k; Atlas Ti CNC fixtures ~$250k; estimate.</t>
        </is>
      </c>
    </row>
    <row r="119">
      <c r="A119" t="inlineStr">
        <is>
          <t>G&amp;A non-personnel (legal, IP, accounting, insurance, office, SaaS)</t>
        </is>
      </c>
      <c r="B119" s="2" t="inlineStr">
        <is>
          <t>ga_other</t>
        </is>
      </c>
      <c r="C119" s="14" t="n">
        <v>12000</v>
      </c>
      <c r="D119" s="14" t="n">
        <v>12000</v>
      </c>
      <c r="E119" s="14" t="n">
        <v>12000</v>
      </c>
      <c r="F119" s="14" t="n">
        <v>12000</v>
      </c>
      <c r="G119" s="14" t="n">
        <v>12000</v>
      </c>
      <c r="H119" s="14" t="n">
        <v>12000</v>
      </c>
      <c r="I119" s="14" t="n">
        <v>12000</v>
      </c>
      <c r="J119" s="14" t="n">
        <v>12000</v>
      </c>
      <c r="K119" s="14" t="n">
        <v>12000</v>
      </c>
      <c r="L119" s="14" t="n">
        <v>20000</v>
      </c>
      <c r="M119" s="14" t="n">
        <v>20000</v>
      </c>
      <c r="N119" s="14" t="n">
        <v>20000</v>
      </c>
      <c r="O119" s="14" t="n">
        <v>20000</v>
      </c>
      <c r="P119" s="14" t="n">
        <v>20000</v>
      </c>
      <c r="Q119" s="14" t="n">
        <v>35000</v>
      </c>
      <c r="R119" s="14" t="n">
        <v>35000</v>
      </c>
      <c r="S119" s="14" t="n">
        <v>35000</v>
      </c>
      <c r="T119" s="14" t="n">
        <v>35000</v>
      </c>
      <c r="U119" s="14" t="n">
        <v>35000</v>
      </c>
      <c r="V119" s="14" t="n">
        <v>35000</v>
      </c>
      <c r="W119" s="14" t="n">
        <v>35000</v>
      </c>
      <c r="X119" s="14" t="n">
        <v>35000</v>
      </c>
      <c r="Y119" s="14" t="n">
        <v>35000</v>
      </c>
      <c r="Z119" s="14" t="n">
        <v>35000</v>
      </c>
      <c r="AA119" s="14" t="n">
        <v>35000</v>
      </c>
      <c r="AB119" s="14" t="n">
        <v>35000</v>
      </c>
      <c r="AC119" s="14" t="n">
        <v>600000</v>
      </c>
      <c r="AD119" s="14" t="n">
        <v>1000000</v>
      </c>
      <c r="AE119" s="14" t="n">
        <v>1500000</v>
      </c>
      <c r="AG119" s="2" t="inlineStr">
        <is>
          <t>Incl. SAFE/seed legal, provisional patents, D&amp;O + product liability insurance.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7" max="7"/>
  </cols>
  <sheetData>
    <row r="1">
      <c r="A1" s="6" t="inlineStr">
        <is>
          <t>Scenarios -- set the selector (1 = Bear, 2 = Base, 3 = Bull). Every sheet recalculates.</t>
        </is>
      </c>
    </row>
    <row r="3">
      <c r="A3" s="13" t="inlineStr">
        <is>
          <t>ACTIVE SCENARIO (1/2/3)</t>
        </is>
      </c>
      <c r="C3" s="18" t="n">
        <v>2</v>
      </c>
      <c r="D3" s="13">
        <f>CHOOSE(Scenario,"Bear","Base","Bull")</f>
        <v/>
      </c>
    </row>
    <row r="5">
      <c r="A5" s="3" t="inlineStr">
        <is>
          <t>Driver</t>
        </is>
      </c>
      <c r="B5" s="3" t="inlineStr">
        <is>
          <t>Name</t>
        </is>
      </c>
      <c r="C5" s="3" t="inlineStr">
        <is>
          <t>Bear</t>
        </is>
      </c>
      <c r="D5" s="3" t="inlineStr">
        <is>
          <t>Base</t>
        </is>
      </c>
      <c r="E5" s="3" t="inlineStr">
        <is>
          <t>Bull</t>
        </is>
      </c>
      <c r="F5" s="3" t="inlineStr">
        <is>
          <t>LIVE</t>
        </is>
      </c>
      <c r="G5" s="3" t="inlineStr">
        <is>
          <t>What it does / rationale</t>
        </is>
      </c>
    </row>
    <row r="6">
      <c r="A6" t="inlineStr">
        <is>
          <t>Unit volume multiplier (KS + regular sales)</t>
        </is>
      </c>
      <c r="B6" s="2" t="inlineStr">
        <is>
          <t>sc_vol</t>
        </is>
      </c>
      <c r="C6" s="16" t="n">
        <v>0.55</v>
      </c>
      <c r="D6" s="16" t="n">
        <v>1</v>
      </c>
      <c r="E6" s="16" t="n">
        <v>1.45</v>
      </c>
      <c r="F6" s="19">
        <f>CHOOSE(Scenario,C6,D6,E6)</f>
        <v/>
      </c>
      <c r="G6" s="2" t="inlineStr">
        <is>
          <t>Bear ~ a mid-sized KS ($0.55M) and slow retail; bull ~ breakout KS + strong retail sell-through.</t>
        </is>
      </c>
    </row>
    <row r="7">
      <c r="A7" t="inlineStr">
        <is>
          <t>Hardware &amp; subscription price multiplier</t>
        </is>
      </c>
      <c r="B7" s="2" t="inlineStr">
        <is>
          <t>sc_price</t>
        </is>
      </c>
      <c r="C7" s="16" t="n">
        <v>0.93</v>
      </c>
      <c r="D7" s="16" t="n">
        <v>1</v>
      </c>
      <c r="E7" s="16" t="n">
        <v>1</v>
      </c>
      <c r="F7" s="19">
        <f>CHOOSE(Scenario,C7,D7,E7)</f>
        <v/>
      </c>
      <c r="G7" s="2" t="inlineStr">
        <is>
          <t>Bear assumes ~7% deeper promotions / price cuts.</t>
        </is>
      </c>
    </row>
    <row r="8">
      <c r="A8" t="inlineStr">
        <is>
          <t>Subscription attach multiplier</t>
        </is>
      </c>
      <c r="B8" s="2" t="inlineStr">
        <is>
          <t>sc_attach</t>
        </is>
      </c>
      <c r="C8" s="16" t="n">
        <v>0.7</v>
      </c>
      <c r="D8" s="16" t="n">
        <v>1</v>
      </c>
      <c r="E8" s="16" t="n">
        <v>1.25</v>
      </c>
      <c r="F8" s="19">
        <f>CHOOSE(Scenario,C8,D8,E8)</f>
        <v/>
      </c>
      <c r="G8" s="2" t="inlineStr">
        <is>
          <t>Applied to post-trial paid conversion per SKU.</t>
        </is>
      </c>
    </row>
    <row r="9">
      <c r="A9" t="inlineStr">
        <is>
          <t>Subscription churn multiplier</t>
        </is>
      </c>
      <c r="B9" s="2" t="inlineStr">
        <is>
          <t>sc_churn</t>
        </is>
      </c>
      <c r="C9" s="16" t="n">
        <v>1.3</v>
      </c>
      <c r="D9" s="16" t="n">
        <v>1</v>
      </c>
      <c r="E9" s="16" t="n">
        <v>0.8</v>
      </c>
      <c r="F9" s="19">
        <f>CHOOSE(Scenario,C9,D9,E9)</f>
        <v/>
      </c>
      <c r="G9" s="2" t="inlineStr">
        <is>
          <t>Bear 7.8%/mo, base 6.0%/mo, bull 4.8%/mo.</t>
        </is>
      </c>
    </row>
    <row r="10">
      <c r="A10" t="inlineStr">
        <is>
          <t>Landed COGS multiplier</t>
        </is>
      </c>
      <c r="B10" s="2" t="inlineStr">
        <is>
          <t>sc_cogs</t>
        </is>
      </c>
      <c r="C10" s="16" t="n">
        <v>1.1</v>
      </c>
      <c r="D10" s="16" t="n">
        <v>1</v>
      </c>
      <c r="E10" s="16" t="n">
        <v>0.95</v>
      </c>
      <c r="F10" s="19">
        <f>CHOOSE(Scenario,C10,D10,E10)</f>
        <v/>
      </c>
      <c r="G10" s="2" t="inlineStr">
        <is>
          <t>Bear: memory price spike / tariffs; bull: better ODM quote.</t>
        </is>
      </c>
    </row>
    <row r="11">
      <c r="A11" t="inlineStr">
        <is>
          <t>CAC / paid-acquisition multiplier</t>
        </is>
      </c>
      <c r="B11" s="2" t="inlineStr">
        <is>
          <t>sc_cac</t>
        </is>
      </c>
      <c r="C11" s="16" t="n">
        <v>1.35</v>
      </c>
      <c r="D11" s="16" t="n">
        <v>1</v>
      </c>
      <c r="E11" s="16" t="n">
        <v>0.85</v>
      </c>
      <c r="F11" s="19">
        <f>CHOOSE(Scenario,C11,D11,E11)</f>
        <v/>
      </c>
      <c r="G11" s="2" t="inlineStr">
        <is>
          <t>Applied to paid CAC per DTC unit.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43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Pricing &amp; SKU mix -- units by SKU and channel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Prices ($/unit)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MSRP -- Pebble</t>
        </is>
      </c>
      <c r="B10" s="2" t="inlineStr">
        <is>
          <t>$</t>
        </is>
      </c>
      <c r="C10" s="4">
        <f>msrp_peb*sc_price</f>
        <v/>
      </c>
      <c r="D10" s="4">
        <f>msrp_peb*sc_price</f>
        <v/>
      </c>
      <c r="E10" s="4">
        <f>msrp_peb*sc_price</f>
        <v/>
      </c>
      <c r="F10" s="4">
        <f>msrp_peb*sc_price</f>
        <v/>
      </c>
      <c r="G10" s="4">
        <f>msrp_peb*sc_price</f>
        <v/>
      </c>
      <c r="H10" s="4">
        <f>msrp_peb*sc_price</f>
        <v/>
      </c>
      <c r="I10" s="4">
        <f>msrp_peb*sc_price</f>
        <v/>
      </c>
      <c r="J10" s="4">
        <f>msrp_peb*sc_price</f>
        <v/>
      </c>
      <c r="K10" s="4">
        <f>msrp_peb*sc_price</f>
        <v/>
      </c>
      <c r="L10" s="4">
        <f>msrp_peb*sc_price</f>
        <v/>
      </c>
      <c r="M10" s="4">
        <f>msrp_peb*sc_price</f>
        <v/>
      </c>
      <c r="N10" s="4">
        <f>msrp_peb*sc_price</f>
        <v/>
      </c>
      <c r="O10" s="4">
        <f>msrp_peb*sc_price</f>
        <v/>
      </c>
      <c r="P10" s="4">
        <f>msrp_peb*sc_price</f>
        <v/>
      </c>
      <c r="Q10" s="4">
        <f>msrp_peb*sc_price</f>
        <v/>
      </c>
      <c r="R10" s="4">
        <f>msrp_peb*sc_price</f>
        <v/>
      </c>
      <c r="S10" s="4">
        <f>msrp_peb*sc_price</f>
        <v/>
      </c>
      <c r="T10" s="4">
        <f>msrp_peb*sc_price</f>
        <v/>
      </c>
      <c r="U10" s="4">
        <f>msrp_peb*sc_price</f>
        <v/>
      </c>
      <c r="V10" s="4">
        <f>msrp_peb*sc_price</f>
        <v/>
      </c>
      <c r="W10" s="4">
        <f>msrp_peb*sc_price</f>
        <v/>
      </c>
      <c r="X10" s="4">
        <f>msrp_peb*sc_price</f>
        <v/>
      </c>
      <c r="Y10" s="4">
        <f>msrp_peb*sc_price</f>
        <v/>
      </c>
      <c r="Z10" s="4">
        <f>msrp_peb*sc_price</f>
        <v/>
      </c>
      <c r="AA10" s="4">
        <f>msrp_peb*sc_price</f>
        <v/>
      </c>
      <c r="AB10" s="4">
        <f>msrp_peb*sc_price</f>
        <v/>
      </c>
      <c r="AC10" s="4">
        <f>msrp_peb*sc_price</f>
        <v/>
      </c>
      <c r="AD10" s="4">
        <f>msrp_peb*sc_price</f>
        <v/>
      </c>
      <c r="AE10" s="4">
        <f>msrp_peb*sc_price</f>
        <v/>
      </c>
    </row>
    <row r="11">
      <c r="A11" t="inlineStr">
        <is>
          <t>MSRP -- Square</t>
        </is>
      </c>
      <c r="B11" s="2" t="inlineStr">
        <is>
          <t>$</t>
        </is>
      </c>
      <c r="C11" s="4">
        <f>msrp_sq*sc_price</f>
        <v/>
      </c>
      <c r="D11" s="4">
        <f>msrp_sq*sc_price</f>
        <v/>
      </c>
      <c r="E11" s="4">
        <f>msrp_sq*sc_price</f>
        <v/>
      </c>
      <c r="F11" s="4">
        <f>msrp_sq*sc_price</f>
        <v/>
      </c>
      <c r="G11" s="4">
        <f>msrp_sq*sc_price</f>
        <v/>
      </c>
      <c r="H11" s="4">
        <f>msrp_sq*sc_price</f>
        <v/>
      </c>
      <c r="I11" s="4">
        <f>msrp_sq*sc_price</f>
        <v/>
      </c>
      <c r="J11" s="4">
        <f>msrp_sq*sc_price</f>
        <v/>
      </c>
      <c r="K11" s="4">
        <f>msrp_sq*sc_price</f>
        <v/>
      </c>
      <c r="L11" s="4">
        <f>msrp_sq*sc_price</f>
        <v/>
      </c>
      <c r="M11" s="4">
        <f>msrp_sq*sc_price</f>
        <v/>
      </c>
      <c r="N11" s="4">
        <f>msrp_sq*sc_price</f>
        <v/>
      </c>
      <c r="O11" s="4">
        <f>msrp_sq*sc_price</f>
        <v/>
      </c>
      <c r="P11" s="4">
        <f>msrp_sq*sc_price</f>
        <v/>
      </c>
      <c r="Q11" s="4">
        <f>msrp_sq*sc_price</f>
        <v/>
      </c>
      <c r="R11" s="4">
        <f>msrp_sq*sc_price</f>
        <v/>
      </c>
      <c r="S11" s="4">
        <f>msrp_sq*sc_price</f>
        <v/>
      </c>
      <c r="T11" s="4">
        <f>msrp_sq*sc_price</f>
        <v/>
      </c>
      <c r="U11" s="4">
        <f>msrp_sq*sc_price</f>
        <v/>
      </c>
      <c r="V11" s="4">
        <f>msrp_sq*sc_price</f>
        <v/>
      </c>
      <c r="W11" s="4">
        <f>msrp_sq*sc_price</f>
        <v/>
      </c>
      <c r="X11" s="4">
        <f>msrp_sq*sc_price</f>
        <v/>
      </c>
      <c r="Y11" s="4">
        <f>msrp_sq*sc_price</f>
        <v/>
      </c>
      <c r="Z11" s="4">
        <f>msrp_sq*sc_price</f>
        <v/>
      </c>
      <c r="AA11" s="4">
        <f>msrp_sq*sc_price</f>
        <v/>
      </c>
      <c r="AB11" s="4">
        <f>msrp_sq*sc_price</f>
        <v/>
      </c>
      <c r="AC11" s="4">
        <f>msrp_sq*sc_price</f>
        <v/>
      </c>
      <c r="AD11" s="4">
        <f>msrp_sq*sc_price</f>
        <v/>
      </c>
      <c r="AE11" s="4">
        <f>msrp_sq*sc_price</f>
        <v/>
      </c>
    </row>
    <row r="12">
      <c r="A12" t="inlineStr">
        <is>
          <t>MSRP -- Atlas</t>
        </is>
      </c>
      <c r="B12" s="2" t="inlineStr">
        <is>
          <t>$</t>
        </is>
      </c>
      <c r="C12" s="4">
        <f>msrp_atl*sc_price</f>
        <v/>
      </c>
      <c r="D12" s="4">
        <f>msrp_atl*sc_price</f>
        <v/>
      </c>
      <c r="E12" s="4">
        <f>msrp_atl*sc_price</f>
        <v/>
      </c>
      <c r="F12" s="4">
        <f>msrp_atl*sc_price</f>
        <v/>
      </c>
      <c r="G12" s="4">
        <f>msrp_atl*sc_price</f>
        <v/>
      </c>
      <c r="H12" s="4">
        <f>msrp_atl*sc_price</f>
        <v/>
      </c>
      <c r="I12" s="4">
        <f>msrp_atl*sc_price</f>
        <v/>
      </c>
      <c r="J12" s="4">
        <f>msrp_atl*sc_price</f>
        <v/>
      </c>
      <c r="K12" s="4">
        <f>msrp_atl*sc_price</f>
        <v/>
      </c>
      <c r="L12" s="4">
        <f>msrp_atl*sc_price</f>
        <v/>
      </c>
      <c r="M12" s="4">
        <f>msrp_atl*sc_price</f>
        <v/>
      </c>
      <c r="N12" s="4">
        <f>msrp_atl*sc_price</f>
        <v/>
      </c>
      <c r="O12" s="4">
        <f>msrp_atl*sc_price</f>
        <v/>
      </c>
      <c r="P12" s="4">
        <f>msrp_atl*sc_price</f>
        <v/>
      </c>
      <c r="Q12" s="4">
        <f>msrp_atl*sc_price</f>
        <v/>
      </c>
      <c r="R12" s="4">
        <f>msrp_atl*sc_price</f>
        <v/>
      </c>
      <c r="S12" s="4">
        <f>msrp_atl*sc_price</f>
        <v/>
      </c>
      <c r="T12" s="4">
        <f>msrp_atl*sc_price</f>
        <v/>
      </c>
      <c r="U12" s="4">
        <f>msrp_atl*sc_price</f>
        <v/>
      </c>
      <c r="V12" s="4">
        <f>msrp_atl*sc_price</f>
        <v/>
      </c>
      <c r="W12" s="4">
        <f>msrp_atl*sc_price</f>
        <v/>
      </c>
      <c r="X12" s="4">
        <f>msrp_atl*sc_price</f>
        <v/>
      </c>
      <c r="Y12" s="4">
        <f>msrp_atl*sc_price</f>
        <v/>
      </c>
      <c r="Z12" s="4">
        <f>msrp_atl*sc_price</f>
        <v/>
      </c>
      <c r="AA12" s="4">
        <f>msrp_atl*sc_price</f>
        <v/>
      </c>
      <c r="AB12" s="4">
        <f>msrp_atl*sc_price</f>
        <v/>
      </c>
      <c r="AC12" s="4">
        <f>msrp_atl*sc_price</f>
        <v/>
      </c>
      <c r="AD12" s="4">
        <f>msrp_atl*sc_price</f>
        <v/>
      </c>
      <c r="AE12" s="4">
        <f>msrp_atl*sc_price</f>
        <v/>
      </c>
    </row>
    <row r="13">
      <c r="A13" t="inlineStr">
        <is>
          <t>DTC net price -- Pebble</t>
        </is>
      </c>
      <c r="B13" s="2" t="inlineStr">
        <is>
          <t>$</t>
        </is>
      </c>
      <c r="C13" s="23">
        <f>'Pricing &amp; Mix'!C10*(1-dtc_disc)</f>
        <v/>
      </c>
      <c r="D13" s="23">
        <f>'Pricing &amp; Mix'!D10*(1-dtc_disc)</f>
        <v/>
      </c>
      <c r="E13" s="23">
        <f>'Pricing &amp; Mix'!E10*(1-dtc_disc)</f>
        <v/>
      </c>
      <c r="F13" s="23">
        <f>'Pricing &amp; Mix'!F10*(1-dtc_disc)</f>
        <v/>
      </c>
      <c r="G13" s="23">
        <f>'Pricing &amp; Mix'!G10*(1-dtc_disc)</f>
        <v/>
      </c>
      <c r="H13" s="23">
        <f>'Pricing &amp; Mix'!H10*(1-dtc_disc)</f>
        <v/>
      </c>
      <c r="I13" s="23">
        <f>'Pricing &amp; Mix'!I10*(1-dtc_disc)</f>
        <v/>
      </c>
      <c r="J13" s="23">
        <f>'Pricing &amp; Mix'!J10*(1-dtc_disc)</f>
        <v/>
      </c>
      <c r="K13" s="23">
        <f>'Pricing &amp; Mix'!K10*(1-dtc_disc)</f>
        <v/>
      </c>
      <c r="L13" s="23">
        <f>'Pricing &amp; Mix'!L10*(1-dtc_disc)</f>
        <v/>
      </c>
      <c r="M13" s="23">
        <f>'Pricing &amp; Mix'!M10*(1-dtc_disc)</f>
        <v/>
      </c>
      <c r="N13" s="23">
        <f>'Pricing &amp; Mix'!N10*(1-dtc_disc)</f>
        <v/>
      </c>
      <c r="O13" s="23">
        <f>'Pricing &amp; Mix'!O10*(1-dtc_disc)</f>
        <v/>
      </c>
      <c r="P13" s="23">
        <f>'Pricing &amp; Mix'!P10*(1-dtc_disc)</f>
        <v/>
      </c>
      <c r="Q13" s="23">
        <f>'Pricing &amp; Mix'!Q10*(1-dtc_disc)</f>
        <v/>
      </c>
      <c r="R13" s="23">
        <f>'Pricing &amp; Mix'!R10*(1-dtc_disc)</f>
        <v/>
      </c>
      <c r="S13" s="23">
        <f>'Pricing &amp; Mix'!S10*(1-dtc_disc)</f>
        <v/>
      </c>
      <c r="T13" s="23">
        <f>'Pricing &amp; Mix'!T10*(1-dtc_disc)</f>
        <v/>
      </c>
      <c r="U13" s="23">
        <f>'Pricing &amp; Mix'!U10*(1-dtc_disc)</f>
        <v/>
      </c>
      <c r="V13" s="23">
        <f>'Pricing &amp; Mix'!V10*(1-dtc_disc)</f>
        <v/>
      </c>
      <c r="W13" s="23">
        <f>'Pricing &amp; Mix'!W10*(1-dtc_disc)</f>
        <v/>
      </c>
      <c r="X13" s="23">
        <f>'Pricing &amp; Mix'!X10*(1-dtc_disc)</f>
        <v/>
      </c>
      <c r="Y13" s="23">
        <f>'Pricing &amp; Mix'!Y10*(1-dtc_disc)</f>
        <v/>
      </c>
      <c r="Z13" s="23">
        <f>'Pricing &amp; Mix'!Z10*(1-dtc_disc)</f>
        <v/>
      </c>
      <c r="AA13" s="23">
        <f>'Pricing &amp; Mix'!AA10*(1-dtc_disc)</f>
        <v/>
      </c>
      <c r="AB13" s="23">
        <f>'Pricing &amp; Mix'!AB10*(1-dtc_disc)</f>
        <v/>
      </c>
      <c r="AC13" s="23">
        <f>'Pricing &amp; Mix'!AC10*(1-dtc_disc)</f>
        <v/>
      </c>
      <c r="AD13" s="23">
        <f>'Pricing &amp; Mix'!AD10*(1-dtc_disc)</f>
        <v/>
      </c>
      <c r="AE13" s="23">
        <f>'Pricing &amp; Mix'!AE10*(1-dtc_disc)</f>
        <v/>
      </c>
    </row>
    <row r="14">
      <c r="A14" t="inlineStr">
        <is>
          <t>DTC net price -- Square</t>
        </is>
      </c>
      <c r="B14" s="2" t="inlineStr">
        <is>
          <t>$</t>
        </is>
      </c>
      <c r="C14" s="23">
        <f>'Pricing &amp; Mix'!C11*(1-dtc_disc)</f>
        <v/>
      </c>
      <c r="D14" s="23">
        <f>'Pricing &amp; Mix'!D11*(1-dtc_disc)</f>
        <v/>
      </c>
      <c r="E14" s="23">
        <f>'Pricing &amp; Mix'!E11*(1-dtc_disc)</f>
        <v/>
      </c>
      <c r="F14" s="23">
        <f>'Pricing &amp; Mix'!F11*(1-dtc_disc)</f>
        <v/>
      </c>
      <c r="G14" s="23">
        <f>'Pricing &amp; Mix'!G11*(1-dtc_disc)</f>
        <v/>
      </c>
      <c r="H14" s="23">
        <f>'Pricing &amp; Mix'!H11*(1-dtc_disc)</f>
        <v/>
      </c>
      <c r="I14" s="23">
        <f>'Pricing &amp; Mix'!I11*(1-dtc_disc)</f>
        <v/>
      </c>
      <c r="J14" s="23">
        <f>'Pricing &amp; Mix'!J11*(1-dtc_disc)</f>
        <v/>
      </c>
      <c r="K14" s="23">
        <f>'Pricing &amp; Mix'!K11*(1-dtc_disc)</f>
        <v/>
      </c>
      <c r="L14" s="23">
        <f>'Pricing &amp; Mix'!L11*(1-dtc_disc)</f>
        <v/>
      </c>
      <c r="M14" s="23">
        <f>'Pricing &amp; Mix'!M11*(1-dtc_disc)</f>
        <v/>
      </c>
      <c r="N14" s="23">
        <f>'Pricing &amp; Mix'!N11*(1-dtc_disc)</f>
        <v/>
      </c>
      <c r="O14" s="23">
        <f>'Pricing &amp; Mix'!O11*(1-dtc_disc)</f>
        <v/>
      </c>
      <c r="P14" s="23">
        <f>'Pricing &amp; Mix'!P11*(1-dtc_disc)</f>
        <v/>
      </c>
      <c r="Q14" s="23">
        <f>'Pricing &amp; Mix'!Q11*(1-dtc_disc)</f>
        <v/>
      </c>
      <c r="R14" s="23">
        <f>'Pricing &amp; Mix'!R11*(1-dtc_disc)</f>
        <v/>
      </c>
      <c r="S14" s="23">
        <f>'Pricing &amp; Mix'!S11*(1-dtc_disc)</f>
        <v/>
      </c>
      <c r="T14" s="23">
        <f>'Pricing &amp; Mix'!T11*(1-dtc_disc)</f>
        <v/>
      </c>
      <c r="U14" s="23">
        <f>'Pricing &amp; Mix'!U11*(1-dtc_disc)</f>
        <v/>
      </c>
      <c r="V14" s="23">
        <f>'Pricing &amp; Mix'!V11*(1-dtc_disc)</f>
        <v/>
      </c>
      <c r="W14" s="23">
        <f>'Pricing &amp; Mix'!W11*(1-dtc_disc)</f>
        <v/>
      </c>
      <c r="X14" s="23">
        <f>'Pricing &amp; Mix'!X11*(1-dtc_disc)</f>
        <v/>
      </c>
      <c r="Y14" s="23">
        <f>'Pricing &amp; Mix'!Y11*(1-dtc_disc)</f>
        <v/>
      </c>
      <c r="Z14" s="23">
        <f>'Pricing &amp; Mix'!Z11*(1-dtc_disc)</f>
        <v/>
      </c>
      <c r="AA14" s="23">
        <f>'Pricing &amp; Mix'!AA11*(1-dtc_disc)</f>
        <v/>
      </c>
      <c r="AB14" s="23">
        <f>'Pricing &amp; Mix'!AB11*(1-dtc_disc)</f>
        <v/>
      </c>
      <c r="AC14" s="23">
        <f>'Pricing &amp; Mix'!AC11*(1-dtc_disc)</f>
        <v/>
      </c>
      <c r="AD14" s="23">
        <f>'Pricing &amp; Mix'!AD11*(1-dtc_disc)</f>
        <v/>
      </c>
      <c r="AE14" s="23">
        <f>'Pricing &amp; Mix'!AE11*(1-dtc_disc)</f>
        <v/>
      </c>
    </row>
    <row r="15">
      <c r="A15" t="inlineStr">
        <is>
          <t>DTC net price -- Atlas</t>
        </is>
      </c>
      <c r="B15" s="2" t="inlineStr">
        <is>
          <t>$</t>
        </is>
      </c>
      <c r="C15" s="23">
        <f>'Pricing &amp; Mix'!C12*(1-dtc_disc)</f>
        <v/>
      </c>
      <c r="D15" s="23">
        <f>'Pricing &amp; Mix'!D12*(1-dtc_disc)</f>
        <v/>
      </c>
      <c r="E15" s="23">
        <f>'Pricing &amp; Mix'!E12*(1-dtc_disc)</f>
        <v/>
      </c>
      <c r="F15" s="23">
        <f>'Pricing &amp; Mix'!F12*(1-dtc_disc)</f>
        <v/>
      </c>
      <c r="G15" s="23">
        <f>'Pricing &amp; Mix'!G12*(1-dtc_disc)</f>
        <v/>
      </c>
      <c r="H15" s="23">
        <f>'Pricing &amp; Mix'!H12*(1-dtc_disc)</f>
        <v/>
      </c>
      <c r="I15" s="23">
        <f>'Pricing &amp; Mix'!I12*(1-dtc_disc)</f>
        <v/>
      </c>
      <c r="J15" s="23">
        <f>'Pricing &amp; Mix'!J12*(1-dtc_disc)</f>
        <v/>
      </c>
      <c r="K15" s="23">
        <f>'Pricing &amp; Mix'!K12*(1-dtc_disc)</f>
        <v/>
      </c>
      <c r="L15" s="23">
        <f>'Pricing &amp; Mix'!L12*(1-dtc_disc)</f>
        <v/>
      </c>
      <c r="M15" s="23">
        <f>'Pricing &amp; Mix'!M12*(1-dtc_disc)</f>
        <v/>
      </c>
      <c r="N15" s="23">
        <f>'Pricing &amp; Mix'!N12*(1-dtc_disc)</f>
        <v/>
      </c>
      <c r="O15" s="23">
        <f>'Pricing &amp; Mix'!O12*(1-dtc_disc)</f>
        <v/>
      </c>
      <c r="P15" s="23">
        <f>'Pricing &amp; Mix'!P12*(1-dtc_disc)</f>
        <v/>
      </c>
      <c r="Q15" s="23">
        <f>'Pricing &amp; Mix'!Q12*(1-dtc_disc)</f>
        <v/>
      </c>
      <c r="R15" s="23">
        <f>'Pricing &amp; Mix'!R12*(1-dtc_disc)</f>
        <v/>
      </c>
      <c r="S15" s="23">
        <f>'Pricing &amp; Mix'!S12*(1-dtc_disc)</f>
        <v/>
      </c>
      <c r="T15" s="23">
        <f>'Pricing &amp; Mix'!T12*(1-dtc_disc)</f>
        <v/>
      </c>
      <c r="U15" s="23">
        <f>'Pricing &amp; Mix'!U12*(1-dtc_disc)</f>
        <v/>
      </c>
      <c r="V15" s="23">
        <f>'Pricing &amp; Mix'!V12*(1-dtc_disc)</f>
        <v/>
      </c>
      <c r="W15" s="23">
        <f>'Pricing &amp; Mix'!W12*(1-dtc_disc)</f>
        <v/>
      </c>
      <c r="X15" s="23">
        <f>'Pricing &amp; Mix'!X12*(1-dtc_disc)</f>
        <v/>
      </c>
      <c r="Y15" s="23">
        <f>'Pricing &amp; Mix'!Y12*(1-dtc_disc)</f>
        <v/>
      </c>
      <c r="Z15" s="23">
        <f>'Pricing &amp; Mix'!Z12*(1-dtc_disc)</f>
        <v/>
      </c>
      <c r="AA15" s="23">
        <f>'Pricing &amp; Mix'!AA12*(1-dtc_disc)</f>
        <v/>
      </c>
      <c r="AB15" s="23">
        <f>'Pricing &amp; Mix'!AB12*(1-dtc_disc)</f>
        <v/>
      </c>
      <c r="AC15" s="23">
        <f>'Pricing &amp; Mix'!AC12*(1-dtc_disc)</f>
        <v/>
      </c>
      <c r="AD15" s="23">
        <f>'Pricing &amp; Mix'!AD12*(1-dtc_disc)</f>
        <v/>
      </c>
      <c r="AE15" s="23">
        <f>'Pricing &amp; Mix'!AE12*(1-dtc_disc)</f>
        <v/>
      </c>
    </row>
    <row r="16">
      <c r="A16" t="inlineStr">
        <is>
          <t>Retail sell-in price -- Pebble</t>
        </is>
      </c>
      <c r="B16" s="2" t="inlineStr">
        <is>
          <t>$</t>
        </is>
      </c>
      <c r="C16" s="23">
        <f>'Pricing &amp; Mix'!C10*(1-retail_margin)</f>
        <v/>
      </c>
      <c r="D16" s="23">
        <f>'Pricing &amp; Mix'!D10*(1-retail_margin)</f>
        <v/>
      </c>
      <c r="E16" s="23">
        <f>'Pricing &amp; Mix'!E10*(1-retail_margin)</f>
        <v/>
      </c>
      <c r="F16" s="23">
        <f>'Pricing &amp; Mix'!F10*(1-retail_margin)</f>
        <v/>
      </c>
      <c r="G16" s="23">
        <f>'Pricing &amp; Mix'!G10*(1-retail_margin)</f>
        <v/>
      </c>
      <c r="H16" s="23">
        <f>'Pricing &amp; Mix'!H10*(1-retail_margin)</f>
        <v/>
      </c>
      <c r="I16" s="23">
        <f>'Pricing &amp; Mix'!I10*(1-retail_margin)</f>
        <v/>
      </c>
      <c r="J16" s="23">
        <f>'Pricing &amp; Mix'!J10*(1-retail_margin)</f>
        <v/>
      </c>
      <c r="K16" s="23">
        <f>'Pricing &amp; Mix'!K10*(1-retail_margin)</f>
        <v/>
      </c>
      <c r="L16" s="23">
        <f>'Pricing &amp; Mix'!L10*(1-retail_margin)</f>
        <v/>
      </c>
      <c r="M16" s="23">
        <f>'Pricing &amp; Mix'!M10*(1-retail_margin)</f>
        <v/>
      </c>
      <c r="N16" s="23">
        <f>'Pricing &amp; Mix'!N10*(1-retail_margin)</f>
        <v/>
      </c>
      <c r="O16" s="23">
        <f>'Pricing &amp; Mix'!O10*(1-retail_margin)</f>
        <v/>
      </c>
      <c r="P16" s="23">
        <f>'Pricing &amp; Mix'!P10*(1-retail_margin)</f>
        <v/>
      </c>
      <c r="Q16" s="23">
        <f>'Pricing &amp; Mix'!Q10*(1-retail_margin)</f>
        <v/>
      </c>
      <c r="R16" s="23">
        <f>'Pricing &amp; Mix'!R10*(1-retail_margin)</f>
        <v/>
      </c>
      <c r="S16" s="23">
        <f>'Pricing &amp; Mix'!S10*(1-retail_margin)</f>
        <v/>
      </c>
      <c r="T16" s="23">
        <f>'Pricing &amp; Mix'!T10*(1-retail_margin)</f>
        <v/>
      </c>
      <c r="U16" s="23">
        <f>'Pricing &amp; Mix'!U10*(1-retail_margin)</f>
        <v/>
      </c>
      <c r="V16" s="23">
        <f>'Pricing &amp; Mix'!V10*(1-retail_margin)</f>
        <v/>
      </c>
      <c r="W16" s="23">
        <f>'Pricing &amp; Mix'!W10*(1-retail_margin)</f>
        <v/>
      </c>
      <c r="X16" s="23">
        <f>'Pricing &amp; Mix'!X10*(1-retail_margin)</f>
        <v/>
      </c>
      <c r="Y16" s="23">
        <f>'Pricing &amp; Mix'!Y10*(1-retail_margin)</f>
        <v/>
      </c>
      <c r="Z16" s="23">
        <f>'Pricing &amp; Mix'!Z10*(1-retail_margin)</f>
        <v/>
      </c>
      <c r="AA16" s="23">
        <f>'Pricing &amp; Mix'!AA10*(1-retail_margin)</f>
        <v/>
      </c>
      <c r="AB16" s="23">
        <f>'Pricing &amp; Mix'!AB10*(1-retail_margin)</f>
        <v/>
      </c>
      <c r="AC16" s="23">
        <f>'Pricing &amp; Mix'!AC10*(1-retail_margin)</f>
        <v/>
      </c>
      <c r="AD16" s="23">
        <f>'Pricing &amp; Mix'!AD10*(1-retail_margin)</f>
        <v/>
      </c>
      <c r="AE16" s="23">
        <f>'Pricing &amp; Mix'!AE10*(1-retail_margin)</f>
        <v/>
      </c>
    </row>
    <row r="17">
      <c r="A17" t="inlineStr">
        <is>
          <t>Retail sell-in price -- Square</t>
        </is>
      </c>
      <c r="B17" s="2" t="inlineStr">
        <is>
          <t>$</t>
        </is>
      </c>
      <c r="C17" s="23">
        <f>'Pricing &amp; Mix'!C11*(1-retail_margin)</f>
        <v/>
      </c>
      <c r="D17" s="23">
        <f>'Pricing &amp; Mix'!D11*(1-retail_margin)</f>
        <v/>
      </c>
      <c r="E17" s="23">
        <f>'Pricing &amp; Mix'!E11*(1-retail_margin)</f>
        <v/>
      </c>
      <c r="F17" s="23">
        <f>'Pricing &amp; Mix'!F11*(1-retail_margin)</f>
        <v/>
      </c>
      <c r="G17" s="23">
        <f>'Pricing &amp; Mix'!G11*(1-retail_margin)</f>
        <v/>
      </c>
      <c r="H17" s="23">
        <f>'Pricing &amp; Mix'!H11*(1-retail_margin)</f>
        <v/>
      </c>
      <c r="I17" s="23">
        <f>'Pricing &amp; Mix'!I11*(1-retail_margin)</f>
        <v/>
      </c>
      <c r="J17" s="23">
        <f>'Pricing &amp; Mix'!J11*(1-retail_margin)</f>
        <v/>
      </c>
      <c r="K17" s="23">
        <f>'Pricing &amp; Mix'!K11*(1-retail_margin)</f>
        <v/>
      </c>
      <c r="L17" s="23">
        <f>'Pricing &amp; Mix'!L11*(1-retail_margin)</f>
        <v/>
      </c>
      <c r="M17" s="23">
        <f>'Pricing &amp; Mix'!M11*(1-retail_margin)</f>
        <v/>
      </c>
      <c r="N17" s="23">
        <f>'Pricing &amp; Mix'!N11*(1-retail_margin)</f>
        <v/>
      </c>
      <c r="O17" s="23">
        <f>'Pricing &amp; Mix'!O11*(1-retail_margin)</f>
        <v/>
      </c>
      <c r="P17" s="23">
        <f>'Pricing &amp; Mix'!P11*(1-retail_margin)</f>
        <v/>
      </c>
      <c r="Q17" s="23">
        <f>'Pricing &amp; Mix'!Q11*(1-retail_margin)</f>
        <v/>
      </c>
      <c r="R17" s="23">
        <f>'Pricing &amp; Mix'!R11*(1-retail_margin)</f>
        <v/>
      </c>
      <c r="S17" s="23">
        <f>'Pricing &amp; Mix'!S11*(1-retail_margin)</f>
        <v/>
      </c>
      <c r="T17" s="23">
        <f>'Pricing &amp; Mix'!T11*(1-retail_margin)</f>
        <v/>
      </c>
      <c r="U17" s="23">
        <f>'Pricing &amp; Mix'!U11*(1-retail_margin)</f>
        <v/>
      </c>
      <c r="V17" s="23">
        <f>'Pricing &amp; Mix'!V11*(1-retail_margin)</f>
        <v/>
      </c>
      <c r="W17" s="23">
        <f>'Pricing &amp; Mix'!W11*(1-retail_margin)</f>
        <v/>
      </c>
      <c r="X17" s="23">
        <f>'Pricing &amp; Mix'!X11*(1-retail_margin)</f>
        <v/>
      </c>
      <c r="Y17" s="23">
        <f>'Pricing &amp; Mix'!Y11*(1-retail_margin)</f>
        <v/>
      </c>
      <c r="Z17" s="23">
        <f>'Pricing &amp; Mix'!Z11*(1-retail_margin)</f>
        <v/>
      </c>
      <c r="AA17" s="23">
        <f>'Pricing &amp; Mix'!AA11*(1-retail_margin)</f>
        <v/>
      </c>
      <c r="AB17" s="23">
        <f>'Pricing &amp; Mix'!AB11*(1-retail_margin)</f>
        <v/>
      </c>
      <c r="AC17" s="23">
        <f>'Pricing &amp; Mix'!AC11*(1-retail_margin)</f>
        <v/>
      </c>
      <c r="AD17" s="23">
        <f>'Pricing &amp; Mix'!AD11*(1-retail_margin)</f>
        <v/>
      </c>
      <c r="AE17" s="23">
        <f>'Pricing &amp; Mix'!AE11*(1-retail_margin)</f>
        <v/>
      </c>
    </row>
    <row r="18">
      <c r="A18" t="inlineStr">
        <is>
          <t>Retail sell-in price -- Atlas</t>
        </is>
      </c>
      <c r="B18" s="2" t="inlineStr">
        <is>
          <t>$</t>
        </is>
      </c>
      <c r="C18" s="23">
        <f>'Pricing &amp; Mix'!C12*(1-retail_margin)</f>
        <v/>
      </c>
      <c r="D18" s="23">
        <f>'Pricing &amp; Mix'!D12*(1-retail_margin)</f>
        <v/>
      </c>
      <c r="E18" s="23">
        <f>'Pricing &amp; Mix'!E12*(1-retail_margin)</f>
        <v/>
      </c>
      <c r="F18" s="23">
        <f>'Pricing &amp; Mix'!F12*(1-retail_margin)</f>
        <v/>
      </c>
      <c r="G18" s="23">
        <f>'Pricing &amp; Mix'!G12*(1-retail_margin)</f>
        <v/>
      </c>
      <c r="H18" s="23">
        <f>'Pricing &amp; Mix'!H12*(1-retail_margin)</f>
        <v/>
      </c>
      <c r="I18" s="23">
        <f>'Pricing &amp; Mix'!I12*(1-retail_margin)</f>
        <v/>
      </c>
      <c r="J18" s="23">
        <f>'Pricing &amp; Mix'!J12*(1-retail_margin)</f>
        <v/>
      </c>
      <c r="K18" s="23">
        <f>'Pricing &amp; Mix'!K12*(1-retail_margin)</f>
        <v/>
      </c>
      <c r="L18" s="23">
        <f>'Pricing &amp; Mix'!L12*(1-retail_margin)</f>
        <v/>
      </c>
      <c r="M18" s="23">
        <f>'Pricing &amp; Mix'!M12*(1-retail_margin)</f>
        <v/>
      </c>
      <c r="N18" s="23">
        <f>'Pricing &amp; Mix'!N12*(1-retail_margin)</f>
        <v/>
      </c>
      <c r="O18" s="23">
        <f>'Pricing &amp; Mix'!O12*(1-retail_margin)</f>
        <v/>
      </c>
      <c r="P18" s="23">
        <f>'Pricing &amp; Mix'!P12*(1-retail_margin)</f>
        <v/>
      </c>
      <c r="Q18" s="23">
        <f>'Pricing &amp; Mix'!Q12*(1-retail_margin)</f>
        <v/>
      </c>
      <c r="R18" s="23">
        <f>'Pricing &amp; Mix'!R12*(1-retail_margin)</f>
        <v/>
      </c>
      <c r="S18" s="23">
        <f>'Pricing &amp; Mix'!S12*(1-retail_margin)</f>
        <v/>
      </c>
      <c r="T18" s="23">
        <f>'Pricing &amp; Mix'!T12*(1-retail_margin)</f>
        <v/>
      </c>
      <c r="U18" s="23">
        <f>'Pricing &amp; Mix'!U12*(1-retail_margin)</f>
        <v/>
      </c>
      <c r="V18" s="23">
        <f>'Pricing &amp; Mix'!V12*(1-retail_margin)</f>
        <v/>
      </c>
      <c r="W18" s="23">
        <f>'Pricing &amp; Mix'!W12*(1-retail_margin)</f>
        <v/>
      </c>
      <c r="X18" s="23">
        <f>'Pricing &amp; Mix'!X12*(1-retail_margin)</f>
        <v/>
      </c>
      <c r="Y18" s="23">
        <f>'Pricing &amp; Mix'!Y12*(1-retail_margin)</f>
        <v/>
      </c>
      <c r="Z18" s="23">
        <f>'Pricing &amp; Mix'!Z12*(1-retail_margin)</f>
        <v/>
      </c>
      <c r="AA18" s="23">
        <f>'Pricing &amp; Mix'!AA12*(1-retail_margin)</f>
        <v/>
      </c>
      <c r="AB18" s="23">
        <f>'Pricing &amp; Mix'!AB12*(1-retail_margin)</f>
        <v/>
      </c>
      <c r="AC18" s="23">
        <f>'Pricing &amp; Mix'!AC12*(1-retail_margin)</f>
        <v/>
      </c>
      <c r="AD18" s="23">
        <f>'Pricing &amp; Mix'!AD12*(1-retail_margin)</f>
        <v/>
      </c>
      <c r="AE18" s="23">
        <f>'Pricing &amp; Mix'!AE12*(1-retail_margin)</f>
        <v/>
      </c>
    </row>
    <row r="19">
      <c r="A19" t="inlineStr">
        <is>
          <t>Pre-order blended price -- Pebble</t>
        </is>
      </c>
      <c r="B19" s="2" t="inlineStr">
        <is>
          <t>$</t>
        </is>
      </c>
      <c r="C19" s="23">
        <f>(ks_units*ks_peb+pre_units*pre_peb)/(ks_units+pre_units)*sc_price</f>
        <v/>
      </c>
      <c r="D19" s="23">
        <f>(ks_units*ks_peb+pre_units*pre_peb)/(ks_units+pre_units)*sc_price</f>
        <v/>
      </c>
      <c r="E19" s="23">
        <f>(ks_units*ks_peb+pre_units*pre_peb)/(ks_units+pre_units)*sc_price</f>
        <v/>
      </c>
      <c r="F19" s="23">
        <f>(ks_units*ks_peb+pre_units*pre_peb)/(ks_units+pre_units)*sc_price</f>
        <v/>
      </c>
      <c r="G19" s="23">
        <f>(ks_units*ks_peb+pre_units*pre_peb)/(ks_units+pre_units)*sc_price</f>
        <v/>
      </c>
      <c r="H19" s="23">
        <f>(ks_units*ks_peb+pre_units*pre_peb)/(ks_units+pre_units)*sc_price</f>
        <v/>
      </c>
      <c r="I19" s="23">
        <f>(ks_units*ks_peb+pre_units*pre_peb)/(ks_units+pre_units)*sc_price</f>
        <v/>
      </c>
      <c r="J19" s="23">
        <f>(ks_units*ks_peb+pre_units*pre_peb)/(ks_units+pre_units)*sc_price</f>
        <v/>
      </c>
      <c r="K19" s="23">
        <f>(ks_units*ks_peb+pre_units*pre_peb)/(ks_units+pre_units)*sc_price</f>
        <v/>
      </c>
      <c r="L19" s="23">
        <f>(ks_units*ks_peb+pre_units*pre_peb)/(ks_units+pre_units)*sc_price</f>
        <v/>
      </c>
      <c r="M19" s="23">
        <f>(ks_units*ks_peb+pre_units*pre_peb)/(ks_units+pre_units)*sc_price</f>
        <v/>
      </c>
      <c r="N19" s="23">
        <f>(ks_units*ks_peb+pre_units*pre_peb)/(ks_units+pre_units)*sc_price</f>
        <v/>
      </c>
      <c r="O19" s="23">
        <f>(ks_units*ks_peb+pre_units*pre_peb)/(ks_units+pre_units)*sc_price</f>
        <v/>
      </c>
      <c r="P19" s="23">
        <f>(ks_units*ks_peb+pre_units*pre_peb)/(ks_units+pre_units)*sc_price</f>
        <v/>
      </c>
      <c r="Q19" s="23">
        <f>(ks_units*ks_peb+pre_units*pre_peb)/(ks_units+pre_units)*sc_price</f>
        <v/>
      </c>
      <c r="R19" s="23">
        <f>(ks_units*ks_peb+pre_units*pre_peb)/(ks_units+pre_units)*sc_price</f>
        <v/>
      </c>
      <c r="S19" s="23">
        <f>(ks_units*ks_peb+pre_units*pre_peb)/(ks_units+pre_units)*sc_price</f>
        <v/>
      </c>
      <c r="T19" s="23">
        <f>(ks_units*ks_peb+pre_units*pre_peb)/(ks_units+pre_units)*sc_price</f>
        <v/>
      </c>
      <c r="U19" s="23">
        <f>(ks_units*ks_peb+pre_units*pre_peb)/(ks_units+pre_units)*sc_price</f>
        <v/>
      </c>
      <c r="V19" s="23">
        <f>(ks_units*ks_peb+pre_units*pre_peb)/(ks_units+pre_units)*sc_price</f>
        <v/>
      </c>
      <c r="W19" s="23">
        <f>(ks_units*ks_peb+pre_units*pre_peb)/(ks_units+pre_units)*sc_price</f>
        <v/>
      </c>
      <c r="X19" s="23">
        <f>(ks_units*ks_peb+pre_units*pre_peb)/(ks_units+pre_units)*sc_price</f>
        <v/>
      </c>
      <c r="Y19" s="23">
        <f>(ks_units*ks_peb+pre_units*pre_peb)/(ks_units+pre_units)*sc_price</f>
        <v/>
      </c>
      <c r="Z19" s="23">
        <f>(ks_units*ks_peb+pre_units*pre_peb)/(ks_units+pre_units)*sc_price</f>
        <v/>
      </c>
      <c r="AA19" s="23">
        <f>(ks_units*ks_peb+pre_units*pre_peb)/(ks_units+pre_units)*sc_price</f>
        <v/>
      </c>
      <c r="AB19" s="23">
        <f>(ks_units*ks_peb+pre_units*pre_peb)/(ks_units+pre_units)*sc_price</f>
        <v/>
      </c>
      <c r="AC19" s="23">
        <f>(ks_units*ks_peb+pre_units*pre_peb)/(ks_units+pre_units)*sc_price</f>
        <v/>
      </c>
      <c r="AD19" s="23">
        <f>(ks_units*ks_peb+pre_units*pre_peb)/(ks_units+pre_units)*sc_price</f>
        <v/>
      </c>
      <c r="AE19" s="23">
        <f>(ks_units*ks_peb+pre_units*pre_peb)/(ks_units+pre_units)*sc_price</f>
        <v/>
      </c>
    </row>
    <row r="20">
      <c r="A20" t="inlineStr">
        <is>
          <t>Pre-order blended price -- Square</t>
        </is>
      </c>
      <c r="B20" s="2" t="inlineStr">
        <is>
          <t>$</t>
        </is>
      </c>
      <c r="C20" s="23">
        <f>(ks_units*ks_sq+pre_units*pre_sq)/(ks_units+pre_units)*sc_price</f>
        <v/>
      </c>
      <c r="D20" s="23">
        <f>(ks_units*ks_sq+pre_units*pre_sq)/(ks_units+pre_units)*sc_price</f>
        <v/>
      </c>
      <c r="E20" s="23">
        <f>(ks_units*ks_sq+pre_units*pre_sq)/(ks_units+pre_units)*sc_price</f>
        <v/>
      </c>
      <c r="F20" s="23">
        <f>(ks_units*ks_sq+pre_units*pre_sq)/(ks_units+pre_units)*sc_price</f>
        <v/>
      </c>
      <c r="G20" s="23">
        <f>(ks_units*ks_sq+pre_units*pre_sq)/(ks_units+pre_units)*sc_price</f>
        <v/>
      </c>
      <c r="H20" s="23">
        <f>(ks_units*ks_sq+pre_units*pre_sq)/(ks_units+pre_units)*sc_price</f>
        <v/>
      </c>
      <c r="I20" s="23">
        <f>(ks_units*ks_sq+pre_units*pre_sq)/(ks_units+pre_units)*sc_price</f>
        <v/>
      </c>
      <c r="J20" s="23">
        <f>(ks_units*ks_sq+pre_units*pre_sq)/(ks_units+pre_units)*sc_price</f>
        <v/>
      </c>
      <c r="K20" s="23">
        <f>(ks_units*ks_sq+pre_units*pre_sq)/(ks_units+pre_units)*sc_price</f>
        <v/>
      </c>
      <c r="L20" s="23">
        <f>(ks_units*ks_sq+pre_units*pre_sq)/(ks_units+pre_units)*sc_price</f>
        <v/>
      </c>
      <c r="M20" s="23">
        <f>(ks_units*ks_sq+pre_units*pre_sq)/(ks_units+pre_units)*sc_price</f>
        <v/>
      </c>
      <c r="N20" s="23">
        <f>(ks_units*ks_sq+pre_units*pre_sq)/(ks_units+pre_units)*sc_price</f>
        <v/>
      </c>
      <c r="O20" s="23">
        <f>(ks_units*ks_sq+pre_units*pre_sq)/(ks_units+pre_units)*sc_price</f>
        <v/>
      </c>
      <c r="P20" s="23">
        <f>(ks_units*ks_sq+pre_units*pre_sq)/(ks_units+pre_units)*sc_price</f>
        <v/>
      </c>
      <c r="Q20" s="23">
        <f>(ks_units*ks_sq+pre_units*pre_sq)/(ks_units+pre_units)*sc_price</f>
        <v/>
      </c>
      <c r="R20" s="23">
        <f>(ks_units*ks_sq+pre_units*pre_sq)/(ks_units+pre_units)*sc_price</f>
        <v/>
      </c>
      <c r="S20" s="23">
        <f>(ks_units*ks_sq+pre_units*pre_sq)/(ks_units+pre_units)*sc_price</f>
        <v/>
      </c>
      <c r="T20" s="23">
        <f>(ks_units*ks_sq+pre_units*pre_sq)/(ks_units+pre_units)*sc_price</f>
        <v/>
      </c>
      <c r="U20" s="23">
        <f>(ks_units*ks_sq+pre_units*pre_sq)/(ks_units+pre_units)*sc_price</f>
        <v/>
      </c>
      <c r="V20" s="23">
        <f>(ks_units*ks_sq+pre_units*pre_sq)/(ks_units+pre_units)*sc_price</f>
        <v/>
      </c>
      <c r="W20" s="23">
        <f>(ks_units*ks_sq+pre_units*pre_sq)/(ks_units+pre_units)*sc_price</f>
        <v/>
      </c>
      <c r="X20" s="23">
        <f>(ks_units*ks_sq+pre_units*pre_sq)/(ks_units+pre_units)*sc_price</f>
        <v/>
      </c>
      <c r="Y20" s="23">
        <f>(ks_units*ks_sq+pre_units*pre_sq)/(ks_units+pre_units)*sc_price</f>
        <v/>
      </c>
      <c r="Z20" s="23">
        <f>(ks_units*ks_sq+pre_units*pre_sq)/(ks_units+pre_units)*sc_price</f>
        <v/>
      </c>
      <c r="AA20" s="23">
        <f>(ks_units*ks_sq+pre_units*pre_sq)/(ks_units+pre_units)*sc_price</f>
        <v/>
      </c>
      <c r="AB20" s="23">
        <f>(ks_units*ks_sq+pre_units*pre_sq)/(ks_units+pre_units)*sc_price</f>
        <v/>
      </c>
      <c r="AC20" s="23">
        <f>(ks_units*ks_sq+pre_units*pre_sq)/(ks_units+pre_units)*sc_price</f>
        <v/>
      </c>
      <c r="AD20" s="23">
        <f>(ks_units*ks_sq+pre_units*pre_sq)/(ks_units+pre_units)*sc_price</f>
        <v/>
      </c>
      <c r="AE20" s="23">
        <f>(ks_units*ks_sq+pre_units*pre_sq)/(ks_units+pre_units)*sc_price</f>
        <v/>
      </c>
    </row>
    <row r="22">
      <c r="A22" s="8" t="inlineStr">
        <is>
          <t>Units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</row>
    <row r="23">
      <c r="A23" t="inlineStr">
        <is>
          <t>Regular units sold (after scenario)</t>
        </is>
      </c>
      <c r="B23" s="2" t="inlineStr">
        <is>
          <t>units</t>
        </is>
      </c>
      <c r="C23" s="4">
        <f>Assumptions!C99*sc_vol</f>
        <v/>
      </c>
      <c r="D23" s="4">
        <f>Assumptions!D99*sc_vol</f>
        <v/>
      </c>
      <c r="E23" s="4">
        <f>Assumptions!E99*sc_vol</f>
        <v/>
      </c>
      <c r="F23" s="4">
        <f>Assumptions!F99*sc_vol</f>
        <v/>
      </c>
      <c r="G23" s="4">
        <f>Assumptions!G99*sc_vol</f>
        <v/>
      </c>
      <c r="H23" s="4">
        <f>Assumptions!H99*sc_vol</f>
        <v/>
      </c>
      <c r="I23" s="4">
        <f>Assumptions!I99*sc_vol</f>
        <v/>
      </c>
      <c r="J23" s="4">
        <f>Assumptions!J99*sc_vol</f>
        <v/>
      </c>
      <c r="K23" s="4">
        <f>Assumptions!K99*sc_vol</f>
        <v/>
      </c>
      <c r="L23" s="4">
        <f>Assumptions!L99*sc_vol</f>
        <v/>
      </c>
      <c r="M23" s="4">
        <f>Assumptions!M99*sc_vol</f>
        <v/>
      </c>
      <c r="N23" s="4">
        <f>Assumptions!N99*sc_vol</f>
        <v/>
      </c>
      <c r="O23" s="4">
        <f>Assumptions!O99*sc_vol</f>
        <v/>
      </c>
      <c r="P23" s="4">
        <f>Assumptions!P99*sc_vol</f>
        <v/>
      </c>
      <c r="Q23" s="4">
        <f>Assumptions!Q99*sc_vol</f>
        <v/>
      </c>
      <c r="R23" s="4">
        <f>Assumptions!R99*sc_vol</f>
        <v/>
      </c>
      <c r="S23" s="4">
        <f>Assumptions!S99*sc_vol</f>
        <v/>
      </c>
      <c r="T23" s="4">
        <f>Assumptions!T99*sc_vol</f>
        <v/>
      </c>
      <c r="U23" s="4">
        <f>Assumptions!U99*sc_vol</f>
        <v/>
      </c>
      <c r="V23" s="4">
        <f>Assumptions!V99*sc_vol</f>
        <v/>
      </c>
      <c r="W23" s="4">
        <f>Assumptions!W99*sc_vol</f>
        <v/>
      </c>
      <c r="X23" s="4">
        <f>Assumptions!X99*sc_vol</f>
        <v/>
      </c>
      <c r="Y23" s="4">
        <f>Assumptions!Y99*sc_vol</f>
        <v/>
      </c>
      <c r="Z23" s="4">
        <f>Assumptions!Z99*sc_vol</f>
        <v/>
      </c>
      <c r="AA23" s="4">
        <f>Assumptions!AA99*sc_vol</f>
        <v/>
      </c>
      <c r="AB23" s="4">
        <f>Assumptions!AB99*sc_vol</f>
        <v/>
      </c>
      <c r="AC23" s="4">
        <f>Assumptions!AC99*sc_vol</f>
        <v/>
      </c>
      <c r="AD23" s="4">
        <f>Assumptions!AD99*sc_vol</f>
        <v/>
      </c>
      <c r="AE23" s="4">
        <f>Assumptions!AE99*sc_vol</f>
        <v/>
      </c>
      <c r="AG23" s="4">
        <f>SUMIF($C$3:$AE$3,AG$3,$C23:$AE23)</f>
        <v/>
      </c>
      <c r="AH23" s="4">
        <f>SUMIF($C$3:$AE$3,AH$3,$C23:$AE23)</f>
        <v/>
      </c>
      <c r="AI23" s="4">
        <f>SUMIF($C$3:$AE$3,AI$3,$C23:$AE23)</f>
        <v/>
      </c>
      <c r="AJ23" s="4">
        <f>SUMIF($C$3:$AE$3,AJ$3,$C23:$AE23)</f>
        <v/>
      </c>
      <c r="AK23" s="4">
        <f>SUMIF($C$3:$AE$3,AK$3,$C23:$AE23)</f>
        <v/>
      </c>
      <c r="AL23" s="4">
        <f>SUMIF($C$3:$AE$3,AL$3,$C23:$AE23)</f>
        <v/>
      </c>
    </row>
    <row r="24">
      <c r="A24" t="inlineStr">
        <is>
          <t>Mix -- Pebble</t>
        </is>
      </c>
      <c r="B24" s="2" t="inlineStr">
        <is>
          <t>%</t>
        </is>
      </c>
      <c r="C24" s="5">
        <f>Assumptions!C103</f>
        <v/>
      </c>
      <c r="D24" s="5">
        <f>Assumptions!D103</f>
        <v/>
      </c>
      <c r="E24" s="5">
        <f>Assumptions!E103</f>
        <v/>
      </c>
      <c r="F24" s="5">
        <f>Assumptions!F103</f>
        <v/>
      </c>
      <c r="G24" s="5">
        <f>Assumptions!G103</f>
        <v/>
      </c>
      <c r="H24" s="5">
        <f>Assumptions!H103</f>
        <v/>
      </c>
      <c r="I24" s="5">
        <f>Assumptions!I103</f>
        <v/>
      </c>
      <c r="J24" s="5">
        <f>Assumptions!J103</f>
        <v/>
      </c>
      <c r="K24" s="5">
        <f>Assumptions!K103</f>
        <v/>
      </c>
      <c r="L24" s="5">
        <f>Assumptions!L103</f>
        <v/>
      </c>
      <c r="M24" s="5">
        <f>Assumptions!M103</f>
        <v/>
      </c>
      <c r="N24" s="5">
        <f>Assumptions!N103</f>
        <v/>
      </c>
      <c r="O24" s="5">
        <f>Assumptions!O103</f>
        <v/>
      </c>
      <c r="P24" s="5">
        <f>Assumptions!P103</f>
        <v/>
      </c>
      <c r="Q24" s="5">
        <f>Assumptions!Q103</f>
        <v/>
      </c>
      <c r="R24" s="5">
        <f>Assumptions!R103</f>
        <v/>
      </c>
      <c r="S24" s="5">
        <f>Assumptions!S103</f>
        <v/>
      </c>
      <c r="T24" s="5">
        <f>Assumptions!T103</f>
        <v/>
      </c>
      <c r="U24" s="5">
        <f>Assumptions!U103</f>
        <v/>
      </c>
      <c r="V24" s="5">
        <f>Assumptions!V103</f>
        <v/>
      </c>
      <c r="W24" s="5">
        <f>Assumptions!W103</f>
        <v/>
      </c>
      <c r="X24" s="5">
        <f>Assumptions!X103</f>
        <v/>
      </c>
      <c r="Y24" s="5">
        <f>Assumptions!Y103</f>
        <v/>
      </c>
      <c r="Z24" s="5">
        <f>Assumptions!Z103</f>
        <v/>
      </c>
      <c r="AA24" s="5">
        <f>Assumptions!AA103</f>
        <v/>
      </c>
      <c r="AB24" s="5">
        <f>Assumptions!AB103</f>
        <v/>
      </c>
      <c r="AC24" s="5">
        <f>Assumptions!AC103</f>
        <v/>
      </c>
      <c r="AD24" s="5">
        <f>Assumptions!AD103</f>
        <v/>
      </c>
      <c r="AE24" s="5">
        <f>Assumptions!AE103</f>
        <v/>
      </c>
    </row>
    <row r="25">
      <c r="A25" t="inlineStr">
        <is>
          <t>Mix -- Square</t>
        </is>
      </c>
      <c r="B25" s="2" t="inlineStr">
        <is>
          <t>%</t>
        </is>
      </c>
      <c r="C25" s="5">
        <f>Assumptions!C104</f>
        <v/>
      </c>
      <c r="D25" s="5">
        <f>Assumptions!D104</f>
        <v/>
      </c>
      <c r="E25" s="5">
        <f>Assumptions!E104</f>
        <v/>
      </c>
      <c r="F25" s="5">
        <f>Assumptions!F104</f>
        <v/>
      </c>
      <c r="G25" s="5">
        <f>Assumptions!G104</f>
        <v/>
      </c>
      <c r="H25" s="5">
        <f>Assumptions!H104</f>
        <v/>
      </c>
      <c r="I25" s="5">
        <f>Assumptions!I104</f>
        <v/>
      </c>
      <c r="J25" s="5">
        <f>Assumptions!J104</f>
        <v/>
      </c>
      <c r="K25" s="5">
        <f>Assumptions!K104</f>
        <v/>
      </c>
      <c r="L25" s="5">
        <f>Assumptions!L104</f>
        <v/>
      </c>
      <c r="M25" s="5">
        <f>Assumptions!M104</f>
        <v/>
      </c>
      <c r="N25" s="5">
        <f>Assumptions!N104</f>
        <v/>
      </c>
      <c r="O25" s="5">
        <f>Assumptions!O104</f>
        <v/>
      </c>
      <c r="P25" s="5">
        <f>Assumptions!P104</f>
        <v/>
      </c>
      <c r="Q25" s="5">
        <f>Assumptions!Q104</f>
        <v/>
      </c>
      <c r="R25" s="5">
        <f>Assumptions!R104</f>
        <v/>
      </c>
      <c r="S25" s="5">
        <f>Assumptions!S104</f>
        <v/>
      </c>
      <c r="T25" s="5">
        <f>Assumptions!T104</f>
        <v/>
      </c>
      <c r="U25" s="5">
        <f>Assumptions!U104</f>
        <v/>
      </c>
      <c r="V25" s="5">
        <f>Assumptions!V104</f>
        <v/>
      </c>
      <c r="W25" s="5">
        <f>Assumptions!W104</f>
        <v/>
      </c>
      <c r="X25" s="5">
        <f>Assumptions!X104</f>
        <v/>
      </c>
      <c r="Y25" s="5">
        <f>Assumptions!Y104</f>
        <v/>
      </c>
      <c r="Z25" s="5">
        <f>Assumptions!Z104</f>
        <v/>
      </c>
      <c r="AA25" s="5">
        <f>Assumptions!AA104</f>
        <v/>
      </c>
      <c r="AB25" s="5">
        <f>Assumptions!AB104</f>
        <v/>
      </c>
      <c r="AC25" s="5">
        <f>Assumptions!AC104</f>
        <v/>
      </c>
      <c r="AD25" s="5">
        <f>Assumptions!AD104</f>
        <v/>
      </c>
      <c r="AE25" s="5">
        <f>Assumptions!AE104</f>
        <v/>
      </c>
    </row>
    <row r="26">
      <c r="A26" t="inlineStr">
        <is>
          <t>Mix -- Atlas</t>
        </is>
      </c>
      <c r="B26" s="2" t="inlineStr">
        <is>
          <t>%</t>
        </is>
      </c>
      <c r="C26" s="5">
        <f>Assumptions!C105</f>
        <v/>
      </c>
      <c r="D26" s="5">
        <f>Assumptions!D105</f>
        <v/>
      </c>
      <c r="E26" s="5">
        <f>Assumptions!E105</f>
        <v/>
      </c>
      <c r="F26" s="5">
        <f>Assumptions!F105</f>
        <v/>
      </c>
      <c r="G26" s="5">
        <f>Assumptions!G105</f>
        <v/>
      </c>
      <c r="H26" s="5">
        <f>Assumptions!H105</f>
        <v/>
      </c>
      <c r="I26" s="5">
        <f>Assumptions!I105</f>
        <v/>
      </c>
      <c r="J26" s="5">
        <f>Assumptions!J105</f>
        <v/>
      </c>
      <c r="K26" s="5">
        <f>Assumptions!K105</f>
        <v/>
      </c>
      <c r="L26" s="5">
        <f>Assumptions!L105</f>
        <v/>
      </c>
      <c r="M26" s="5">
        <f>Assumptions!M105</f>
        <v/>
      </c>
      <c r="N26" s="5">
        <f>Assumptions!N105</f>
        <v/>
      </c>
      <c r="O26" s="5">
        <f>Assumptions!O105</f>
        <v/>
      </c>
      <c r="P26" s="5">
        <f>Assumptions!P105</f>
        <v/>
      </c>
      <c r="Q26" s="5">
        <f>Assumptions!Q105</f>
        <v/>
      </c>
      <c r="R26" s="5">
        <f>Assumptions!R105</f>
        <v/>
      </c>
      <c r="S26" s="5">
        <f>Assumptions!S105</f>
        <v/>
      </c>
      <c r="T26" s="5">
        <f>Assumptions!T105</f>
        <v/>
      </c>
      <c r="U26" s="5">
        <f>Assumptions!U105</f>
        <v/>
      </c>
      <c r="V26" s="5">
        <f>Assumptions!V105</f>
        <v/>
      </c>
      <c r="W26" s="5">
        <f>Assumptions!W105</f>
        <v/>
      </c>
      <c r="X26" s="5">
        <f>Assumptions!X105</f>
        <v/>
      </c>
      <c r="Y26" s="5">
        <f>Assumptions!Y105</f>
        <v/>
      </c>
      <c r="Z26" s="5">
        <f>Assumptions!Z105</f>
        <v/>
      </c>
      <c r="AA26" s="5">
        <f>Assumptions!AA105</f>
        <v/>
      </c>
      <c r="AB26" s="5">
        <f>Assumptions!AB105</f>
        <v/>
      </c>
      <c r="AC26" s="5">
        <f>Assumptions!AC105</f>
        <v/>
      </c>
      <c r="AD26" s="5">
        <f>Assumptions!AD105</f>
        <v/>
      </c>
      <c r="AE26" s="5">
        <f>Assumptions!AE105</f>
        <v/>
      </c>
    </row>
    <row r="27">
      <c r="A27" t="inlineStr">
        <is>
          <t>Retail share</t>
        </is>
      </c>
      <c r="B27" s="2" t="inlineStr">
        <is>
          <t>%</t>
        </is>
      </c>
      <c r="C27" s="5">
        <f>Assumptions!C102</f>
        <v/>
      </c>
      <c r="D27" s="5">
        <f>Assumptions!D102</f>
        <v/>
      </c>
      <c r="E27" s="5">
        <f>Assumptions!E102</f>
        <v/>
      </c>
      <c r="F27" s="5">
        <f>Assumptions!F102</f>
        <v/>
      </c>
      <c r="G27" s="5">
        <f>Assumptions!G102</f>
        <v/>
      </c>
      <c r="H27" s="5">
        <f>Assumptions!H102</f>
        <v/>
      </c>
      <c r="I27" s="5">
        <f>Assumptions!I102</f>
        <v/>
      </c>
      <c r="J27" s="5">
        <f>Assumptions!J102</f>
        <v/>
      </c>
      <c r="K27" s="5">
        <f>Assumptions!K102</f>
        <v/>
      </c>
      <c r="L27" s="5">
        <f>Assumptions!L102</f>
        <v/>
      </c>
      <c r="M27" s="5">
        <f>Assumptions!M102</f>
        <v/>
      </c>
      <c r="N27" s="5">
        <f>Assumptions!N102</f>
        <v/>
      </c>
      <c r="O27" s="5">
        <f>Assumptions!O102</f>
        <v/>
      </c>
      <c r="P27" s="5">
        <f>Assumptions!P102</f>
        <v/>
      </c>
      <c r="Q27" s="5">
        <f>Assumptions!Q102</f>
        <v/>
      </c>
      <c r="R27" s="5">
        <f>Assumptions!R102</f>
        <v/>
      </c>
      <c r="S27" s="5">
        <f>Assumptions!S102</f>
        <v/>
      </c>
      <c r="T27" s="5">
        <f>Assumptions!T102</f>
        <v/>
      </c>
      <c r="U27" s="5">
        <f>Assumptions!U102</f>
        <v/>
      </c>
      <c r="V27" s="5">
        <f>Assumptions!V102</f>
        <v/>
      </c>
      <c r="W27" s="5">
        <f>Assumptions!W102</f>
        <v/>
      </c>
      <c r="X27" s="5">
        <f>Assumptions!X102</f>
        <v/>
      </c>
      <c r="Y27" s="5">
        <f>Assumptions!Y102</f>
        <v/>
      </c>
      <c r="Z27" s="5">
        <f>Assumptions!Z102</f>
        <v/>
      </c>
      <c r="AA27" s="5">
        <f>Assumptions!AA102</f>
        <v/>
      </c>
      <c r="AB27" s="5">
        <f>Assumptions!AB102</f>
        <v/>
      </c>
      <c r="AC27" s="5">
        <f>Assumptions!AC102</f>
        <v/>
      </c>
      <c r="AD27" s="5">
        <f>Assumptions!AD102</f>
        <v/>
      </c>
      <c r="AE27" s="5">
        <f>Assumptions!AE102</f>
        <v/>
      </c>
    </row>
    <row r="28">
      <c r="A28" t="inlineStr">
        <is>
          <t>DTC units -- Pebble</t>
        </is>
      </c>
      <c r="B28" s="2" t="inlineStr">
        <is>
          <t>units</t>
        </is>
      </c>
      <c r="C28" s="4">
        <f>'Pricing &amp; Mix'!C23*'Pricing &amp; Mix'!C24*(1-'Pricing &amp; Mix'!C27)</f>
        <v/>
      </c>
      <c r="D28" s="4">
        <f>'Pricing &amp; Mix'!D23*'Pricing &amp; Mix'!D24*(1-'Pricing &amp; Mix'!D27)</f>
        <v/>
      </c>
      <c r="E28" s="4">
        <f>'Pricing &amp; Mix'!E23*'Pricing &amp; Mix'!E24*(1-'Pricing &amp; Mix'!E27)</f>
        <v/>
      </c>
      <c r="F28" s="4">
        <f>'Pricing &amp; Mix'!F23*'Pricing &amp; Mix'!F24*(1-'Pricing &amp; Mix'!F27)</f>
        <v/>
      </c>
      <c r="G28" s="4">
        <f>'Pricing &amp; Mix'!G23*'Pricing &amp; Mix'!G24*(1-'Pricing &amp; Mix'!G27)</f>
        <v/>
      </c>
      <c r="H28" s="4">
        <f>'Pricing &amp; Mix'!H23*'Pricing &amp; Mix'!H24*(1-'Pricing &amp; Mix'!H27)</f>
        <v/>
      </c>
      <c r="I28" s="4">
        <f>'Pricing &amp; Mix'!I23*'Pricing &amp; Mix'!I24*(1-'Pricing &amp; Mix'!I27)</f>
        <v/>
      </c>
      <c r="J28" s="4">
        <f>'Pricing &amp; Mix'!J23*'Pricing &amp; Mix'!J24*(1-'Pricing &amp; Mix'!J27)</f>
        <v/>
      </c>
      <c r="K28" s="4">
        <f>'Pricing &amp; Mix'!K23*'Pricing &amp; Mix'!K24*(1-'Pricing &amp; Mix'!K27)</f>
        <v/>
      </c>
      <c r="L28" s="4">
        <f>'Pricing &amp; Mix'!L23*'Pricing &amp; Mix'!L24*(1-'Pricing &amp; Mix'!L27)</f>
        <v/>
      </c>
      <c r="M28" s="4">
        <f>'Pricing &amp; Mix'!M23*'Pricing &amp; Mix'!M24*(1-'Pricing &amp; Mix'!M27)</f>
        <v/>
      </c>
      <c r="N28" s="4">
        <f>'Pricing &amp; Mix'!N23*'Pricing &amp; Mix'!N24*(1-'Pricing &amp; Mix'!N27)</f>
        <v/>
      </c>
      <c r="O28" s="4">
        <f>'Pricing &amp; Mix'!O23*'Pricing &amp; Mix'!O24*(1-'Pricing &amp; Mix'!O27)</f>
        <v/>
      </c>
      <c r="P28" s="4">
        <f>'Pricing &amp; Mix'!P23*'Pricing &amp; Mix'!P24*(1-'Pricing &amp; Mix'!P27)</f>
        <v/>
      </c>
      <c r="Q28" s="4">
        <f>'Pricing &amp; Mix'!Q23*'Pricing &amp; Mix'!Q24*(1-'Pricing &amp; Mix'!Q27)</f>
        <v/>
      </c>
      <c r="R28" s="4">
        <f>'Pricing &amp; Mix'!R23*'Pricing &amp; Mix'!R24*(1-'Pricing &amp; Mix'!R27)</f>
        <v/>
      </c>
      <c r="S28" s="4">
        <f>'Pricing &amp; Mix'!S23*'Pricing &amp; Mix'!S24*(1-'Pricing &amp; Mix'!S27)</f>
        <v/>
      </c>
      <c r="T28" s="4">
        <f>'Pricing &amp; Mix'!T23*'Pricing &amp; Mix'!T24*(1-'Pricing &amp; Mix'!T27)</f>
        <v/>
      </c>
      <c r="U28" s="4">
        <f>'Pricing &amp; Mix'!U23*'Pricing &amp; Mix'!U24*(1-'Pricing &amp; Mix'!U27)</f>
        <v/>
      </c>
      <c r="V28" s="4">
        <f>'Pricing &amp; Mix'!V23*'Pricing &amp; Mix'!V24*(1-'Pricing &amp; Mix'!V27)</f>
        <v/>
      </c>
      <c r="W28" s="4">
        <f>'Pricing &amp; Mix'!W23*'Pricing &amp; Mix'!W24*(1-'Pricing &amp; Mix'!W27)</f>
        <v/>
      </c>
      <c r="X28" s="4">
        <f>'Pricing &amp; Mix'!X23*'Pricing &amp; Mix'!X24*(1-'Pricing &amp; Mix'!X27)</f>
        <v/>
      </c>
      <c r="Y28" s="4">
        <f>'Pricing &amp; Mix'!Y23*'Pricing &amp; Mix'!Y24*(1-'Pricing &amp; Mix'!Y27)</f>
        <v/>
      </c>
      <c r="Z28" s="4">
        <f>'Pricing &amp; Mix'!Z23*'Pricing &amp; Mix'!Z24*(1-'Pricing &amp; Mix'!Z27)</f>
        <v/>
      </c>
      <c r="AA28" s="4">
        <f>'Pricing &amp; Mix'!AA23*'Pricing &amp; Mix'!AA24*(1-'Pricing &amp; Mix'!AA27)</f>
        <v/>
      </c>
      <c r="AB28" s="4">
        <f>'Pricing &amp; Mix'!AB23*'Pricing &amp; Mix'!AB24*(1-'Pricing &amp; Mix'!AB27)</f>
        <v/>
      </c>
      <c r="AC28" s="4">
        <f>'Pricing &amp; Mix'!AC23*'Pricing &amp; Mix'!AC24*(1-'Pricing &amp; Mix'!AC27)</f>
        <v/>
      </c>
      <c r="AD28" s="4">
        <f>'Pricing &amp; Mix'!AD23*'Pricing &amp; Mix'!AD24*(1-'Pricing &amp; Mix'!AD27)</f>
        <v/>
      </c>
      <c r="AE28" s="4">
        <f>'Pricing &amp; Mix'!AE23*'Pricing &amp; Mix'!AE24*(1-'Pricing &amp; Mix'!AE27)</f>
        <v/>
      </c>
      <c r="AG28" s="4">
        <f>SUMIF($C$3:$AE$3,AG$3,$C28:$AE28)</f>
        <v/>
      </c>
      <c r="AH28" s="4">
        <f>SUMIF($C$3:$AE$3,AH$3,$C28:$AE28)</f>
        <v/>
      </c>
      <c r="AI28" s="4">
        <f>SUMIF($C$3:$AE$3,AI$3,$C28:$AE28)</f>
        <v/>
      </c>
      <c r="AJ28" s="4">
        <f>SUMIF($C$3:$AE$3,AJ$3,$C28:$AE28)</f>
        <v/>
      </c>
      <c r="AK28" s="4">
        <f>SUMIF($C$3:$AE$3,AK$3,$C28:$AE28)</f>
        <v/>
      </c>
      <c r="AL28" s="4">
        <f>SUMIF($C$3:$AE$3,AL$3,$C28:$AE28)</f>
        <v/>
      </c>
    </row>
    <row r="29">
      <c r="A29" t="inlineStr">
        <is>
          <t>DTC units -- Square</t>
        </is>
      </c>
      <c r="B29" s="2" t="inlineStr">
        <is>
          <t>units</t>
        </is>
      </c>
      <c r="C29" s="4">
        <f>'Pricing &amp; Mix'!C23*'Pricing &amp; Mix'!C25*(1-'Pricing &amp; Mix'!C27)</f>
        <v/>
      </c>
      <c r="D29" s="4">
        <f>'Pricing &amp; Mix'!D23*'Pricing &amp; Mix'!D25*(1-'Pricing &amp; Mix'!D27)</f>
        <v/>
      </c>
      <c r="E29" s="4">
        <f>'Pricing &amp; Mix'!E23*'Pricing &amp; Mix'!E25*(1-'Pricing &amp; Mix'!E27)</f>
        <v/>
      </c>
      <c r="F29" s="4">
        <f>'Pricing &amp; Mix'!F23*'Pricing &amp; Mix'!F25*(1-'Pricing &amp; Mix'!F27)</f>
        <v/>
      </c>
      <c r="G29" s="4">
        <f>'Pricing &amp; Mix'!G23*'Pricing &amp; Mix'!G25*(1-'Pricing &amp; Mix'!G27)</f>
        <v/>
      </c>
      <c r="H29" s="4">
        <f>'Pricing &amp; Mix'!H23*'Pricing &amp; Mix'!H25*(1-'Pricing &amp; Mix'!H27)</f>
        <v/>
      </c>
      <c r="I29" s="4">
        <f>'Pricing &amp; Mix'!I23*'Pricing &amp; Mix'!I25*(1-'Pricing &amp; Mix'!I27)</f>
        <v/>
      </c>
      <c r="J29" s="4">
        <f>'Pricing &amp; Mix'!J23*'Pricing &amp; Mix'!J25*(1-'Pricing &amp; Mix'!J27)</f>
        <v/>
      </c>
      <c r="K29" s="4">
        <f>'Pricing &amp; Mix'!K23*'Pricing &amp; Mix'!K25*(1-'Pricing &amp; Mix'!K27)</f>
        <v/>
      </c>
      <c r="L29" s="4">
        <f>'Pricing &amp; Mix'!L23*'Pricing &amp; Mix'!L25*(1-'Pricing &amp; Mix'!L27)</f>
        <v/>
      </c>
      <c r="M29" s="4">
        <f>'Pricing &amp; Mix'!M23*'Pricing &amp; Mix'!M25*(1-'Pricing &amp; Mix'!M27)</f>
        <v/>
      </c>
      <c r="N29" s="4">
        <f>'Pricing &amp; Mix'!N23*'Pricing &amp; Mix'!N25*(1-'Pricing &amp; Mix'!N27)</f>
        <v/>
      </c>
      <c r="O29" s="4">
        <f>'Pricing &amp; Mix'!O23*'Pricing &amp; Mix'!O25*(1-'Pricing &amp; Mix'!O27)</f>
        <v/>
      </c>
      <c r="P29" s="4">
        <f>'Pricing &amp; Mix'!P23*'Pricing &amp; Mix'!P25*(1-'Pricing &amp; Mix'!P27)</f>
        <v/>
      </c>
      <c r="Q29" s="4">
        <f>'Pricing &amp; Mix'!Q23*'Pricing &amp; Mix'!Q25*(1-'Pricing &amp; Mix'!Q27)</f>
        <v/>
      </c>
      <c r="R29" s="4">
        <f>'Pricing &amp; Mix'!R23*'Pricing &amp; Mix'!R25*(1-'Pricing &amp; Mix'!R27)</f>
        <v/>
      </c>
      <c r="S29" s="4">
        <f>'Pricing &amp; Mix'!S23*'Pricing &amp; Mix'!S25*(1-'Pricing &amp; Mix'!S27)</f>
        <v/>
      </c>
      <c r="T29" s="4">
        <f>'Pricing &amp; Mix'!T23*'Pricing &amp; Mix'!T25*(1-'Pricing &amp; Mix'!T27)</f>
        <v/>
      </c>
      <c r="U29" s="4">
        <f>'Pricing &amp; Mix'!U23*'Pricing &amp; Mix'!U25*(1-'Pricing &amp; Mix'!U27)</f>
        <v/>
      </c>
      <c r="V29" s="4">
        <f>'Pricing &amp; Mix'!V23*'Pricing &amp; Mix'!V25*(1-'Pricing &amp; Mix'!V27)</f>
        <v/>
      </c>
      <c r="W29" s="4">
        <f>'Pricing &amp; Mix'!W23*'Pricing &amp; Mix'!W25*(1-'Pricing &amp; Mix'!W27)</f>
        <v/>
      </c>
      <c r="X29" s="4">
        <f>'Pricing &amp; Mix'!X23*'Pricing &amp; Mix'!X25*(1-'Pricing &amp; Mix'!X27)</f>
        <v/>
      </c>
      <c r="Y29" s="4">
        <f>'Pricing &amp; Mix'!Y23*'Pricing &amp; Mix'!Y25*(1-'Pricing &amp; Mix'!Y27)</f>
        <v/>
      </c>
      <c r="Z29" s="4">
        <f>'Pricing &amp; Mix'!Z23*'Pricing &amp; Mix'!Z25*(1-'Pricing &amp; Mix'!Z27)</f>
        <v/>
      </c>
      <c r="AA29" s="4">
        <f>'Pricing &amp; Mix'!AA23*'Pricing &amp; Mix'!AA25*(1-'Pricing &amp; Mix'!AA27)</f>
        <v/>
      </c>
      <c r="AB29" s="4">
        <f>'Pricing &amp; Mix'!AB23*'Pricing &amp; Mix'!AB25*(1-'Pricing &amp; Mix'!AB27)</f>
        <v/>
      </c>
      <c r="AC29" s="4">
        <f>'Pricing &amp; Mix'!AC23*'Pricing &amp; Mix'!AC25*(1-'Pricing &amp; Mix'!AC27)</f>
        <v/>
      </c>
      <c r="AD29" s="4">
        <f>'Pricing &amp; Mix'!AD23*'Pricing &amp; Mix'!AD25*(1-'Pricing &amp; Mix'!AD27)</f>
        <v/>
      </c>
      <c r="AE29" s="4">
        <f>'Pricing &amp; Mix'!AE23*'Pricing &amp; Mix'!AE25*(1-'Pricing &amp; Mix'!AE27)</f>
        <v/>
      </c>
      <c r="AG29" s="4">
        <f>SUMIF($C$3:$AE$3,AG$3,$C29:$AE29)</f>
        <v/>
      </c>
      <c r="AH29" s="4">
        <f>SUMIF($C$3:$AE$3,AH$3,$C29:$AE29)</f>
        <v/>
      </c>
      <c r="AI29" s="4">
        <f>SUMIF($C$3:$AE$3,AI$3,$C29:$AE29)</f>
        <v/>
      </c>
      <c r="AJ29" s="4">
        <f>SUMIF($C$3:$AE$3,AJ$3,$C29:$AE29)</f>
        <v/>
      </c>
      <c r="AK29" s="4">
        <f>SUMIF($C$3:$AE$3,AK$3,$C29:$AE29)</f>
        <v/>
      </c>
      <c r="AL29" s="4">
        <f>SUMIF($C$3:$AE$3,AL$3,$C29:$AE29)</f>
        <v/>
      </c>
    </row>
    <row r="30">
      <c r="A30" t="inlineStr">
        <is>
          <t>DTC units -- Atlas</t>
        </is>
      </c>
      <c r="B30" s="2" t="inlineStr">
        <is>
          <t>units</t>
        </is>
      </c>
      <c r="C30" s="4">
        <f>'Pricing &amp; Mix'!C23*'Pricing &amp; Mix'!C26*(1-'Pricing &amp; Mix'!C27)</f>
        <v/>
      </c>
      <c r="D30" s="4">
        <f>'Pricing &amp; Mix'!D23*'Pricing &amp; Mix'!D26*(1-'Pricing &amp; Mix'!D27)</f>
        <v/>
      </c>
      <c r="E30" s="4">
        <f>'Pricing &amp; Mix'!E23*'Pricing &amp; Mix'!E26*(1-'Pricing &amp; Mix'!E27)</f>
        <v/>
      </c>
      <c r="F30" s="4">
        <f>'Pricing &amp; Mix'!F23*'Pricing &amp; Mix'!F26*(1-'Pricing &amp; Mix'!F27)</f>
        <v/>
      </c>
      <c r="G30" s="4">
        <f>'Pricing &amp; Mix'!G23*'Pricing &amp; Mix'!G26*(1-'Pricing &amp; Mix'!G27)</f>
        <v/>
      </c>
      <c r="H30" s="4">
        <f>'Pricing &amp; Mix'!H23*'Pricing &amp; Mix'!H26*(1-'Pricing &amp; Mix'!H27)</f>
        <v/>
      </c>
      <c r="I30" s="4">
        <f>'Pricing &amp; Mix'!I23*'Pricing &amp; Mix'!I26*(1-'Pricing &amp; Mix'!I27)</f>
        <v/>
      </c>
      <c r="J30" s="4">
        <f>'Pricing &amp; Mix'!J23*'Pricing &amp; Mix'!J26*(1-'Pricing &amp; Mix'!J27)</f>
        <v/>
      </c>
      <c r="K30" s="4">
        <f>'Pricing &amp; Mix'!K23*'Pricing &amp; Mix'!K26*(1-'Pricing &amp; Mix'!K27)</f>
        <v/>
      </c>
      <c r="L30" s="4">
        <f>'Pricing &amp; Mix'!L23*'Pricing &amp; Mix'!L26*(1-'Pricing &amp; Mix'!L27)</f>
        <v/>
      </c>
      <c r="M30" s="4">
        <f>'Pricing &amp; Mix'!M23*'Pricing &amp; Mix'!M26*(1-'Pricing &amp; Mix'!M27)</f>
        <v/>
      </c>
      <c r="N30" s="4">
        <f>'Pricing &amp; Mix'!N23*'Pricing &amp; Mix'!N26*(1-'Pricing &amp; Mix'!N27)</f>
        <v/>
      </c>
      <c r="O30" s="4">
        <f>'Pricing &amp; Mix'!O23*'Pricing &amp; Mix'!O26*(1-'Pricing &amp; Mix'!O27)</f>
        <v/>
      </c>
      <c r="P30" s="4">
        <f>'Pricing &amp; Mix'!P23*'Pricing &amp; Mix'!P26*(1-'Pricing &amp; Mix'!P27)</f>
        <v/>
      </c>
      <c r="Q30" s="4">
        <f>'Pricing &amp; Mix'!Q23*'Pricing &amp; Mix'!Q26*(1-'Pricing &amp; Mix'!Q27)</f>
        <v/>
      </c>
      <c r="R30" s="4">
        <f>'Pricing &amp; Mix'!R23*'Pricing &amp; Mix'!R26*(1-'Pricing &amp; Mix'!R27)</f>
        <v/>
      </c>
      <c r="S30" s="4">
        <f>'Pricing &amp; Mix'!S23*'Pricing &amp; Mix'!S26*(1-'Pricing &amp; Mix'!S27)</f>
        <v/>
      </c>
      <c r="T30" s="4">
        <f>'Pricing &amp; Mix'!T23*'Pricing &amp; Mix'!T26*(1-'Pricing &amp; Mix'!T27)</f>
        <v/>
      </c>
      <c r="U30" s="4">
        <f>'Pricing &amp; Mix'!U23*'Pricing &amp; Mix'!U26*(1-'Pricing &amp; Mix'!U27)</f>
        <v/>
      </c>
      <c r="V30" s="4">
        <f>'Pricing &amp; Mix'!V23*'Pricing &amp; Mix'!V26*(1-'Pricing &amp; Mix'!V27)</f>
        <v/>
      </c>
      <c r="W30" s="4">
        <f>'Pricing &amp; Mix'!W23*'Pricing &amp; Mix'!W26*(1-'Pricing &amp; Mix'!W27)</f>
        <v/>
      </c>
      <c r="X30" s="4">
        <f>'Pricing &amp; Mix'!X23*'Pricing &amp; Mix'!X26*(1-'Pricing &amp; Mix'!X27)</f>
        <v/>
      </c>
      <c r="Y30" s="4">
        <f>'Pricing &amp; Mix'!Y23*'Pricing &amp; Mix'!Y26*(1-'Pricing &amp; Mix'!Y27)</f>
        <v/>
      </c>
      <c r="Z30" s="4">
        <f>'Pricing &amp; Mix'!Z23*'Pricing &amp; Mix'!Z26*(1-'Pricing &amp; Mix'!Z27)</f>
        <v/>
      </c>
      <c r="AA30" s="4">
        <f>'Pricing &amp; Mix'!AA23*'Pricing &amp; Mix'!AA26*(1-'Pricing &amp; Mix'!AA27)</f>
        <v/>
      </c>
      <c r="AB30" s="4">
        <f>'Pricing &amp; Mix'!AB23*'Pricing &amp; Mix'!AB26*(1-'Pricing &amp; Mix'!AB27)</f>
        <v/>
      </c>
      <c r="AC30" s="4">
        <f>'Pricing &amp; Mix'!AC23*'Pricing &amp; Mix'!AC26*(1-'Pricing &amp; Mix'!AC27)</f>
        <v/>
      </c>
      <c r="AD30" s="4">
        <f>'Pricing &amp; Mix'!AD23*'Pricing &amp; Mix'!AD26*(1-'Pricing &amp; Mix'!AD27)</f>
        <v/>
      </c>
      <c r="AE30" s="4">
        <f>'Pricing &amp; Mix'!AE23*'Pricing &amp; Mix'!AE26*(1-'Pricing &amp; Mix'!AE27)</f>
        <v/>
      </c>
      <c r="AG30" s="4">
        <f>SUMIF($C$3:$AE$3,AG$3,$C30:$AE30)</f>
        <v/>
      </c>
      <c r="AH30" s="4">
        <f>SUMIF($C$3:$AE$3,AH$3,$C30:$AE30)</f>
        <v/>
      </c>
      <c r="AI30" s="4">
        <f>SUMIF($C$3:$AE$3,AI$3,$C30:$AE30)</f>
        <v/>
      </c>
      <c r="AJ30" s="4">
        <f>SUMIF($C$3:$AE$3,AJ$3,$C30:$AE30)</f>
        <v/>
      </c>
      <c r="AK30" s="4">
        <f>SUMIF($C$3:$AE$3,AK$3,$C30:$AE30)</f>
        <v/>
      </c>
      <c r="AL30" s="4">
        <f>SUMIF($C$3:$AE$3,AL$3,$C30:$AE30)</f>
        <v/>
      </c>
    </row>
    <row r="31">
      <c r="A31" t="inlineStr">
        <is>
          <t>Retail units -- Pebble</t>
        </is>
      </c>
      <c r="B31" s="2" t="inlineStr">
        <is>
          <t>units</t>
        </is>
      </c>
      <c r="C31" s="4">
        <f>'Pricing &amp; Mix'!C23*'Pricing &amp; Mix'!C24*'Pricing &amp; Mix'!C27</f>
        <v/>
      </c>
      <c r="D31" s="4">
        <f>'Pricing &amp; Mix'!D23*'Pricing &amp; Mix'!D24*'Pricing &amp; Mix'!D27</f>
        <v/>
      </c>
      <c r="E31" s="4">
        <f>'Pricing &amp; Mix'!E23*'Pricing &amp; Mix'!E24*'Pricing &amp; Mix'!E27</f>
        <v/>
      </c>
      <c r="F31" s="4">
        <f>'Pricing &amp; Mix'!F23*'Pricing &amp; Mix'!F24*'Pricing &amp; Mix'!F27</f>
        <v/>
      </c>
      <c r="G31" s="4">
        <f>'Pricing &amp; Mix'!G23*'Pricing &amp; Mix'!G24*'Pricing &amp; Mix'!G27</f>
        <v/>
      </c>
      <c r="H31" s="4">
        <f>'Pricing &amp; Mix'!H23*'Pricing &amp; Mix'!H24*'Pricing &amp; Mix'!H27</f>
        <v/>
      </c>
      <c r="I31" s="4">
        <f>'Pricing &amp; Mix'!I23*'Pricing &amp; Mix'!I24*'Pricing &amp; Mix'!I27</f>
        <v/>
      </c>
      <c r="J31" s="4">
        <f>'Pricing &amp; Mix'!J23*'Pricing &amp; Mix'!J24*'Pricing &amp; Mix'!J27</f>
        <v/>
      </c>
      <c r="K31" s="4">
        <f>'Pricing &amp; Mix'!K23*'Pricing &amp; Mix'!K24*'Pricing &amp; Mix'!K27</f>
        <v/>
      </c>
      <c r="L31" s="4">
        <f>'Pricing &amp; Mix'!L23*'Pricing &amp; Mix'!L24*'Pricing &amp; Mix'!L27</f>
        <v/>
      </c>
      <c r="M31" s="4">
        <f>'Pricing &amp; Mix'!M23*'Pricing &amp; Mix'!M24*'Pricing &amp; Mix'!M27</f>
        <v/>
      </c>
      <c r="N31" s="4">
        <f>'Pricing &amp; Mix'!N23*'Pricing &amp; Mix'!N24*'Pricing &amp; Mix'!N27</f>
        <v/>
      </c>
      <c r="O31" s="4">
        <f>'Pricing &amp; Mix'!O23*'Pricing &amp; Mix'!O24*'Pricing &amp; Mix'!O27</f>
        <v/>
      </c>
      <c r="P31" s="4">
        <f>'Pricing &amp; Mix'!P23*'Pricing &amp; Mix'!P24*'Pricing &amp; Mix'!P27</f>
        <v/>
      </c>
      <c r="Q31" s="4">
        <f>'Pricing &amp; Mix'!Q23*'Pricing &amp; Mix'!Q24*'Pricing &amp; Mix'!Q27</f>
        <v/>
      </c>
      <c r="R31" s="4">
        <f>'Pricing &amp; Mix'!R23*'Pricing &amp; Mix'!R24*'Pricing &amp; Mix'!R27</f>
        <v/>
      </c>
      <c r="S31" s="4">
        <f>'Pricing &amp; Mix'!S23*'Pricing &amp; Mix'!S24*'Pricing &amp; Mix'!S27</f>
        <v/>
      </c>
      <c r="T31" s="4">
        <f>'Pricing &amp; Mix'!T23*'Pricing &amp; Mix'!T24*'Pricing &amp; Mix'!T27</f>
        <v/>
      </c>
      <c r="U31" s="4">
        <f>'Pricing &amp; Mix'!U23*'Pricing &amp; Mix'!U24*'Pricing &amp; Mix'!U27</f>
        <v/>
      </c>
      <c r="V31" s="4">
        <f>'Pricing &amp; Mix'!V23*'Pricing &amp; Mix'!V24*'Pricing &amp; Mix'!V27</f>
        <v/>
      </c>
      <c r="W31" s="4">
        <f>'Pricing &amp; Mix'!W23*'Pricing &amp; Mix'!W24*'Pricing &amp; Mix'!W27</f>
        <v/>
      </c>
      <c r="X31" s="4">
        <f>'Pricing &amp; Mix'!X23*'Pricing &amp; Mix'!X24*'Pricing &amp; Mix'!X27</f>
        <v/>
      </c>
      <c r="Y31" s="4">
        <f>'Pricing &amp; Mix'!Y23*'Pricing &amp; Mix'!Y24*'Pricing &amp; Mix'!Y27</f>
        <v/>
      </c>
      <c r="Z31" s="4">
        <f>'Pricing &amp; Mix'!Z23*'Pricing &amp; Mix'!Z24*'Pricing &amp; Mix'!Z27</f>
        <v/>
      </c>
      <c r="AA31" s="4">
        <f>'Pricing &amp; Mix'!AA23*'Pricing &amp; Mix'!AA24*'Pricing &amp; Mix'!AA27</f>
        <v/>
      </c>
      <c r="AB31" s="4">
        <f>'Pricing &amp; Mix'!AB23*'Pricing &amp; Mix'!AB24*'Pricing &amp; Mix'!AB27</f>
        <v/>
      </c>
      <c r="AC31" s="4">
        <f>'Pricing &amp; Mix'!AC23*'Pricing &amp; Mix'!AC24*'Pricing &amp; Mix'!AC27</f>
        <v/>
      </c>
      <c r="AD31" s="4">
        <f>'Pricing &amp; Mix'!AD23*'Pricing &amp; Mix'!AD24*'Pricing &amp; Mix'!AD27</f>
        <v/>
      </c>
      <c r="AE31" s="4">
        <f>'Pricing &amp; Mix'!AE23*'Pricing &amp; Mix'!AE24*'Pricing &amp; Mix'!AE27</f>
        <v/>
      </c>
      <c r="AG31" s="4">
        <f>SUMIF($C$3:$AE$3,AG$3,$C31:$AE31)</f>
        <v/>
      </c>
      <c r="AH31" s="4">
        <f>SUMIF($C$3:$AE$3,AH$3,$C31:$AE31)</f>
        <v/>
      </c>
      <c r="AI31" s="4">
        <f>SUMIF($C$3:$AE$3,AI$3,$C31:$AE31)</f>
        <v/>
      </c>
      <c r="AJ31" s="4">
        <f>SUMIF($C$3:$AE$3,AJ$3,$C31:$AE31)</f>
        <v/>
      </c>
      <c r="AK31" s="4">
        <f>SUMIF($C$3:$AE$3,AK$3,$C31:$AE31)</f>
        <v/>
      </c>
      <c r="AL31" s="4">
        <f>SUMIF($C$3:$AE$3,AL$3,$C31:$AE31)</f>
        <v/>
      </c>
    </row>
    <row r="32">
      <c r="A32" t="inlineStr">
        <is>
          <t>Retail units -- Square</t>
        </is>
      </c>
      <c r="B32" s="2" t="inlineStr">
        <is>
          <t>units</t>
        </is>
      </c>
      <c r="C32" s="4">
        <f>'Pricing &amp; Mix'!C23*'Pricing &amp; Mix'!C25*'Pricing &amp; Mix'!C27</f>
        <v/>
      </c>
      <c r="D32" s="4">
        <f>'Pricing &amp; Mix'!D23*'Pricing &amp; Mix'!D25*'Pricing &amp; Mix'!D27</f>
        <v/>
      </c>
      <c r="E32" s="4">
        <f>'Pricing &amp; Mix'!E23*'Pricing &amp; Mix'!E25*'Pricing &amp; Mix'!E27</f>
        <v/>
      </c>
      <c r="F32" s="4">
        <f>'Pricing &amp; Mix'!F23*'Pricing &amp; Mix'!F25*'Pricing &amp; Mix'!F27</f>
        <v/>
      </c>
      <c r="G32" s="4">
        <f>'Pricing &amp; Mix'!G23*'Pricing &amp; Mix'!G25*'Pricing &amp; Mix'!G27</f>
        <v/>
      </c>
      <c r="H32" s="4">
        <f>'Pricing &amp; Mix'!H23*'Pricing &amp; Mix'!H25*'Pricing &amp; Mix'!H27</f>
        <v/>
      </c>
      <c r="I32" s="4">
        <f>'Pricing &amp; Mix'!I23*'Pricing &amp; Mix'!I25*'Pricing &amp; Mix'!I27</f>
        <v/>
      </c>
      <c r="J32" s="4">
        <f>'Pricing &amp; Mix'!J23*'Pricing &amp; Mix'!J25*'Pricing &amp; Mix'!J27</f>
        <v/>
      </c>
      <c r="K32" s="4">
        <f>'Pricing &amp; Mix'!K23*'Pricing &amp; Mix'!K25*'Pricing &amp; Mix'!K27</f>
        <v/>
      </c>
      <c r="L32" s="4">
        <f>'Pricing &amp; Mix'!L23*'Pricing &amp; Mix'!L25*'Pricing &amp; Mix'!L27</f>
        <v/>
      </c>
      <c r="M32" s="4">
        <f>'Pricing &amp; Mix'!M23*'Pricing &amp; Mix'!M25*'Pricing &amp; Mix'!M27</f>
        <v/>
      </c>
      <c r="N32" s="4">
        <f>'Pricing &amp; Mix'!N23*'Pricing &amp; Mix'!N25*'Pricing &amp; Mix'!N27</f>
        <v/>
      </c>
      <c r="O32" s="4">
        <f>'Pricing &amp; Mix'!O23*'Pricing &amp; Mix'!O25*'Pricing &amp; Mix'!O27</f>
        <v/>
      </c>
      <c r="P32" s="4">
        <f>'Pricing &amp; Mix'!P23*'Pricing &amp; Mix'!P25*'Pricing &amp; Mix'!P27</f>
        <v/>
      </c>
      <c r="Q32" s="4">
        <f>'Pricing &amp; Mix'!Q23*'Pricing &amp; Mix'!Q25*'Pricing &amp; Mix'!Q27</f>
        <v/>
      </c>
      <c r="R32" s="4">
        <f>'Pricing &amp; Mix'!R23*'Pricing &amp; Mix'!R25*'Pricing &amp; Mix'!R27</f>
        <v/>
      </c>
      <c r="S32" s="4">
        <f>'Pricing &amp; Mix'!S23*'Pricing &amp; Mix'!S25*'Pricing &amp; Mix'!S27</f>
        <v/>
      </c>
      <c r="T32" s="4">
        <f>'Pricing &amp; Mix'!T23*'Pricing &amp; Mix'!T25*'Pricing &amp; Mix'!T27</f>
        <v/>
      </c>
      <c r="U32" s="4">
        <f>'Pricing &amp; Mix'!U23*'Pricing &amp; Mix'!U25*'Pricing &amp; Mix'!U27</f>
        <v/>
      </c>
      <c r="V32" s="4">
        <f>'Pricing &amp; Mix'!V23*'Pricing &amp; Mix'!V25*'Pricing &amp; Mix'!V27</f>
        <v/>
      </c>
      <c r="W32" s="4">
        <f>'Pricing &amp; Mix'!W23*'Pricing &amp; Mix'!W25*'Pricing &amp; Mix'!W27</f>
        <v/>
      </c>
      <c r="X32" s="4">
        <f>'Pricing &amp; Mix'!X23*'Pricing &amp; Mix'!X25*'Pricing &amp; Mix'!X27</f>
        <v/>
      </c>
      <c r="Y32" s="4">
        <f>'Pricing &amp; Mix'!Y23*'Pricing &amp; Mix'!Y25*'Pricing &amp; Mix'!Y27</f>
        <v/>
      </c>
      <c r="Z32" s="4">
        <f>'Pricing &amp; Mix'!Z23*'Pricing &amp; Mix'!Z25*'Pricing &amp; Mix'!Z27</f>
        <v/>
      </c>
      <c r="AA32" s="4">
        <f>'Pricing &amp; Mix'!AA23*'Pricing &amp; Mix'!AA25*'Pricing &amp; Mix'!AA27</f>
        <v/>
      </c>
      <c r="AB32" s="4">
        <f>'Pricing &amp; Mix'!AB23*'Pricing &amp; Mix'!AB25*'Pricing &amp; Mix'!AB27</f>
        <v/>
      </c>
      <c r="AC32" s="4">
        <f>'Pricing &amp; Mix'!AC23*'Pricing &amp; Mix'!AC25*'Pricing &amp; Mix'!AC27</f>
        <v/>
      </c>
      <c r="AD32" s="4">
        <f>'Pricing &amp; Mix'!AD23*'Pricing &amp; Mix'!AD25*'Pricing &amp; Mix'!AD27</f>
        <v/>
      </c>
      <c r="AE32" s="4">
        <f>'Pricing &amp; Mix'!AE23*'Pricing &amp; Mix'!AE25*'Pricing &amp; Mix'!AE27</f>
        <v/>
      </c>
      <c r="AG32" s="4">
        <f>SUMIF($C$3:$AE$3,AG$3,$C32:$AE32)</f>
        <v/>
      </c>
      <c r="AH32" s="4">
        <f>SUMIF($C$3:$AE$3,AH$3,$C32:$AE32)</f>
        <v/>
      </c>
      <c r="AI32" s="4">
        <f>SUMIF($C$3:$AE$3,AI$3,$C32:$AE32)</f>
        <v/>
      </c>
      <c r="AJ32" s="4">
        <f>SUMIF($C$3:$AE$3,AJ$3,$C32:$AE32)</f>
        <v/>
      </c>
      <c r="AK32" s="4">
        <f>SUMIF($C$3:$AE$3,AK$3,$C32:$AE32)</f>
        <v/>
      </c>
      <c r="AL32" s="4">
        <f>SUMIF($C$3:$AE$3,AL$3,$C32:$AE32)</f>
        <v/>
      </c>
    </row>
    <row r="33">
      <c r="A33" t="inlineStr">
        <is>
          <t>Retail units -- Atlas</t>
        </is>
      </c>
      <c r="B33" s="2" t="inlineStr">
        <is>
          <t>units</t>
        </is>
      </c>
      <c r="C33" s="4">
        <f>'Pricing &amp; Mix'!C23*'Pricing &amp; Mix'!C26*'Pricing &amp; Mix'!C27</f>
        <v/>
      </c>
      <c r="D33" s="4">
        <f>'Pricing &amp; Mix'!D23*'Pricing &amp; Mix'!D26*'Pricing &amp; Mix'!D27</f>
        <v/>
      </c>
      <c r="E33" s="4">
        <f>'Pricing &amp; Mix'!E23*'Pricing &amp; Mix'!E26*'Pricing &amp; Mix'!E27</f>
        <v/>
      </c>
      <c r="F33" s="4">
        <f>'Pricing &amp; Mix'!F23*'Pricing &amp; Mix'!F26*'Pricing &amp; Mix'!F27</f>
        <v/>
      </c>
      <c r="G33" s="4">
        <f>'Pricing &amp; Mix'!G23*'Pricing &amp; Mix'!G26*'Pricing &amp; Mix'!G27</f>
        <v/>
      </c>
      <c r="H33" s="4">
        <f>'Pricing &amp; Mix'!H23*'Pricing &amp; Mix'!H26*'Pricing &amp; Mix'!H27</f>
        <v/>
      </c>
      <c r="I33" s="4">
        <f>'Pricing &amp; Mix'!I23*'Pricing &amp; Mix'!I26*'Pricing &amp; Mix'!I27</f>
        <v/>
      </c>
      <c r="J33" s="4">
        <f>'Pricing &amp; Mix'!J23*'Pricing &amp; Mix'!J26*'Pricing &amp; Mix'!J27</f>
        <v/>
      </c>
      <c r="K33" s="4">
        <f>'Pricing &amp; Mix'!K23*'Pricing &amp; Mix'!K26*'Pricing &amp; Mix'!K27</f>
        <v/>
      </c>
      <c r="L33" s="4">
        <f>'Pricing &amp; Mix'!L23*'Pricing &amp; Mix'!L26*'Pricing &amp; Mix'!L27</f>
        <v/>
      </c>
      <c r="M33" s="4">
        <f>'Pricing &amp; Mix'!M23*'Pricing &amp; Mix'!M26*'Pricing &amp; Mix'!M27</f>
        <v/>
      </c>
      <c r="N33" s="4">
        <f>'Pricing &amp; Mix'!N23*'Pricing &amp; Mix'!N26*'Pricing &amp; Mix'!N27</f>
        <v/>
      </c>
      <c r="O33" s="4">
        <f>'Pricing &amp; Mix'!O23*'Pricing &amp; Mix'!O26*'Pricing &amp; Mix'!O27</f>
        <v/>
      </c>
      <c r="P33" s="4">
        <f>'Pricing &amp; Mix'!P23*'Pricing &amp; Mix'!P26*'Pricing &amp; Mix'!P27</f>
        <v/>
      </c>
      <c r="Q33" s="4">
        <f>'Pricing &amp; Mix'!Q23*'Pricing &amp; Mix'!Q26*'Pricing &amp; Mix'!Q27</f>
        <v/>
      </c>
      <c r="R33" s="4">
        <f>'Pricing &amp; Mix'!R23*'Pricing &amp; Mix'!R26*'Pricing &amp; Mix'!R27</f>
        <v/>
      </c>
      <c r="S33" s="4">
        <f>'Pricing &amp; Mix'!S23*'Pricing &amp; Mix'!S26*'Pricing &amp; Mix'!S27</f>
        <v/>
      </c>
      <c r="T33" s="4">
        <f>'Pricing &amp; Mix'!T23*'Pricing &amp; Mix'!T26*'Pricing &amp; Mix'!T27</f>
        <v/>
      </c>
      <c r="U33" s="4">
        <f>'Pricing &amp; Mix'!U23*'Pricing &amp; Mix'!U26*'Pricing &amp; Mix'!U27</f>
        <v/>
      </c>
      <c r="V33" s="4">
        <f>'Pricing &amp; Mix'!V23*'Pricing &amp; Mix'!V26*'Pricing &amp; Mix'!V27</f>
        <v/>
      </c>
      <c r="W33" s="4">
        <f>'Pricing &amp; Mix'!W23*'Pricing &amp; Mix'!W26*'Pricing &amp; Mix'!W27</f>
        <v/>
      </c>
      <c r="X33" s="4">
        <f>'Pricing &amp; Mix'!X23*'Pricing &amp; Mix'!X26*'Pricing &amp; Mix'!X27</f>
        <v/>
      </c>
      <c r="Y33" s="4">
        <f>'Pricing &amp; Mix'!Y23*'Pricing &amp; Mix'!Y26*'Pricing &amp; Mix'!Y27</f>
        <v/>
      </c>
      <c r="Z33" s="4">
        <f>'Pricing &amp; Mix'!Z23*'Pricing &amp; Mix'!Z26*'Pricing &amp; Mix'!Z27</f>
        <v/>
      </c>
      <c r="AA33" s="4">
        <f>'Pricing &amp; Mix'!AA23*'Pricing &amp; Mix'!AA26*'Pricing &amp; Mix'!AA27</f>
        <v/>
      </c>
      <c r="AB33" s="4">
        <f>'Pricing &amp; Mix'!AB23*'Pricing &amp; Mix'!AB26*'Pricing &amp; Mix'!AB27</f>
        <v/>
      </c>
      <c r="AC33" s="4">
        <f>'Pricing &amp; Mix'!AC23*'Pricing &amp; Mix'!AC26*'Pricing &amp; Mix'!AC27</f>
        <v/>
      </c>
      <c r="AD33" s="4">
        <f>'Pricing &amp; Mix'!AD23*'Pricing &amp; Mix'!AD26*'Pricing &amp; Mix'!AD27</f>
        <v/>
      </c>
      <c r="AE33" s="4">
        <f>'Pricing &amp; Mix'!AE23*'Pricing &amp; Mix'!AE26*'Pricing &amp; Mix'!AE27</f>
        <v/>
      </c>
      <c r="AG33" s="4">
        <f>SUMIF($C$3:$AE$3,AG$3,$C33:$AE33)</f>
        <v/>
      </c>
      <c r="AH33" s="4">
        <f>SUMIF($C$3:$AE$3,AH$3,$C33:$AE33)</f>
        <v/>
      </c>
      <c r="AI33" s="4">
        <f>SUMIF($C$3:$AE$3,AI$3,$C33:$AE33)</f>
        <v/>
      </c>
      <c r="AJ33" s="4">
        <f>SUMIF($C$3:$AE$3,AJ$3,$C33:$AE33)</f>
        <v/>
      </c>
      <c r="AK33" s="4">
        <f>SUMIF($C$3:$AE$3,AK$3,$C33:$AE33)</f>
        <v/>
      </c>
      <c r="AL33" s="4">
        <f>SUMIF($C$3:$AE$3,AL$3,$C33:$AE33)</f>
        <v/>
      </c>
    </row>
    <row r="34">
      <c r="A34" t="inlineStr">
        <is>
          <t>Pre-order (KS + late pledge) units shipped</t>
        </is>
      </c>
      <c r="B34" s="2" t="inlineStr">
        <is>
          <t>units</t>
        </is>
      </c>
      <c r="C34" s="4">
        <f>(ks_units+pre_units)*sc_vol*Assumptions!C100</f>
        <v/>
      </c>
      <c r="D34" s="4">
        <f>(ks_units+pre_units)*sc_vol*Assumptions!D100</f>
        <v/>
      </c>
      <c r="E34" s="4">
        <f>(ks_units+pre_units)*sc_vol*Assumptions!E100</f>
        <v/>
      </c>
      <c r="F34" s="4">
        <f>(ks_units+pre_units)*sc_vol*Assumptions!F100</f>
        <v/>
      </c>
      <c r="G34" s="4">
        <f>(ks_units+pre_units)*sc_vol*Assumptions!G100</f>
        <v/>
      </c>
      <c r="H34" s="4">
        <f>(ks_units+pre_units)*sc_vol*Assumptions!H100</f>
        <v/>
      </c>
      <c r="I34" s="4">
        <f>(ks_units+pre_units)*sc_vol*Assumptions!I100</f>
        <v/>
      </c>
      <c r="J34" s="4">
        <f>(ks_units+pre_units)*sc_vol*Assumptions!J100</f>
        <v/>
      </c>
      <c r="K34" s="4">
        <f>(ks_units+pre_units)*sc_vol*Assumptions!K100</f>
        <v/>
      </c>
      <c r="L34" s="4">
        <f>(ks_units+pre_units)*sc_vol*Assumptions!L100</f>
        <v/>
      </c>
      <c r="M34" s="4">
        <f>(ks_units+pre_units)*sc_vol*Assumptions!M100</f>
        <v/>
      </c>
      <c r="N34" s="4">
        <f>(ks_units+pre_units)*sc_vol*Assumptions!N100</f>
        <v/>
      </c>
      <c r="O34" s="4">
        <f>(ks_units+pre_units)*sc_vol*Assumptions!O100</f>
        <v/>
      </c>
      <c r="P34" s="4">
        <f>(ks_units+pre_units)*sc_vol*Assumptions!P100</f>
        <v/>
      </c>
      <c r="Q34" s="4">
        <f>(ks_units+pre_units)*sc_vol*Assumptions!Q100</f>
        <v/>
      </c>
      <c r="R34" s="4">
        <f>(ks_units+pre_units)*sc_vol*Assumptions!R100</f>
        <v/>
      </c>
      <c r="S34" s="4">
        <f>(ks_units+pre_units)*sc_vol*Assumptions!S100</f>
        <v/>
      </c>
      <c r="T34" s="4">
        <f>(ks_units+pre_units)*sc_vol*Assumptions!T100</f>
        <v/>
      </c>
      <c r="U34" s="4">
        <f>(ks_units+pre_units)*sc_vol*Assumptions!U100</f>
        <v/>
      </c>
      <c r="V34" s="4">
        <f>(ks_units+pre_units)*sc_vol*Assumptions!V100</f>
        <v/>
      </c>
      <c r="W34" s="4">
        <f>(ks_units+pre_units)*sc_vol*Assumptions!W100</f>
        <v/>
      </c>
      <c r="X34" s="4">
        <f>(ks_units+pre_units)*sc_vol*Assumptions!X100</f>
        <v/>
      </c>
      <c r="Y34" s="4">
        <f>(ks_units+pre_units)*sc_vol*Assumptions!Y100</f>
        <v/>
      </c>
      <c r="Z34" s="4">
        <f>(ks_units+pre_units)*sc_vol*Assumptions!Z100</f>
        <v/>
      </c>
      <c r="AA34" s="4">
        <f>(ks_units+pre_units)*sc_vol*Assumptions!AA100</f>
        <v/>
      </c>
      <c r="AB34" s="4">
        <f>(ks_units+pre_units)*sc_vol*Assumptions!AB100</f>
        <v/>
      </c>
      <c r="AC34" s="4">
        <f>(ks_units+pre_units)*sc_vol*Assumptions!AC100</f>
        <v/>
      </c>
      <c r="AD34" s="4">
        <f>(ks_units+pre_units)*sc_vol*Assumptions!AD100</f>
        <v/>
      </c>
      <c r="AE34" s="4">
        <f>(ks_units+pre_units)*sc_vol*Assumptions!AE100</f>
        <v/>
      </c>
      <c r="AG34" s="4">
        <f>SUMIF($C$3:$AE$3,AG$3,$C34:$AE34)</f>
        <v/>
      </c>
      <c r="AH34" s="4">
        <f>SUMIF($C$3:$AE$3,AH$3,$C34:$AE34)</f>
        <v/>
      </c>
      <c r="AI34" s="4">
        <f>SUMIF($C$3:$AE$3,AI$3,$C34:$AE34)</f>
        <v/>
      </c>
      <c r="AJ34" s="4">
        <f>SUMIF($C$3:$AE$3,AJ$3,$C34:$AE34)</f>
        <v/>
      </c>
      <c r="AK34" s="4">
        <f>SUMIF($C$3:$AE$3,AK$3,$C34:$AE34)</f>
        <v/>
      </c>
      <c r="AL34" s="4">
        <f>SUMIF($C$3:$AE$3,AL$3,$C34:$AE34)</f>
        <v/>
      </c>
    </row>
    <row r="35">
      <c r="A35" t="inlineStr">
        <is>
          <t>Pre-order units shipped -- Pebble</t>
        </is>
      </c>
      <c r="B35" s="2" t="inlineStr">
        <is>
          <t>units</t>
        </is>
      </c>
      <c r="C35" s="4">
        <f>'Pricing &amp; Mix'!C34*pre_mix_peb</f>
        <v/>
      </c>
      <c r="D35" s="4">
        <f>'Pricing &amp; Mix'!D34*pre_mix_peb</f>
        <v/>
      </c>
      <c r="E35" s="4">
        <f>'Pricing &amp; Mix'!E34*pre_mix_peb</f>
        <v/>
      </c>
      <c r="F35" s="4">
        <f>'Pricing &amp; Mix'!F34*pre_mix_peb</f>
        <v/>
      </c>
      <c r="G35" s="4">
        <f>'Pricing &amp; Mix'!G34*pre_mix_peb</f>
        <v/>
      </c>
      <c r="H35" s="4">
        <f>'Pricing &amp; Mix'!H34*pre_mix_peb</f>
        <v/>
      </c>
      <c r="I35" s="4">
        <f>'Pricing &amp; Mix'!I34*pre_mix_peb</f>
        <v/>
      </c>
      <c r="J35" s="4">
        <f>'Pricing &amp; Mix'!J34*pre_mix_peb</f>
        <v/>
      </c>
      <c r="K35" s="4">
        <f>'Pricing &amp; Mix'!K34*pre_mix_peb</f>
        <v/>
      </c>
      <c r="L35" s="4">
        <f>'Pricing &amp; Mix'!L34*pre_mix_peb</f>
        <v/>
      </c>
      <c r="M35" s="4">
        <f>'Pricing &amp; Mix'!M34*pre_mix_peb</f>
        <v/>
      </c>
      <c r="N35" s="4">
        <f>'Pricing &amp; Mix'!N34*pre_mix_peb</f>
        <v/>
      </c>
      <c r="O35" s="4">
        <f>'Pricing &amp; Mix'!O34*pre_mix_peb</f>
        <v/>
      </c>
      <c r="P35" s="4">
        <f>'Pricing &amp; Mix'!P34*pre_mix_peb</f>
        <v/>
      </c>
      <c r="Q35" s="4">
        <f>'Pricing &amp; Mix'!Q34*pre_mix_peb</f>
        <v/>
      </c>
      <c r="R35" s="4">
        <f>'Pricing &amp; Mix'!R34*pre_mix_peb</f>
        <v/>
      </c>
      <c r="S35" s="4">
        <f>'Pricing &amp; Mix'!S34*pre_mix_peb</f>
        <v/>
      </c>
      <c r="T35" s="4">
        <f>'Pricing &amp; Mix'!T34*pre_mix_peb</f>
        <v/>
      </c>
      <c r="U35" s="4">
        <f>'Pricing &amp; Mix'!U34*pre_mix_peb</f>
        <v/>
      </c>
      <c r="V35" s="4">
        <f>'Pricing &amp; Mix'!V34*pre_mix_peb</f>
        <v/>
      </c>
      <c r="W35" s="4">
        <f>'Pricing &amp; Mix'!W34*pre_mix_peb</f>
        <v/>
      </c>
      <c r="X35" s="4">
        <f>'Pricing &amp; Mix'!X34*pre_mix_peb</f>
        <v/>
      </c>
      <c r="Y35" s="4">
        <f>'Pricing &amp; Mix'!Y34*pre_mix_peb</f>
        <v/>
      </c>
      <c r="Z35" s="4">
        <f>'Pricing &amp; Mix'!Z34*pre_mix_peb</f>
        <v/>
      </c>
      <c r="AA35" s="4">
        <f>'Pricing &amp; Mix'!AA34*pre_mix_peb</f>
        <v/>
      </c>
      <c r="AB35" s="4">
        <f>'Pricing &amp; Mix'!AB34*pre_mix_peb</f>
        <v/>
      </c>
      <c r="AC35" s="4">
        <f>'Pricing &amp; Mix'!AC34*pre_mix_peb</f>
        <v/>
      </c>
      <c r="AD35" s="4">
        <f>'Pricing &amp; Mix'!AD34*pre_mix_peb</f>
        <v/>
      </c>
      <c r="AE35" s="4">
        <f>'Pricing &amp; Mix'!AE34*pre_mix_peb</f>
        <v/>
      </c>
      <c r="AG35" s="4">
        <f>SUMIF($C$3:$AE$3,AG$3,$C35:$AE35)</f>
        <v/>
      </c>
      <c r="AH35" s="4">
        <f>SUMIF($C$3:$AE$3,AH$3,$C35:$AE35)</f>
        <v/>
      </c>
      <c r="AI35" s="4">
        <f>SUMIF($C$3:$AE$3,AI$3,$C35:$AE35)</f>
        <v/>
      </c>
      <c r="AJ35" s="4">
        <f>SUMIF($C$3:$AE$3,AJ$3,$C35:$AE35)</f>
        <v/>
      </c>
      <c r="AK35" s="4">
        <f>SUMIF($C$3:$AE$3,AK$3,$C35:$AE35)</f>
        <v/>
      </c>
      <c r="AL35" s="4">
        <f>SUMIF($C$3:$AE$3,AL$3,$C35:$AE35)</f>
        <v/>
      </c>
    </row>
    <row r="36">
      <c r="A36" t="inlineStr">
        <is>
          <t>Pre-order units shipped -- Square</t>
        </is>
      </c>
      <c r="B36" s="2" t="inlineStr">
        <is>
          <t>units</t>
        </is>
      </c>
      <c r="C36" s="4">
        <f>'Pricing &amp; Mix'!C34*(1-pre_mix_peb)</f>
        <v/>
      </c>
      <c r="D36" s="4">
        <f>'Pricing &amp; Mix'!D34*(1-pre_mix_peb)</f>
        <v/>
      </c>
      <c r="E36" s="4">
        <f>'Pricing &amp; Mix'!E34*(1-pre_mix_peb)</f>
        <v/>
      </c>
      <c r="F36" s="4">
        <f>'Pricing &amp; Mix'!F34*(1-pre_mix_peb)</f>
        <v/>
      </c>
      <c r="G36" s="4">
        <f>'Pricing &amp; Mix'!G34*(1-pre_mix_peb)</f>
        <v/>
      </c>
      <c r="H36" s="4">
        <f>'Pricing &amp; Mix'!H34*(1-pre_mix_peb)</f>
        <v/>
      </c>
      <c r="I36" s="4">
        <f>'Pricing &amp; Mix'!I34*(1-pre_mix_peb)</f>
        <v/>
      </c>
      <c r="J36" s="4">
        <f>'Pricing &amp; Mix'!J34*(1-pre_mix_peb)</f>
        <v/>
      </c>
      <c r="K36" s="4">
        <f>'Pricing &amp; Mix'!K34*(1-pre_mix_peb)</f>
        <v/>
      </c>
      <c r="L36" s="4">
        <f>'Pricing &amp; Mix'!L34*(1-pre_mix_peb)</f>
        <v/>
      </c>
      <c r="M36" s="4">
        <f>'Pricing &amp; Mix'!M34*(1-pre_mix_peb)</f>
        <v/>
      </c>
      <c r="N36" s="4">
        <f>'Pricing &amp; Mix'!N34*(1-pre_mix_peb)</f>
        <v/>
      </c>
      <c r="O36" s="4">
        <f>'Pricing &amp; Mix'!O34*(1-pre_mix_peb)</f>
        <v/>
      </c>
      <c r="P36" s="4">
        <f>'Pricing &amp; Mix'!P34*(1-pre_mix_peb)</f>
        <v/>
      </c>
      <c r="Q36" s="4">
        <f>'Pricing &amp; Mix'!Q34*(1-pre_mix_peb)</f>
        <v/>
      </c>
      <c r="R36" s="4">
        <f>'Pricing &amp; Mix'!R34*(1-pre_mix_peb)</f>
        <v/>
      </c>
      <c r="S36" s="4">
        <f>'Pricing &amp; Mix'!S34*(1-pre_mix_peb)</f>
        <v/>
      </c>
      <c r="T36" s="4">
        <f>'Pricing &amp; Mix'!T34*(1-pre_mix_peb)</f>
        <v/>
      </c>
      <c r="U36" s="4">
        <f>'Pricing &amp; Mix'!U34*(1-pre_mix_peb)</f>
        <v/>
      </c>
      <c r="V36" s="4">
        <f>'Pricing &amp; Mix'!V34*(1-pre_mix_peb)</f>
        <v/>
      </c>
      <c r="W36" s="4">
        <f>'Pricing &amp; Mix'!W34*(1-pre_mix_peb)</f>
        <v/>
      </c>
      <c r="X36" s="4">
        <f>'Pricing &amp; Mix'!X34*(1-pre_mix_peb)</f>
        <v/>
      </c>
      <c r="Y36" s="4">
        <f>'Pricing &amp; Mix'!Y34*(1-pre_mix_peb)</f>
        <v/>
      </c>
      <c r="Z36" s="4">
        <f>'Pricing &amp; Mix'!Z34*(1-pre_mix_peb)</f>
        <v/>
      </c>
      <c r="AA36" s="4">
        <f>'Pricing &amp; Mix'!AA34*(1-pre_mix_peb)</f>
        <v/>
      </c>
      <c r="AB36" s="4">
        <f>'Pricing &amp; Mix'!AB34*(1-pre_mix_peb)</f>
        <v/>
      </c>
      <c r="AC36" s="4">
        <f>'Pricing &amp; Mix'!AC34*(1-pre_mix_peb)</f>
        <v/>
      </c>
      <c r="AD36" s="4">
        <f>'Pricing &amp; Mix'!AD34*(1-pre_mix_peb)</f>
        <v/>
      </c>
      <c r="AE36" s="4">
        <f>'Pricing &amp; Mix'!AE34*(1-pre_mix_peb)</f>
        <v/>
      </c>
      <c r="AG36" s="4">
        <f>SUMIF($C$3:$AE$3,AG$3,$C36:$AE36)</f>
        <v/>
      </c>
      <c r="AH36" s="4">
        <f>SUMIF($C$3:$AE$3,AH$3,$C36:$AE36)</f>
        <v/>
      </c>
      <c r="AI36" s="4">
        <f>SUMIF($C$3:$AE$3,AI$3,$C36:$AE36)</f>
        <v/>
      </c>
      <c r="AJ36" s="4">
        <f>SUMIF($C$3:$AE$3,AJ$3,$C36:$AE36)</f>
        <v/>
      </c>
      <c r="AK36" s="4">
        <f>SUMIF($C$3:$AE$3,AK$3,$C36:$AE36)</f>
        <v/>
      </c>
      <c r="AL36" s="4">
        <f>SUMIF($C$3:$AE$3,AL$3,$C36:$AE36)</f>
        <v/>
      </c>
    </row>
    <row r="37">
      <c r="A37" t="inlineStr">
        <is>
          <t>Total units shipped -- Pebble</t>
        </is>
      </c>
      <c r="B37" s="2" t="inlineStr">
        <is>
          <t>units</t>
        </is>
      </c>
      <c r="C37" s="4">
        <f>'Pricing &amp; Mix'!C28+'Pricing &amp; Mix'!C31+'Pricing &amp; Mix'!C35</f>
        <v/>
      </c>
      <c r="D37" s="4">
        <f>'Pricing &amp; Mix'!D28+'Pricing &amp; Mix'!D31+'Pricing &amp; Mix'!D35</f>
        <v/>
      </c>
      <c r="E37" s="4">
        <f>'Pricing &amp; Mix'!E28+'Pricing &amp; Mix'!E31+'Pricing &amp; Mix'!E35</f>
        <v/>
      </c>
      <c r="F37" s="4">
        <f>'Pricing &amp; Mix'!F28+'Pricing &amp; Mix'!F31+'Pricing &amp; Mix'!F35</f>
        <v/>
      </c>
      <c r="G37" s="4">
        <f>'Pricing &amp; Mix'!G28+'Pricing &amp; Mix'!G31+'Pricing &amp; Mix'!G35</f>
        <v/>
      </c>
      <c r="H37" s="4">
        <f>'Pricing &amp; Mix'!H28+'Pricing &amp; Mix'!H31+'Pricing &amp; Mix'!H35</f>
        <v/>
      </c>
      <c r="I37" s="4">
        <f>'Pricing &amp; Mix'!I28+'Pricing &amp; Mix'!I31+'Pricing &amp; Mix'!I35</f>
        <v/>
      </c>
      <c r="J37" s="4">
        <f>'Pricing &amp; Mix'!J28+'Pricing &amp; Mix'!J31+'Pricing &amp; Mix'!J35</f>
        <v/>
      </c>
      <c r="K37" s="4">
        <f>'Pricing &amp; Mix'!K28+'Pricing &amp; Mix'!K31+'Pricing &amp; Mix'!K35</f>
        <v/>
      </c>
      <c r="L37" s="4">
        <f>'Pricing &amp; Mix'!L28+'Pricing &amp; Mix'!L31+'Pricing &amp; Mix'!L35</f>
        <v/>
      </c>
      <c r="M37" s="4">
        <f>'Pricing &amp; Mix'!M28+'Pricing &amp; Mix'!M31+'Pricing &amp; Mix'!M35</f>
        <v/>
      </c>
      <c r="N37" s="4">
        <f>'Pricing &amp; Mix'!N28+'Pricing &amp; Mix'!N31+'Pricing &amp; Mix'!N35</f>
        <v/>
      </c>
      <c r="O37" s="4">
        <f>'Pricing &amp; Mix'!O28+'Pricing &amp; Mix'!O31+'Pricing &amp; Mix'!O35</f>
        <v/>
      </c>
      <c r="P37" s="4">
        <f>'Pricing &amp; Mix'!P28+'Pricing &amp; Mix'!P31+'Pricing &amp; Mix'!P35</f>
        <v/>
      </c>
      <c r="Q37" s="4">
        <f>'Pricing &amp; Mix'!Q28+'Pricing &amp; Mix'!Q31+'Pricing &amp; Mix'!Q35</f>
        <v/>
      </c>
      <c r="R37" s="4">
        <f>'Pricing &amp; Mix'!R28+'Pricing &amp; Mix'!R31+'Pricing &amp; Mix'!R35</f>
        <v/>
      </c>
      <c r="S37" s="4">
        <f>'Pricing &amp; Mix'!S28+'Pricing &amp; Mix'!S31+'Pricing &amp; Mix'!S35</f>
        <v/>
      </c>
      <c r="T37" s="4">
        <f>'Pricing &amp; Mix'!T28+'Pricing &amp; Mix'!T31+'Pricing &amp; Mix'!T35</f>
        <v/>
      </c>
      <c r="U37" s="4">
        <f>'Pricing &amp; Mix'!U28+'Pricing &amp; Mix'!U31+'Pricing &amp; Mix'!U35</f>
        <v/>
      </c>
      <c r="V37" s="4">
        <f>'Pricing &amp; Mix'!V28+'Pricing &amp; Mix'!V31+'Pricing &amp; Mix'!V35</f>
        <v/>
      </c>
      <c r="W37" s="4">
        <f>'Pricing &amp; Mix'!W28+'Pricing &amp; Mix'!W31+'Pricing &amp; Mix'!W35</f>
        <v/>
      </c>
      <c r="X37" s="4">
        <f>'Pricing &amp; Mix'!X28+'Pricing &amp; Mix'!X31+'Pricing &amp; Mix'!X35</f>
        <v/>
      </c>
      <c r="Y37" s="4">
        <f>'Pricing &amp; Mix'!Y28+'Pricing &amp; Mix'!Y31+'Pricing &amp; Mix'!Y35</f>
        <v/>
      </c>
      <c r="Z37" s="4">
        <f>'Pricing &amp; Mix'!Z28+'Pricing &amp; Mix'!Z31+'Pricing &amp; Mix'!Z35</f>
        <v/>
      </c>
      <c r="AA37" s="4">
        <f>'Pricing &amp; Mix'!AA28+'Pricing &amp; Mix'!AA31+'Pricing &amp; Mix'!AA35</f>
        <v/>
      </c>
      <c r="AB37" s="4">
        <f>'Pricing &amp; Mix'!AB28+'Pricing &amp; Mix'!AB31+'Pricing &amp; Mix'!AB35</f>
        <v/>
      </c>
      <c r="AC37" s="4">
        <f>'Pricing &amp; Mix'!AC28+'Pricing &amp; Mix'!AC31+'Pricing &amp; Mix'!AC35</f>
        <v/>
      </c>
      <c r="AD37" s="4">
        <f>'Pricing &amp; Mix'!AD28+'Pricing &amp; Mix'!AD31+'Pricing &amp; Mix'!AD35</f>
        <v/>
      </c>
      <c r="AE37" s="4">
        <f>'Pricing &amp; Mix'!AE28+'Pricing &amp; Mix'!AE31+'Pricing &amp; Mix'!AE35</f>
        <v/>
      </c>
      <c r="AG37" s="4">
        <f>SUMIF($C$3:$AE$3,AG$3,$C37:$AE37)</f>
        <v/>
      </c>
      <c r="AH37" s="4">
        <f>SUMIF($C$3:$AE$3,AH$3,$C37:$AE37)</f>
        <v/>
      </c>
      <c r="AI37" s="4">
        <f>SUMIF($C$3:$AE$3,AI$3,$C37:$AE37)</f>
        <v/>
      </c>
      <c r="AJ37" s="4">
        <f>SUMIF($C$3:$AE$3,AJ$3,$C37:$AE37)</f>
        <v/>
      </c>
      <c r="AK37" s="4">
        <f>SUMIF($C$3:$AE$3,AK$3,$C37:$AE37)</f>
        <v/>
      </c>
      <c r="AL37" s="4">
        <f>SUMIF($C$3:$AE$3,AL$3,$C37:$AE37)</f>
        <v/>
      </c>
    </row>
    <row r="38">
      <c r="A38" t="inlineStr">
        <is>
          <t>Total units shipped -- Square</t>
        </is>
      </c>
      <c r="B38" s="2" t="inlineStr">
        <is>
          <t>units</t>
        </is>
      </c>
      <c r="C38" s="4">
        <f>'Pricing &amp; Mix'!C29+'Pricing &amp; Mix'!C32+'Pricing &amp; Mix'!C36</f>
        <v/>
      </c>
      <c r="D38" s="4">
        <f>'Pricing &amp; Mix'!D29+'Pricing &amp; Mix'!D32+'Pricing &amp; Mix'!D36</f>
        <v/>
      </c>
      <c r="E38" s="4">
        <f>'Pricing &amp; Mix'!E29+'Pricing &amp; Mix'!E32+'Pricing &amp; Mix'!E36</f>
        <v/>
      </c>
      <c r="F38" s="4">
        <f>'Pricing &amp; Mix'!F29+'Pricing &amp; Mix'!F32+'Pricing &amp; Mix'!F36</f>
        <v/>
      </c>
      <c r="G38" s="4">
        <f>'Pricing &amp; Mix'!G29+'Pricing &amp; Mix'!G32+'Pricing &amp; Mix'!G36</f>
        <v/>
      </c>
      <c r="H38" s="4">
        <f>'Pricing &amp; Mix'!H29+'Pricing &amp; Mix'!H32+'Pricing &amp; Mix'!H36</f>
        <v/>
      </c>
      <c r="I38" s="4">
        <f>'Pricing &amp; Mix'!I29+'Pricing &amp; Mix'!I32+'Pricing &amp; Mix'!I36</f>
        <v/>
      </c>
      <c r="J38" s="4">
        <f>'Pricing &amp; Mix'!J29+'Pricing &amp; Mix'!J32+'Pricing &amp; Mix'!J36</f>
        <v/>
      </c>
      <c r="K38" s="4">
        <f>'Pricing &amp; Mix'!K29+'Pricing &amp; Mix'!K32+'Pricing &amp; Mix'!K36</f>
        <v/>
      </c>
      <c r="L38" s="4">
        <f>'Pricing &amp; Mix'!L29+'Pricing &amp; Mix'!L32+'Pricing &amp; Mix'!L36</f>
        <v/>
      </c>
      <c r="M38" s="4">
        <f>'Pricing &amp; Mix'!M29+'Pricing &amp; Mix'!M32+'Pricing &amp; Mix'!M36</f>
        <v/>
      </c>
      <c r="N38" s="4">
        <f>'Pricing &amp; Mix'!N29+'Pricing &amp; Mix'!N32+'Pricing &amp; Mix'!N36</f>
        <v/>
      </c>
      <c r="O38" s="4">
        <f>'Pricing &amp; Mix'!O29+'Pricing &amp; Mix'!O32+'Pricing &amp; Mix'!O36</f>
        <v/>
      </c>
      <c r="P38" s="4">
        <f>'Pricing &amp; Mix'!P29+'Pricing &amp; Mix'!P32+'Pricing &amp; Mix'!P36</f>
        <v/>
      </c>
      <c r="Q38" s="4">
        <f>'Pricing &amp; Mix'!Q29+'Pricing &amp; Mix'!Q32+'Pricing &amp; Mix'!Q36</f>
        <v/>
      </c>
      <c r="R38" s="4">
        <f>'Pricing &amp; Mix'!R29+'Pricing &amp; Mix'!R32+'Pricing &amp; Mix'!R36</f>
        <v/>
      </c>
      <c r="S38" s="4">
        <f>'Pricing &amp; Mix'!S29+'Pricing &amp; Mix'!S32+'Pricing &amp; Mix'!S36</f>
        <v/>
      </c>
      <c r="T38" s="4">
        <f>'Pricing &amp; Mix'!T29+'Pricing &amp; Mix'!T32+'Pricing &amp; Mix'!T36</f>
        <v/>
      </c>
      <c r="U38" s="4">
        <f>'Pricing &amp; Mix'!U29+'Pricing &amp; Mix'!U32+'Pricing &amp; Mix'!U36</f>
        <v/>
      </c>
      <c r="V38" s="4">
        <f>'Pricing &amp; Mix'!V29+'Pricing &amp; Mix'!V32+'Pricing &amp; Mix'!V36</f>
        <v/>
      </c>
      <c r="W38" s="4">
        <f>'Pricing &amp; Mix'!W29+'Pricing &amp; Mix'!W32+'Pricing &amp; Mix'!W36</f>
        <v/>
      </c>
      <c r="X38" s="4">
        <f>'Pricing &amp; Mix'!X29+'Pricing &amp; Mix'!X32+'Pricing &amp; Mix'!X36</f>
        <v/>
      </c>
      <c r="Y38" s="4">
        <f>'Pricing &amp; Mix'!Y29+'Pricing &amp; Mix'!Y32+'Pricing &amp; Mix'!Y36</f>
        <v/>
      </c>
      <c r="Z38" s="4">
        <f>'Pricing &amp; Mix'!Z29+'Pricing &amp; Mix'!Z32+'Pricing &amp; Mix'!Z36</f>
        <v/>
      </c>
      <c r="AA38" s="4">
        <f>'Pricing &amp; Mix'!AA29+'Pricing &amp; Mix'!AA32+'Pricing &amp; Mix'!AA36</f>
        <v/>
      </c>
      <c r="AB38" s="4">
        <f>'Pricing &amp; Mix'!AB29+'Pricing &amp; Mix'!AB32+'Pricing &amp; Mix'!AB36</f>
        <v/>
      </c>
      <c r="AC38" s="4">
        <f>'Pricing &amp; Mix'!AC29+'Pricing &amp; Mix'!AC32+'Pricing &amp; Mix'!AC36</f>
        <v/>
      </c>
      <c r="AD38" s="4">
        <f>'Pricing &amp; Mix'!AD29+'Pricing &amp; Mix'!AD32+'Pricing &amp; Mix'!AD36</f>
        <v/>
      </c>
      <c r="AE38" s="4">
        <f>'Pricing &amp; Mix'!AE29+'Pricing &amp; Mix'!AE32+'Pricing &amp; Mix'!AE36</f>
        <v/>
      </c>
      <c r="AG38" s="4">
        <f>SUMIF($C$3:$AE$3,AG$3,$C38:$AE38)</f>
        <v/>
      </c>
      <c r="AH38" s="4">
        <f>SUMIF($C$3:$AE$3,AH$3,$C38:$AE38)</f>
        <v/>
      </c>
      <c r="AI38" s="4">
        <f>SUMIF($C$3:$AE$3,AI$3,$C38:$AE38)</f>
        <v/>
      </c>
      <c r="AJ38" s="4">
        <f>SUMIF($C$3:$AE$3,AJ$3,$C38:$AE38)</f>
        <v/>
      </c>
      <c r="AK38" s="4">
        <f>SUMIF($C$3:$AE$3,AK$3,$C38:$AE38)</f>
        <v/>
      </c>
      <c r="AL38" s="4">
        <f>SUMIF($C$3:$AE$3,AL$3,$C38:$AE38)</f>
        <v/>
      </c>
    </row>
    <row r="39">
      <c r="A39" t="inlineStr">
        <is>
          <t>Total units shipped -- Atlas</t>
        </is>
      </c>
      <c r="B39" s="2" t="inlineStr">
        <is>
          <t>units</t>
        </is>
      </c>
      <c r="C39" s="4">
        <f>'Pricing &amp; Mix'!C30+'Pricing &amp; Mix'!C33</f>
        <v/>
      </c>
      <c r="D39" s="4">
        <f>'Pricing &amp; Mix'!D30+'Pricing &amp; Mix'!D33</f>
        <v/>
      </c>
      <c r="E39" s="4">
        <f>'Pricing &amp; Mix'!E30+'Pricing &amp; Mix'!E33</f>
        <v/>
      </c>
      <c r="F39" s="4">
        <f>'Pricing &amp; Mix'!F30+'Pricing &amp; Mix'!F33</f>
        <v/>
      </c>
      <c r="G39" s="4">
        <f>'Pricing &amp; Mix'!G30+'Pricing &amp; Mix'!G33</f>
        <v/>
      </c>
      <c r="H39" s="4">
        <f>'Pricing &amp; Mix'!H30+'Pricing &amp; Mix'!H33</f>
        <v/>
      </c>
      <c r="I39" s="4">
        <f>'Pricing &amp; Mix'!I30+'Pricing &amp; Mix'!I33</f>
        <v/>
      </c>
      <c r="J39" s="4">
        <f>'Pricing &amp; Mix'!J30+'Pricing &amp; Mix'!J33</f>
        <v/>
      </c>
      <c r="K39" s="4">
        <f>'Pricing &amp; Mix'!K30+'Pricing &amp; Mix'!K33</f>
        <v/>
      </c>
      <c r="L39" s="4">
        <f>'Pricing &amp; Mix'!L30+'Pricing &amp; Mix'!L33</f>
        <v/>
      </c>
      <c r="M39" s="4">
        <f>'Pricing &amp; Mix'!M30+'Pricing &amp; Mix'!M33</f>
        <v/>
      </c>
      <c r="N39" s="4">
        <f>'Pricing &amp; Mix'!N30+'Pricing &amp; Mix'!N33</f>
        <v/>
      </c>
      <c r="O39" s="4">
        <f>'Pricing &amp; Mix'!O30+'Pricing &amp; Mix'!O33</f>
        <v/>
      </c>
      <c r="P39" s="4">
        <f>'Pricing &amp; Mix'!P30+'Pricing &amp; Mix'!P33</f>
        <v/>
      </c>
      <c r="Q39" s="4">
        <f>'Pricing &amp; Mix'!Q30+'Pricing &amp; Mix'!Q33</f>
        <v/>
      </c>
      <c r="R39" s="4">
        <f>'Pricing &amp; Mix'!R30+'Pricing &amp; Mix'!R33</f>
        <v/>
      </c>
      <c r="S39" s="4">
        <f>'Pricing &amp; Mix'!S30+'Pricing &amp; Mix'!S33</f>
        <v/>
      </c>
      <c r="T39" s="4">
        <f>'Pricing &amp; Mix'!T30+'Pricing &amp; Mix'!T33</f>
        <v/>
      </c>
      <c r="U39" s="4">
        <f>'Pricing &amp; Mix'!U30+'Pricing &amp; Mix'!U33</f>
        <v/>
      </c>
      <c r="V39" s="4">
        <f>'Pricing &amp; Mix'!V30+'Pricing &amp; Mix'!V33</f>
        <v/>
      </c>
      <c r="W39" s="4">
        <f>'Pricing &amp; Mix'!W30+'Pricing &amp; Mix'!W33</f>
        <v/>
      </c>
      <c r="X39" s="4">
        <f>'Pricing &amp; Mix'!X30+'Pricing &amp; Mix'!X33</f>
        <v/>
      </c>
      <c r="Y39" s="4">
        <f>'Pricing &amp; Mix'!Y30+'Pricing &amp; Mix'!Y33</f>
        <v/>
      </c>
      <c r="Z39" s="4">
        <f>'Pricing &amp; Mix'!Z30+'Pricing &amp; Mix'!Z33</f>
        <v/>
      </c>
      <c r="AA39" s="4">
        <f>'Pricing &amp; Mix'!AA30+'Pricing &amp; Mix'!AA33</f>
        <v/>
      </c>
      <c r="AB39" s="4">
        <f>'Pricing &amp; Mix'!AB30+'Pricing &amp; Mix'!AB33</f>
        <v/>
      </c>
      <c r="AC39" s="4">
        <f>'Pricing &amp; Mix'!AC30+'Pricing &amp; Mix'!AC33</f>
        <v/>
      </c>
      <c r="AD39" s="4">
        <f>'Pricing &amp; Mix'!AD30+'Pricing &amp; Mix'!AD33</f>
        <v/>
      </c>
      <c r="AE39" s="4">
        <f>'Pricing &amp; Mix'!AE30+'Pricing &amp; Mix'!AE33</f>
        <v/>
      </c>
      <c r="AG39" s="4">
        <f>SUMIF($C$3:$AE$3,AG$3,$C39:$AE39)</f>
        <v/>
      </c>
      <c r="AH39" s="4">
        <f>SUMIF($C$3:$AE$3,AH$3,$C39:$AE39)</f>
        <v/>
      </c>
      <c r="AI39" s="4">
        <f>SUMIF($C$3:$AE$3,AI$3,$C39:$AE39)</f>
        <v/>
      </c>
      <c r="AJ39" s="4">
        <f>SUMIF($C$3:$AE$3,AJ$3,$C39:$AE39)</f>
        <v/>
      </c>
      <c r="AK39" s="4">
        <f>SUMIF($C$3:$AE$3,AK$3,$C39:$AE39)</f>
        <v/>
      </c>
      <c r="AL39" s="4">
        <f>SUMIF($C$3:$AE$3,AL$3,$C39:$AE39)</f>
        <v/>
      </c>
    </row>
    <row r="40">
      <c r="A40" s="13" t="inlineStr">
        <is>
          <t>TOTAL UNITS SHIPPED</t>
        </is>
      </c>
      <c r="B40" s="2" t="inlineStr">
        <is>
          <t>units</t>
        </is>
      </c>
      <c r="C40" s="24">
        <f>'Pricing &amp; Mix'!C37+'Pricing &amp; Mix'!C38+'Pricing &amp; Mix'!C39</f>
        <v/>
      </c>
      <c r="D40" s="24">
        <f>'Pricing &amp; Mix'!D37+'Pricing &amp; Mix'!D38+'Pricing &amp; Mix'!D39</f>
        <v/>
      </c>
      <c r="E40" s="24">
        <f>'Pricing &amp; Mix'!E37+'Pricing &amp; Mix'!E38+'Pricing &amp; Mix'!E39</f>
        <v/>
      </c>
      <c r="F40" s="24">
        <f>'Pricing &amp; Mix'!F37+'Pricing &amp; Mix'!F38+'Pricing &amp; Mix'!F39</f>
        <v/>
      </c>
      <c r="G40" s="24">
        <f>'Pricing &amp; Mix'!G37+'Pricing &amp; Mix'!G38+'Pricing &amp; Mix'!G39</f>
        <v/>
      </c>
      <c r="H40" s="24">
        <f>'Pricing &amp; Mix'!H37+'Pricing &amp; Mix'!H38+'Pricing &amp; Mix'!H39</f>
        <v/>
      </c>
      <c r="I40" s="24">
        <f>'Pricing &amp; Mix'!I37+'Pricing &amp; Mix'!I38+'Pricing &amp; Mix'!I39</f>
        <v/>
      </c>
      <c r="J40" s="24">
        <f>'Pricing &amp; Mix'!J37+'Pricing &amp; Mix'!J38+'Pricing &amp; Mix'!J39</f>
        <v/>
      </c>
      <c r="K40" s="24">
        <f>'Pricing &amp; Mix'!K37+'Pricing &amp; Mix'!K38+'Pricing &amp; Mix'!K39</f>
        <v/>
      </c>
      <c r="L40" s="24">
        <f>'Pricing &amp; Mix'!L37+'Pricing &amp; Mix'!L38+'Pricing &amp; Mix'!L39</f>
        <v/>
      </c>
      <c r="M40" s="24">
        <f>'Pricing &amp; Mix'!M37+'Pricing &amp; Mix'!M38+'Pricing &amp; Mix'!M39</f>
        <v/>
      </c>
      <c r="N40" s="24">
        <f>'Pricing &amp; Mix'!N37+'Pricing &amp; Mix'!N38+'Pricing &amp; Mix'!N39</f>
        <v/>
      </c>
      <c r="O40" s="24">
        <f>'Pricing &amp; Mix'!O37+'Pricing &amp; Mix'!O38+'Pricing &amp; Mix'!O39</f>
        <v/>
      </c>
      <c r="P40" s="24">
        <f>'Pricing &amp; Mix'!P37+'Pricing &amp; Mix'!P38+'Pricing &amp; Mix'!P39</f>
        <v/>
      </c>
      <c r="Q40" s="24">
        <f>'Pricing &amp; Mix'!Q37+'Pricing &amp; Mix'!Q38+'Pricing &amp; Mix'!Q39</f>
        <v/>
      </c>
      <c r="R40" s="24">
        <f>'Pricing &amp; Mix'!R37+'Pricing &amp; Mix'!R38+'Pricing &amp; Mix'!R39</f>
        <v/>
      </c>
      <c r="S40" s="24">
        <f>'Pricing &amp; Mix'!S37+'Pricing &amp; Mix'!S38+'Pricing &amp; Mix'!S39</f>
        <v/>
      </c>
      <c r="T40" s="24">
        <f>'Pricing &amp; Mix'!T37+'Pricing &amp; Mix'!T38+'Pricing &amp; Mix'!T39</f>
        <v/>
      </c>
      <c r="U40" s="24">
        <f>'Pricing &amp; Mix'!U37+'Pricing &amp; Mix'!U38+'Pricing &amp; Mix'!U39</f>
        <v/>
      </c>
      <c r="V40" s="24">
        <f>'Pricing &amp; Mix'!V37+'Pricing &amp; Mix'!V38+'Pricing &amp; Mix'!V39</f>
        <v/>
      </c>
      <c r="W40" s="24">
        <f>'Pricing &amp; Mix'!W37+'Pricing &amp; Mix'!W38+'Pricing &amp; Mix'!W39</f>
        <v/>
      </c>
      <c r="X40" s="24">
        <f>'Pricing &amp; Mix'!X37+'Pricing &amp; Mix'!X38+'Pricing &amp; Mix'!X39</f>
        <v/>
      </c>
      <c r="Y40" s="24">
        <f>'Pricing &amp; Mix'!Y37+'Pricing &amp; Mix'!Y38+'Pricing &amp; Mix'!Y39</f>
        <v/>
      </c>
      <c r="Z40" s="24">
        <f>'Pricing &amp; Mix'!Z37+'Pricing &amp; Mix'!Z38+'Pricing &amp; Mix'!Z39</f>
        <v/>
      </c>
      <c r="AA40" s="24">
        <f>'Pricing &amp; Mix'!AA37+'Pricing &amp; Mix'!AA38+'Pricing &amp; Mix'!AA39</f>
        <v/>
      </c>
      <c r="AB40" s="24">
        <f>'Pricing &amp; Mix'!AB37+'Pricing &amp; Mix'!AB38+'Pricing &amp; Mix'!AB39</f>
        <v/>
      </c>
      <c r="AC40" s="24">
        <f>'Pricing &amp; Mix'!AC37+'Pricing &amp; Mix'!AC38+'Pricing &amp; Mix'!AC39</f>
        <v/>
      </c>
      <c r="AD40" s="24">
        <f>'Pricing &amp; Mix'!AD37+'Pricing &amp; Mix'!AD38+'Pricing &amp; Mix'!AD39</f>
        <v/>
      </c>
      <c r="AE40" s="24">
        <f>'Pricing &amp; Mix'!AE37+'Pricing &amp; Mix'!AE38+'Pricing &amp; Mix'!AE39</f>
        <v/>
      </c>
      <c r="AG40" s="24">
        <f>SUMIF($C$3:$AE$3,AG$3,$C40:$AE40)</f>
        <v/>
      </c>
      <c r="AH40" s="24">
        <f>SUMIF($C$3:$AE$3,AH$3,$C40:$AE40)</f>
        <v/>
      </c>
      <c r="AI40" s="24">
        <f>SUMIF($C$3:$AE$3,AI$3,$C40:$AE40)</f>
        <v/>
      </c>
      <c r="AJ40" s="24">
        <f>SUMIF($C$3:$AE$3,AJ$3,$C40:$AE40)</f>
        <v/>
      </c>
      <c r="AK40" s="24">
        <f>SUMIF($C$3:$AE$3,AK$3,$C40:$AE40)</f>
        <v/>
      </c>
      <c r="AL40" s="24">
        <f>SUMIF($C$3:$AE$3,AL$3,$C40:$AE40)</f>
        <v/>
      </c>
    </row>
    <row r="41">
      <c r="A41" t="inlineStr">
        <is>
          <t>DTC regular units</t>
        </is>
      </c>
      <c r="B41" s="2" t="inlineStr">
        <is>
          <t>units</t>
        </is>
      </c>
      <c r="C41" s="4">
        <f>'Pricing &amp; Mix'!C28+'Pricing &amp; Mix'!C29+'Pricing &amp; Mix'!C30</f>
        <v/>
      </c>
      <c r="D41" s="4">
        <f>'Pricing &amp; Mix'!D28+'Pricing &amp; Mix'!D29+'Pricing &amp; Mix'!D30</f>
        <v/>
      </c>
      <c r="E41" s="4">
        <f>'Pricing &amp; Mix'!E28+'Pricing &amp; Mix'!E29+'Pricing &amp; Mix'!E30</f>
        <v/>
      </c>
      <c r="F41" s="4">
        <f>'Pricing &amp; Mix'!F28+'Pricing &amp; Mix'!F29+'Pricing &amp; Mix'!F30</f>
        <v/>
      </c>
      <c r="G41" s="4">
        <f>'Pricing &amp; Mix'!G28+'Pricing &amp; Mix'!G29+'Pricing &amp; Mix'!G30</f>
        <v/>
      </c>
      <c r="H41" s="4">
        <f>'Pricing &amp; Mix'!H28+'Pricing &amp; Mix'!H29+'Pricing &amp; Mix'!H30</f>
        <v/>
      </c>
      <c r="I41" s="4">
        <f>'Pricing &amp; Mix'!I28+'Pricing &amp; Mix'!I29+'Pricing &amp; Mix'!I30</f>
        <v/>
      </c>
      <c r="J41" s="4">
        <f>'Pricing &amp; Mix'!J28+'Pricing &amp; Mix'!J29+'Pricing &amp; Mix'!J30</f>
        <v/>
      </c>
      <c r="K41" s="4">
        <f>'Pricing &amp; Mix'!K28+'Pricing &amp; Mix'!K29+'Pricing &amp; Mix'!K30</f>
        <v/>
      </c>
      <c r="L41" s="4">
        <f>'Pricing &amp; Mix'!L28+'Pricing &amp; Mix'!L29+'Pricing &amp; Mix'!L30</f>
        <v/>
      </c>
      <c r="M41" s="4">
        <f>'Pricing &amp; Mix'!M28+'Pricing &amp; Mix'!M29+'Pricing &amp; Mix'!M30</f>
        <v/>
      </c>
      <c r="N41" s="4">
        <f>'Pricing &amp; Mix'!N28+'Pricing &amp; Mix'!N29+'Pricing &amp; Mix'!N30</f>
        <v/>
      </c>
      <c r="O41" s="4">
        <f>'Pricing &amp; Mix'!O28+'Pricing &amp; Mix'!O29+'Pricing &amp; Mix'!O30</f>
        <v/>
      </c>
      <c r="P41" s="4">
        <f>'Pricing &amp; Mix'!P28+'Pricing &amp; Mix'!P29+'Pricing &amp; Mix'!P30</f>
        <v/>
      </c>
      <c r="Q41" s="4">
        <f>'Pricing &amp; Mix'!Q28+'Pricing &amp; Mix'!Q29+'Pricing &amp; Mix'!Q30</f>
        <v/>
      </c>
      <c r="R41" s="4">
        <f>'Pricing &amp; Mix'!R28+'Pricing &amp; Mix'!R29+'Pricing &amp; Mix'!R30</f>
        <v/>
      </c>
      <c r="S41" s="4">
        <f>'Pricing &amp; Mix'!S28+'Pricing &amp; Mix'!S29+'Pricing &amp; Mix'!S30</f>
        <v/>
      </c>
      <c r="T41" s="4">
        <f>'Pricing &amp; Mix'!T28+'Pricing &amp; Mix'!T29+'Pricing &amp; Mix'!T30</f>
        <v/>
      </c>
      <c r="U41" s="4">
        <f>'Pricing &amp; Mix'!U28+'Pricing &amp; Mix'!U29+'Pricing &amp; Mix'!U30</f>
        <v/>
      </c>
      <c r="V41" s="4">
        <f>'Pricing &amp; Mix'!V28+'Pricing &amp; Mix'!V29+'Pricing &amp; Mix'!V30</f>
        <v/>
      </c>
      <c r="W41" s="4">
        <f>'Pricing &amp; Mix'!W28+'Pricing &amp; Mix'!W29+'Pricing &amp; Mix'!W30</f>
        <v/>
      </c>
      <c r="X41" s="4">
        <f>'Pricing &amp; Mix'!X28+'Pricing &amp; Mix'!X29+'Pricing &amp; Mix'!X30</f>
        <v/>
      </c>
      <c r="Y41" s="4">
        <f>'Pricing &amp; Mix'!Y28+'Pricing &amp; Mix'!Y29+'Pricing &amp; Mix'!Y30</f>
        <v/>
      </c>
      <c r="Z41" s="4">
        <f>'Pricing &amp; Mix'!Z28+'Pricing &amp; Mix'!Z29+'Pricing &amp; Mix'!Z30</f>
        <v/>
      </c>
      <c r="AA41" s="4">
        <f>'Pricing &amp; Mix'!AA28+'Pricing &amp; Mix'!AA29+'Pricing &amp; Mix'!AA30</f>
        <v/>
      </c>
      <c r="AB41" s="4">
        <f>'Pricing &amp; Mix'!AB28+'Pricing &amp; Mix'!AB29+'Pricing &amp; Mix'!AB30</f>
        <v/>
      </c>
      <c r="AC41" s="4">
        <f>'Pricing &amp; Mix'!AC28+'Pricing &amp; Mix'!AC29+'Pricing &amp; Mix'!AC30</f>
        <v/>
      </c>
      <c r="AD41" s="4">
        <f>'Pricing &amp; Mix'!AD28+'Pricing &amp; Mix'!AD29+'Pricing &amp; Mix'!AD30</f>
        <v/>
      </c>
      <c r="AE41" s="4">
        <f>'Pricing &amp; Mix'!AE28+'Pricing &amp; Mix'!AE29+'Pricing &amp; Mix'!AE30</f>
        <v/>
      </c>
      <c r="AG41" s="4">
        <f>SUMIF($C$3:$AE$3,AG$3,$C41:$AE41)</f>
        <v/>
      </c>
      <c r="AH41" s="4">
        <f>SUMIF($C$3:$AE$3,AH$3,$C41:$AE41)</f>
        <v/>
      </c>
      <c r="AI41" s="4">
        <f>SUMIF($C$3:$AE$3,AI$3,$C41:$AE41)</f>
        <v/>
      </c>
      <c r="AJ41" s="4">
        <f>SUMIF($C$3:$AE$3,AJ$3,$C41:$AE41)</f>
        <v/>
      </c>
      <c r="AK41" s="4">
        <f>SUMIF($C$3:$AE$3,AK$3,$C41:$AE41)</f>
        <v/>
      </c>
      <c r="AL41" s="4">
        <f>SUMIF($C$3:$AE$3,AL$3,$C41:$AE41)</f>
        <v/>
      </c>
    </row>
    <row r="42">
      <c r="A42" t="inlineStr">
        <is>
          <t>Retail units</t>
        </is>
      </c>
      <c r="B42" s="2" t="inlineStr">
        <is>
          <t>units</t>
        </is>
      </c>
      <c r="C42" s="4">
        <f>'Pricing &amp; Mix'!C31+'Pricing &amp; Mix'!C32+'Pricing &amp; Mix'!C33</f>
        <v/>
      </c>
      <c r="D42" s="4">
        <f>'Pricing &amp; Mix'!D31+'Pricing &amp; Mix'!D32+'Pricing &amp; Mix'!D33</f>
        <v/>
      </c>
      <c r="E42" s="4">
        <f>'Pricing &amp; Mix'!E31+'Pricing &amp; Mix'!E32+'Pricing &amp; Mix'!E33</f>
        <v/>
      </c>
      <c r="F42" s="4">
        <f>'Pricing &amp; Mix'!F31+'Pricing &amp; Mix'!F32+'Pricing &amp; Mix'!F33</f>
        <v/>
      </c>
      <c r="G42" s="4">
        <f>'Pricing &amp; Mix'!G31+'Pricing &amp; Mix'!G32+'Pricing &amp; Mix'!G33</f>
        <v/>
      </c>
      <c r="H42" s="4">
        <f>'Pricing &amp; Mix'!H31+'Pricing &amp; Mix'!H32+'Pricing &amp; Mix'!H33</f>
        <v/>
      </c>
      <c r="I42" s="4">
        <f>'Pricing &amp; Mix'!I31+'Pricing &amp; Mix'!I32+'Pricing &amp; Mix'!I33</f>
        <v/>
      </c>
      <c r="J42" s="4">
        <f>'Pricing &amp; Mix'!J31+'Pricing &amp; Mix'!J32+'Pricing &amp; Mix'!J33</f>
        <v/>
      </c>
      <c r="K42" s="4">
        <f>'Pricing &amp; Mix'!K31+'Pricing &amp; Mix'!K32+'Pricing &amp; Mix'!K33</f>
        <v/>
      </c>
      <c r="L42" s="4">
        <f>'Pricing &amp; Mix'!L31+'Pricing &amp; Mix'!L32+'Pricing &amp; Mix'!L33</f>
        <v/>
      </c>
      <c r="M42" s="4">
        <f>'Pricing &amp; Mix'!M31+'Pricing &amp; Mix'!M32+'Pricing &amp; Mix'!M33</f>
        <v/>
      </c>
      <c r="N42" s="4">
        <f>'Pricing &amp; Mix'!N31+'Pricing &amp; Mix'!N32+'Pricing &amp; Mix'!N33</f>
        <v/>
      </c>
      <c r="O42" s="4">
        <f>'Pricing &amp; Mix'!O31+'Pricing &amp; Mix'!O32+'Pricing &amp; Mix'!O33</f>
        <v/>
      </c>
      <c r="P42" s="4">
        <f>'Pricing &amp; Mix'!P31+'Pricing &amp; Mix'!P32+'Pricing &amp; Mix'!P33</f>
        <v/>
      </c>
      <c r="Q42" s="4">
        <f>'Pricing &amp; Mix'!Q31+'Pricing &amp; Mix'!Q32+'Pricing &amp; Mix'!Q33</f>
        <v/>
      </c>
      <c r="R42" s="4">
        <f>'Pricing &amp; Mix'!R31+'Pricing &amp; Mix'!R32+'Pricing &amp; Mix'!R33</f>
        <v/>
      </c>
      <c r="S42" s="4">
        <f>'Pricing &amp; Mix'!S31+'Pricing &amp; Mix'!S32+'Pricing &amp; Mix'!S33</f>
        <v/>
      </c>
      <c r="T42" s="4">
        <f>'Pricing &amp; Mix'!T31+'Pricing &amp; Mix'!T32+'Pricing &amp; Mix'!T33</f>
        <v/>
      </c>
      <c r="U42" s="4">
        <f>'Pricing &amp; Mix'!U31+'Pricing &amp; Mix'!U32+'Pricing &amp; Mix'!U33</f>
        <v/>
      </c>
      <c r="V42" s="4">
        <f>'Pricing &amp; Mix'!V31+'Pricing &amp; Mix'!V32+'Pricing &amp; Mix'!V33</f>
        <v/>
      </c>
      <c r="W42" s="4">
        <f>'Pricing &amp; Mix'!W31+'Pricing &amp; Mix'!W32+'Pricing &amp; Mix'!W33</f>
        <v/>
      </c>
      <c r="X42" s="4">
        <f>'Pricing &amp; Mix'!X31+'Pricing &amp; Mix'!X32+'Pricing &amp; Mix'!X33</f>
        <v/>
      </c>
      <c r="Y42" s="4">
        <f>'Pricing &amp; Mix'!Y31+'Pricing &amp; Mix'!Y32+'Pricing &amp; Mix'!Y33</f>
        <v/>
      </c>
      <c r="Z42" s="4">
        <f>'Pricing &amp; Mix'!Z31+'Pricing &amp; Mix'!Z32+'Pricing &amp; Mix'!Z33</f>
        <v/>
      </c>
      <c r="AA42" s="4">
        <f>'Pricing &amp; Mix'!AA31+'Pricing &amp; Mix'!AA32+'Pricing &amp; Mix'!AA33</f>
        <v/>
      </c>
      <c r="AB42" s="4">
        <f>'Pricing &amp; Mix'!AB31+'Pricing &amp; Mix'!AB32+'Pricing &amp; Mix'!AB33</f>
        <v/>
      </c>
      <c r="AC42" s="4">
        <f>'Pricing &amp; Mix'!AC31+'Pricing &amp; Mix'!AC32+'Pricing &amp; Mix'!AC33</f>
        <v/>
      </c>
      <c r="AD42" s="4">
        <f>'Pricing &amp; Mix'!AD31+'Pricing &amp; Mix'!AD32+'Pricing &amp; Mix'!AD33</f>
        <v/>
      </c>
      <c r="AE42" s="4">
        <f>'Pricing &amp; Mix'!AE31+'Pricing &amp; Mix'!AE32+'Pricing &amp; Mix'!AE33</f>
        <v/>
      </c>
      <c r="AG42" s="4">
        <f>SUMIF($C$3:$AE$3,AG$3,$C42:$AE42)</f>
        <v/>
      </c>
      <c r="AH42" s="4">
        <f>SUMIF($C$3:$AE$3,AH$3,$C42:$AE42)</f>
        <v/>
      </c>
      <c r="AI42" s="4">
        <f>SUMIF($C$3:$AE$3,AI$3,$C42:$AE42)</f>
        <v/>
      </c>
      <c r="AJ42" s="4">
        <f>SUMIF($C$3:$AE$3,AJ$3,$C42:$AE42)</f>
        <v/>
      </c>
      <c r="AK42" s="4">
        <f>SUMIF($C$3:$AE$3,AK$3,$C42:$AE42)</f>
        <v/>
      </c>
      <c r="AL42" s="4">
        <f>SUMIF($C$3:$AE$3,AL$3,$C42:$AE42)</f>
        <v/>
      </c>
    </row>
    <row r="43">
      <c r="A43" t="inlineStr">
        <is>
          <t>Cumulative units shipped</t>
        </is>
      </c>
      <c r="B43" s="2" t="inlineStr">
        <is>
          <t>units</t>
        </is>
      </c>
      <c r="C43" s="4">
        <f>SUM('Pricing &amp; Mix'!$C40:C40)</f>
        <v/>
      </c>
      <c r="D43" s="4">
        <f>SUM('Pricing &amp; Mix'!$C40:D40)</f>
        <v/>
      </c>
      <c r="E43" s="4">
        <f>SUM('Pricing &amp; Mix'!$C40:E40)</f>
        <v/>
      </c>
      <c r="F43" s="4">
        <f>SUM('Pricing &amp; Mix'!$C40:F40)</f>
        <v/>
      </c>
      <c r="G43" s="4">
        <f>SUM('Pricing &amp; Mix'!$C40:G40)</f>
        <v/>
      </c>
      <c r="H43" s="4">
        <f>SUM('Pricing &amp; Mix'!$C40:H40)</f>
        <v/>
      </c>
      <c r="I43" s="4">
        <f>SUM('Pricing &amp; Mix'!$C40:I40)</f>
        <v/>
      </c>
      <c r="J43" s="4">
        <f>SUM('Pricing &amp; Mix'!$C40:J40)</f>
        <v/>
      </c>
      <c r="K43" s="4">
        <f>SUM('Pricing &amp; Mix'!$C40:K40)</f>
        <v/>
      </c>
      <c r="L43" s="4">
        <f>SUM('Pricing &amp; Mix'!$C40:L40)</f>
        <v/>
      </c>
      <c r="M43" s="4">
        <f>SUM('Pricing &amp; Mix'!$C40:M40)</f>
        <v/>
      </c>
      <c r="N43" s="4">
        <f>SUM('Pricing &amp; Mix'!$C40:N40)</f>
        <v/>
      </c>
      <c r="O43" s="4">
        <f>SUM('Pricing &amp; Mix'!$C40:O40)</f>
        <v/>
      </c>
      <c r="P43" s="4">
        <f>SUM('Pricing &amp; Mix'!$C40:P40)</f>
        <v/>
      </c>
      <c r="Q43" s="4">
        <f>SUM('Pricing &amp; Mix'!$C40:Q40)</f>
        <v/>
      </c>
      <c r="R43" s="4">
        <f>SUM('Pricing &amp; Mix'!$C40:R40)</f>
        <v/>
      </c>
      <c r="S43" s="4">
        <f>SUM('Pricing &amp; Mix'!$C40:S40)</f>
        <v/>
      </c>
      <c r="T43" s="4">
        <f>SUM('Pricing &amp; Mix'!$C40:T40)</f>
        <v/>
      </c>
      <c r="U43" s="4">
        <f>SUM('Pricing &amp; Mix'!$C40:U40)</f>
        <v/>
      </c>
      <c r="V43" s="4">
        <f>SUM('Pricing &amp; Mix'!$C40:V40)</f>
        <v/>
      </c>
      <c r="W43" s="4">
        <f>SUM('Pricing &amp; Mix'!$C40:W40)</f>
        <v/>
      </c>
      <c r="X43" s="4">
        <f>SUM('Pricing &amp; Mix'!$C40:X40)</f>
        <v/>
      </c>
      <c r="Y43" s="4">
        <f>SUM('Pricing &amp; Mix'!$C40:Y40)</f>
        <v/>
      </c>
      <c r="Z43" s="4">
        <f>SUM('Pricing &amp; Mix'!$C40:Z40)</f>
        <v/>
      </c>
      <c r="AA43" s="4">
        <f>SUM('Pricing &amp; Mix'!$C40:AA40)</f>
        <v/>
      </c>
      <c r="AB43" s="4">
        <f>SUM('Pricing &amp; Mix'!$C40:AB40)</f>
        <v/>
      </c>
      <c r="AC43" s="4">
        <f>SUM('Pricing &amp; Mix'!$C40:AC40)</f>
        <v/>
      </c>
      <c r="AD43" s="4">
        <f>SUM('Pricing &amp; Mix'!$C40:AD40)</f>
        <v/>
      </c>
      <c r="AE43" s="4">
        <f>SUM('Pricing &amp; Mix'!$C40:AE40)</f>
        <v/>
      </c>
      <c r="AG43" s="4">
        <f>D43</f>
        <v/>
      </c>
      <c r="AH43" s="4">
        <f>P43</f>
        <v/>
      </c>
      <c r="AI43" s="4">
        <f>AB43</f>
        <v/>
      </c>
      <c r="AJ43" s="4">
        <f>AC43</f>
        <v/>
      </c>
      <c r="AK43" s="4">
        <f>AD43</f>
        <v/>
      </c>
      <c r="AL43" s="4">
        <f>AE43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80" customWidth="1" min="9" max="9"/>
  </cols>
  <sheetData>
    <row r="1">
      <c r="A1" s="6" t="inlineStr">
        <is>
          <t>Unit economics per SKU -- FY2028 basis (live). DTC = direct web/app sale; Retail = sell-in to retailer.</t>
        </is>
      </c>
    </row>
    <row r="3">
      <c r="B3" s="3" t="inlineStr">
        <is>
          <t>Pebble DTC</t>
        </is>
      </c>
      <c r="C3" s="3" t="inlineStr">
        <is>
          <t>Square DTC</t>
        </is>
      </c>
      <c r="D3" s="3" t="inlineStr">
        <is>
          <t>Atlas DTC</t>
        </is>
      </c>
      <c r="E3" s="3" t="inlineStr">
        <is>
          <t>Pebble Retail</t>
        </is>
      </c>
      <c r="F3" s="3" t="inlineStr">
        <is>
          <t>Square Retail</t>
        </is>
      </c>
      <c r="G3" s="3" t="inlineStr">
        <is>
          <t>Atlas Retail</t>
        </is>
      </c>
      <c r="I3" s="13" t="inlineStr">
        <is>
          <t>Notes</t>
        </is>
      </c>
    </row>
    <row r="4">
      <c r="A4" s="25" t="inlineStr">
        <is>
          <t>MSRP</t>
        </is>
      </c>
      <c r="B4" s="23">
        <f>msrp_peb*sc_price</f>
        <v/>
      </c>
      <c r="C4" s="23">
        <f>msrp_sq*sc_price</f>
        <v/>
      </c>
      <c r="D4" s="23">
        <f>msrp_atl*sc_price</f>
        <v/>
      </c>
      <c r="E4" s="23">
        <f>msrp_peb*sc_price</f>
        <v/>
      </c>
      <c r="F4" s="23">
        <f>msrp_sq*sc_price</f>
        <v/>
      </c>
      <c r="G4" s="23">
        <f>msrp_atl*sc_price</f>
        <v/>
      </c>
    </row>
    <row r="5">
      <c r="A5" s="25" t="inlineStr">
        <is>
          <t>Discount / retailer margin</t>
        </is>
      </c>
      <c r="B5" s="23">
        <f>-B4*dtc_disc</f>
        <v/>
      </c>
      <c r="C5" s="23">
        <f>-C4*dtc_disc</f>
        <v/>
      </c>
      <c r="D5" s="23">
        <f>-D4*dtc_disc</f>
        <v/>
      </c>
      <c r="E5" s="23">
        <f>-E4*retail_margin</f>
        <v/>
      </c>
      <c r="F5" s="23">
        <f>-F4*retail_margin</f>
        <v/>
      </c>
      <c r="G5" s="23">
        <f>-G4*retail_margin</f>
        <v/>
      </c>
      <c r="I5" s="2" t="inlineStr">
        <is>
          <t>DTC promo vs retailer margin.</t>
        </is>
      </c>
    </row>
    <row r="6">
      <c r="A6" s="25" t="inlineStr">
        <is>
          <t>Returns allowance</t>
        </is>
      </c>
      <c r="B6" s="23">
        <f>-(B4+B5)*returns_pct</f>
        <v/>
      </c>
      <c r="C6" s="23">
        <f>-(C4+C5)*returns_pct</f>
        <v/>
      </c>
      <c r="D6" s="23">
        <f>-(D4+D5)*returns_pct</f>
        <v/>
      </c>
      <c r="E6" s="23">
        <f>-(E4+E5)*returns_pct</f>
        <v/>
      </c>
      <c r="F6" s="23">
        <f>-(F4+F5)*returns_pct</f>
        <v/>
      </c>
      <c r="G6" s="23">
        <f>-(G4+G5)*returns_pct</f>
        <v/>
      </c>
    </row>
    <row r="7">
      <c r="A7" s="13" t="inlineStr">
        <is>
          <t>Net revenue per unit</t>
        </is>
      </c>
      <c r="B7" s="26">
        <f>B4+B5+B6</f>
        <v/>
      </c>
      <c r="C7" s="26">
        <f>C4+C5+C6</f>
        <v/>
      </c>
      <c r="D7" s="26">
        <f>D4+D5+D6</f>
        <v/>
      </c>
      <c r="E7" s="26">
        <f>E4+E5+E6</f>
        <v/>
      </c>
      <c r="F7" s="26">
        <f>F4+F5+F6</f>
        <v/>
      </c>
      <c r="G7" s="26">
        <f>G4+G5+G6</f>
        <v/>
      </c>
    </row>
    <row r="8">
      <c r="A8" s="25" t="inlineStr">
        <is>
          <t>Landed COGS (BOM + assembly + pack + freight/duty)</t>
        </is>
      </c>
      <c r="B8" s="23">
        <f>-(bom_peb+asm_peb+pkg_peb)*(1+freight_duty)*sc_cogs</f>
        <v/>
      </c>
      <c r="C8" s="23">
        <f>-(bom_sq+asm_sq+pkg_sq)*(1+freight_duty)*sc_cogs</f>
        <v/>
      </c>
      <c r="D8" s="23">
        <f>-(bom_atl+asm_atl+pkg_atl)*(1+freight_duty)*sc_cogs</f>
        <v/>
      </c>
      <c r="E8" s="23">
        <f>-(bom_peb+asm_peb+pkg_peb)*(1+freight_duty)*sc_cogs</f>
        <v/>
      </c>
      <c r="F8" s="23">
        <f>-(bom_sq+asm_sq+pkg_sq)*(1+freight_duty)*sc_cogs</f>
        <v/>
      </c>
      <c r="G8" s="23">
        <f>-(bom_atl+asm_atl+pkg_atl)*(1+freight_duty)*sc_cogs</f>
        <v/>
      </c>
      <c r="I8" s="2" t="inlineStr">
        <is>
          <t>2027-28 cost basis (index 1.00).</t>
        </is>
      </c>
    </row>
    <row r="9">
      <c r="A9" s="25" t="inlineStr">
        <is>
          <t>Fulfilment / distribution</t>
        </is>
      </c>
      <c r="B9" s="23">
        <f>-dtc_ship</f>
        <v/>
      </c>
      <c r="C9" s="23">
        <f>-dtc_ship</f>
        <v/>
      </c>
      <c r="D9" s="23">
        <f>-dtc_ship</f>
        <v/>
      </c>
      <c r="E9" s="23">
        <f>-retail_dist</f>
        <v/>
      </c>
      <c r="F9" s="23">
        <f>-retail_dist</f>
        <v/>
      </c>
      <c r="G9" s="23">
        <f>-retail_dist</f>
        <v/>
      </c>
    </row>
    <row r="10">
      <c r="A10" s="25" t="inlineStr">
        <is>
          <t>Payment processing</t>
        </is>
      </c>
      <c r="B10" s="23">
        <f>-((B4+B5)*pay_pct+pay_fixed)</f>
        <v/>
      </c>
      <c r="C10" s="23">
        <f>-((C4+C5)*pay_pct+pay_fixed)</f>
        <v/>
      </c>
      <c r="D10" s="23">
        <f>-((D4+D5)*pay_pct+pay_fixed)</f>
        <v/>
      </c>
      <c r="E10" s="23">
        <f>0</f>
        <v/>
      </c>
      <c r="F10" s="23">
        <f>0</f>
        <v/>
      </c>
      <c r="G10" s="23">
        <f>0</f>
        <v/>
      </c>
    </row>
    <row r="11">
      <c r="A11" s="25" t="inlineStr">
        <is>
          <t>Warranty reserve</t>
        </is>
      </c>
      <c r="B11" s="23">
        <f>-(B4+B5)*warranty_pct</f>
        <v/>
      </c>
      <c r="C11" s="23">
        <f>-(C4+C5)*warranty_pct</f>
        <v/>
      </c>
      <c r="D11" s="23">
        <f>-(D4+D5)*warranty_pct</f>
        <v/>
      </c>
      <c r="E11" s="23">
        <f>-(E4+E5)*warranty_pct</f>
        <v/>
      </c>
      <c r="F11" s="23">
        <f>-(F4+F5)*warranty_pct</f>
        <v/>
      </c>
      <c r="G11" s="23">
        <f>-(G4+G5)*warranty_pct</f>
        <v/>
      </c>
    </row>
    <row r="12">
      <c r="A12" s="13" t="inlineStr">
        <is>
          <t>Hardware gross profit per unit</t>
        </is>
      </c>
      <c r="B12" s="26">
        <f>B7+B8+B9+B10+B11</f>
        <v/>
      </c>
      <c r="C12" s="26">
        <f>C7+C8+C9+C10+C11</f>
        <v/>
      </c>
      <c r="D12" s="26">
        <f>D7+D8+D9+D10+D11</f>
        <v/>
      </c>
      <c r="E12" s="26">
        <f>E7+E8+E9+E10+E11</f>
        <v/>
      </c>
      <c r="F12" s="26">
        <f>F7+F8+F9+F10+F11</f>
        <v/>
      </c>
      <c r="G12" s="26">
        <f>G7+G8+G9+G10+G11</f>
        <v/>
      </c>
    </row>
    <row r="13">
      <c r="A13" s="25" t="inlineStr">
        <is>
          <t>Hardware gross margin %</t>
        </is>
      </c>
      <c r="B13" s="5">
        <f>IF(B7&gt;0,B12/B7,0)</f>
        <v/>
      </c>
      <c r="C13" s="5">
        <f>IF(C7&gt;0,C12/C7,0)</f>
        <v/>
      </c>
      <c r="D13" s="5">
        <f>IF(D7&gt;0,D12/D7,0)</f>
        <v/>
      </c>
      <c r="E13" s="5">
        <f>IF(E7&gt;0,E12/E7,0)</f>
        <v/>
      </c>
      <c r="F13" s="5">
        <f>IF(F7&gt;0,F12/F7,0)</f>
        <v/>
      </c>
      <c r="G13" s="5">
        <f>IF(G7&gt;0,G12/G7,0)</f>
        <v/>
      </c>
    </row>
    <row r="14">
      <c r="A14" s="25" t="inlineStr">
        <is>
          <t>Acquisition cost (paid CAC DTC; co-op for retail)</t>
        </is>
      </c>
      <c r="B14" s="23">
        <f>-'Assumptions'!V109*sc_cac</f>
        <v/>
      </c>
      <c r="C14" s="23">
        <f>-'Assumptions'!V109*sc_cac</f>
        <v/>
      </c>
      <c r="D14" s="23">
        <f>-'Assumptions'!V109*sc_cac</f>
        <v/>
      </c>
      <c r="E14" s="23">
        <f>-(E4+E5)*retail_coop</f>
        <v/>
      </c>
      <c r="F14" s="23">
        <f>-(F4+F5)*retail_coop</f>
        <v/>
      </c>
      <c r="G14" s="23">
        <f>-(G4+G5)*retail_coop</f>
        <v/>
      </c>
      <c r="I14" s="2" t="inlineStr">
        <is>
          <t>FY2028 CAC.</t>
        </is>
      </c>
    </row>
    <row r="15">
      <c r="A15" s="13" t="inlineStr">
        <is>
          <t>Hardware contribution after acquisition</t>
        </is>
      </c>
      <c r="B15" s="26">
        <f>B12+B14</f>
        <v/>
      </c>
      <c r="C15" s="26">
        <f>C12+C14</f>
        <v/>
      </c>
      <c r="D15" s="26">
        <f>D12+D14</f>
        <v/>
      </c>
      <c r="E15" s="26">
        <f>E12+E14</f>
        <v/>
      </c>
      <c r="F15" s="26">
        <f>F12+F14</f>
        <v/>
      </c>
      <c r="G15" s="26">
        <f>G12+G14</f>
        <v/>
      </c>
    </row>
    <row r="16">
      <c r="A16" s="25" t="inlineStr">
        <is>
          <t>Accessories gross profit per device</t>
        </is>
      </c>
      <c r="B16" s="23">
        <f>acc_attach*acc_aov*sc_price*(1-acc_cogs_pct)</f>
        <v/>
      </c>
      <c r="C16" s="23">
        <f>acc_attach*acc_aov*sc_price*(1-acc_cogs_pct)</f>
        <v/>
      </c>
      <c r="D16" s="23">
        <f>acc_attach*acc_aov*sc_price*(1-acc_cogs_pct)</f>
        <v/>
      </c>
      <c r="E16" s="23">
        <f>acc_attach*acc_aov*sc_price*(1-acc_cogs_pct)</f>
        <v/>
      </c>
      <c r="F16" s="23">
        <f>acc_attach*acc_aov*sc_price*(1-acc_cogs_pct)</f>
        <v/>
      </c>
      <c r="G16" s="23">
        <f>acc_attach*acc_aov*sc_price*(1-acc_cogs_pct)</f>
        <v/>
      </c>
    </row>
    <row r="17">
      <c r="A17" s="25" t="inlineStr">
        <is>
          <t>Free 3-month trial cost (cloud)</t>
        </is>
      </c>
      <c r="B17" s="23">
        <f>-trial_months*'Cloud &amp; AI COGS'!V10</f>
        <v/>
      </c>
      <c r="C17" s="23">
        <f>-trial_months*'Cloud &amp; AI COGS'!V10</f>
        <v/>
      </c>
      <c r="D17" s="23">
        <f>-trial_months*'Cloud &amp; AI COGS'!V10</f>
        <v/>
      </c>
      <c r="E17" s="23">
        <f>-trial_months*'Cloud &amp; AI COGS'!V10</f>
        <v/>
      </c>
      <c r="F17" s="23">
        <f>-trial_months*'Cloud &amp; AI COGS'!V10</f>
        <v/>
      </c>
      <c r="G17" s="23">
        <f>-trial_months*'Cloud &amp; AI COGS'!V10</f>
        <v/>
      </c>
      <c r="I17" s="2" t="inlineStr">
        <is>
          <t>Every device gets 3 months of Explorer.</t>
        </is>
      </c>
    </row>
    <row r="18">
      <c r="A18" s="25" t="inlineStr">
        <is>
          <t>Paid attach after trial</t>
        </is>
      </c>
      <c r="B18" s="5">
        <f>MIN(1,attach_peb*sc_attach)</f>
        <v/>
      </c>
      <c r="C18" s="5">
        <f>MIN(1,attach_sq*sc_attach)</f>
        <v/>
      </c>
      <c r="D18" s="5">
        <f>MIN(1,attach_atl*sc_attach)</f>
        <v/>
      </c>
      <c r="E18" s="5">
        <f>MIN(1,attach_peb*sc_attach)</f>
        <v/>
      </c>
      <c r="F18" s="5">
        <f>MIN(1,attach_sq*sc_attach)</f>
        <v/>
      </c>
      <c r="G18" s="5">
        <f>MIN(1,attach_atl*sc_attach)</f>
        <v/>
      </c>
    </row>
    <row r="19">
      <c r="A19" s="25" t="inlineStr">
        <is>
          <t>Subscription gross profit per paid month</t>
        </is>
      </c>
      <c r="B19" s="23">
        <f>sub_price*arpu_real*sc_price*(1-sub_pay_fee)-'Cloud &amp; AI COGS'!V10</f>
        <v/>
      </c>
      <c r="C19" s="23">
        <f>sub_price*arpu_real*sc_price*(1-sub_pay_fee)-'Cloud &amp; AI COGS'!V10</f>
        <v/>
      </c>
      <c r="D19" s="23">
        <f>sub_price*arpu_real*sc_price*(1-sub_pay_fee)-'Cloud &amp; AI COGS'!V10</f>
        <v/>
      </c>
      <c r="E19" s="23">
        <f>sub_price*arpu_real*sc_price*(1-sub_pay_fee)-'Cloud &amp; AI COGS'!V10</f>
        <v/>
      </c>
      <c r="F19" s="23">
        <f>sub_price*arpu_real*sc_price*(1-sub_pay_fee)-'Cloud &amp; AI COGS'!V10</f>
        <v/>
      </c>
      <c r="G19" s="23">
        <f>sub_price*arpu_real*sc_price*(1-sub_pay_fee)-'Cloud &amp; AI COGS'!V10</f>
        <v/>
      </c>
    </row>
    <row r="20">
      <c r="A20" s="25" t="inlineStr">
        <is>
          <t>Expected paid lifetime (months) = 1/churn</t>
        </is>
      </c>
      <c r="B20" s="27">
        <f>1/MIN(0.5,churn*sc_churn)</f>
        <v/>
      </c>
      <c r="C20" s="27">
        <f>1/MIN(0.5,churn*sc_churn)</f>
        <v/>
      </c>
      <c r="D20" s="27">
        <f>1/MIN(0.5,churn*sc_churn)</f>
        <v/>
      </c>
      <c r="E20" s="27">
        <f>1/MIN(0.5,churn*sc_churn)</f>
        <v/>
      </c>
      <c r="F20" s="27">
        <f>1/MIN(0.5,churn*sc_churn)</f>
        <v/>
      </c>
      <c r="G20" s="27">
        <f>1/MIN(0.5,churn*sc_churn)</f>
        <v/>
      </c>
    </row>
    <row r="21">
      <c r="A21" s="25" t="inlineStr">
        <is>
          <t>Subscription LTV (gross profit, undiscounted)</t>
        </is>
      </c>
      <c r="B21" s="23">
        <f>B18*B19*B20</f>
        <v/>
      </c>
      <c r="C21" s="23">
        <f>C18*C19*C20</f>
        <v/>
      </c>
      <c r="D21" s="23">
        <f>D18*D19*D20</f>
        <v/>
      </c>
      <c r="E21" s="23">
        <f>E18*E19*E20</f>
        <v/>
      </c>
      <c r="F21" s="23">
        <f>F18*F19*F20</f>
        <v/>
      </c>
      <c r="G21" s="23">
        <f>G18*G19*G20</f>
        <v/>
      </c>
    </row>
    <row r="22">
      <c r="A22" s="25" t="inlineStr">
        <is>
          <t>Affiliate gross profit over device life</t>
        </is>
      </c>
      <c r="B22" s="23">
        <f>'Assumptions'!V108/device_inactive</f>
        <v/>
      </c>
      <c r="C22" s="23">
        <f>'Assumptions'!V108/device_inactive</f>
        <v/>
      </c>
      <c r="D22" s="23">
        <f>'Assumptions'!V108/device_inactive</f>
        <v/>
      </c>
      <c r="E22" s="23">
        <f>'Assumptions'!V108/device_inactive</f>
        <v/>
      </c>
      <c r="F22" s="23">
        <f>'Assumptions'!V108/device_inactive</f>
        <v/>
      </c>
      <c r="G22" s="23">
        <f>'Assumptions'!V108/device_inactive</f>
        <v/>
      </c>
      <c r="I22" s="2" t="inlineStr">
        <is>
          <t>Rate x expected active life (1/inactivity).</t>
        </is>
      </c>
    </row>
    <row r="23">
      <c r="A23" s="13" t="inlineStr">
        <is>
          <t>TOTAL LIFETIME CONTRIBUTION PER DEVICE</t>
        </is>
      </c>
      <c r="B23" s="26">
        <f>B15+B16+B17+B21+B22</f>
        <v/>
      </c>
      <c r="C23" s="26">
        <f>C15+C16+C17+C21+C22</f>
        <v/>
      </c>
      <c r="D23" s="26">
        <f>D15+D16+D17+D21+D22</f>
        <v/>
      </c>
      <c r="E23" s="26">
        <f>E15+E16+E17+E21+E22</f>
        <v/>
      </c>
      <c r="F23" s="26">
        <f>F15+F16+F17+F21+F22</f>
        <v/>
      </c>
      <c r="G23" s="26">
        <f>G15+G16+G17+G21+G22</f>
        <v/>
      </c>
    </row>
    <row r="24">
      <c r="A24" s="25" t="inlineStr">
        <is>
          <t>Lifetime contribution / acquisition cost (LTV:CAC)</t>
        </is>
      </c>
      <c r="B24" s="28">
        <f>IF(B14&lt;0,(B23-B14)/-B14,0)</f>
        <v/>
      </c>
      <c r="C24" s="28">
        <f>IF(C14&lt;0,(C23-C14)/-C14,0)</f>
        <v/>
      </c>
      <c r="D24" s="28">
        <f>IF(D14&lt;0,(D23-D14)/-D14,0)</f>
        <v/>
      </c>
      <c r="E24" s="28">
        <f>IF(E14&lt;0,(E23-E14)/-E14,0)</f>
        <v/>
      </c>
      <c r="F24" s="28">
        <f>IF(F14&lt;0,(F23-F14)/-F14,0)</f>
        <v/>
      </c>
      <c r="G24" s="28">
        <f>IF(G14&lt;0,(G23-G14)/-G14,0)</f>
        <v/>
      </c>
      <c r="I24" s="2" t="inlineStr">
        <is>
          <t>Contribution before CAC divided by CAC.</t>
        </is>
      </c>
    </row>
    <row r="25">
      <c r="A25" s="25" t="inlineStr">
        <is>
          <t>Payback on CAC (months after purchase)</t>
        </is>
      </c>
      <c r="B25" s="27">
        <f>IF(B12+B16&gt;=-B14,0,(-B14-B12-B16)/MAX(0.01,B18*B19))</f>
        <v/>
      </c>
      <c r="C25" s="27">
        <f>IF(C12+C16&gt;=-C14,0,(-C14-C12-C16)/MAX(0.01,C18*C19))</f>
        <v/>
      </c>
      <c r="D25" s="27">
        <f>IF(D12+D16&gt;=-D14,0,(-D14-D12-D16)/MAX(0.01,D18*D19))</f>
        <v/>
      </c>
      <c r="E25" s="27">
        <f>IF(E12+E16&gt;=-E14,0,(-E14-E12-E16)/MAX(0.01,E18*E19))</f>
        <v/>
      </c>
      <c r="F25" s="27">
        <f>IF(F12+F16&gt;=-F14,0,(-F14-F12-F16)/MAX(0.01,F18*F19))</f>
        <v/>
      </c>
      <c r="G25" s="27">
        <f>IF(G12+G16&gt;=-G14,0,(-G14-G12-G16)/MAX(0.01,G18*G19))</f>
        <v/>
      </c>
      <c r="I25" s="2" t="inlineStr">
        <is>
          <t>0 = paid back at sale by hardware margin.</t>
        </is>
      </c>
    </row>
    <row r="29">
      <c r="A29" s="6" t="inlineStr">
        <is>
          <t>Sensitivity: DTC hardware gross margin % by price (rows) and landed-COGS change (cols)</t>
        </is>
      </c>
    </row>
    <row r="30">
      <c r="A30" s="13" t="inlineStr">
        <is>
          <t>Pebble: price \ COGS delta</t>
        </is>
      </c>
      <c r="B30" s="29" t="n">
        <v>-0.15</v>
      </c>
      <c r="C30" s="29" t="n">
        <v>-0.1</v>
      </c>
      <c r="D30" s="29" t="n">
        <v>-0.05</v>
      </c>
      <c r="E30" s="29" t="n">
        <v>0</v>
      </c>
      <c r="F30" s="29" t="n">
        <v>0.05</v>
      </c>
      <c r="G30" s="29" t="n">
        <v>0.1</v>
      </c>
      <c r="H30" s="29" t="n">
        <v>0.2</v>
      </c>
    </row>
    <row r="31">
      <c r="A31" s="30" t="n">
        <v>119</v>
      </c>
      <c r="B31" s="31">
        <f>1-((bom_peb+asm_peb+pkg_peb)*(1+freight_duty)*(1+B$30)+dtc_ship+$A31*(1-dtc_disc)*(pay_pct+warranty_pct)+pay_fixed)/($A31*(1-dtc_disc)*(1-returns_pct))</f>
        <v/>
      </c>
      <c r="C31" s="31">
        <f>1-((bom_peb+asm_peb+pkg_peb)*(1+freight_duty)*(1+C$30)+dtc_ship+$A31*(1-dtc_disc)*(pay_pct+warranty_pct)+pay_fixed)/($A31*(1-dtc_disc)*(1-returns_pct))</f>
        <v/>
      </c>
      <c r="D31" s="31">
        <f>1-((bom_peb+asm_peb+pkg_peb)*(1+freight_duty)*(1+D$30)+dtc_ship+$A31*(1-dtc_disc)*(pay_pct+warranty_pct)+pay_fixed)/($A31*(1-dtc_disc)*(1-returns_pct))</f>
        <v/>
      </c>
      <c r="E31" s="31">
        <f>1-((bom_peb+asm_peb+pkg_peb)*(1+freight_duty)*(1+E$30)+dtc_ship+$A31*(1-dtc_disc)*(pay_pct+warranty_pct)+pay_fixed)/($A31*(1-dtc_disc)*(1-returns_pct))</f>
        <v/>
      </c>
      <c r="F31" s="31">
        <f>1-((bom_peb+asm_peb+pkg_peb)*(1+freight_duty)*(1+F$30)+dtc_ship+$A31*(1-dtc_disc)*(pay_pct+warranty_pct)+pay_fixed)/($A31*(1-dtc_disc)*(1-returns_pct))</f>
        <v/>
      </c>
      <c r="G31" s="31">
        <f>1-((bom_peb+asm_peb+pkg_peb)*(1+freight_duty)*(1+G$30)+dtc_ship+$A31*(1-dtc_disc)*(pay_pct+warranty_pct)+pay_fixed)/($A31*(1-dtc_disc)*(1-returns_pct))</f>
        <v/>
      </c>
      <c r="H31" s="31">
        <f>1-((bom_peb+asm_peb+pkg_peb)*(1+freight_duty)*(1+H$30)+dtc_ship+$A31*(1-dtc_disc)*(pay_pct+warranty_pct)+pay_fixed)/($A31*(1-dtc_disc)*(1-returns_pct))</f>
        <v/>
      </c>
    </row>
    <row r="32">
      <c r="A32" s="30" t="n">
        <v>129</v>
      </c>
      <c r="B32" s="31">
        <f>1-((bom_peb+asm_peb+pkg_peb)*(1+freight_duty)*(1+B$30)+dtc_ship+$A32*(1-dtc_disc)*(pay_pct+warranty_pct)+pay_fixed)/($A32*(1-dtc_disc)*(1-returns_pct))</f>
        <v/>
      </c>
      <c r="C32" s="31">
        <f>1-((bom_peb+asm_peb+pkg_peb)*(1+freight_duty)*(1+C$30)+dtc_ship+$A32*(1-dtc_disc)*(pay_pct+warranty_pct)+pay_fixed)/($A32*(1-dtc_disc)*(1-returns_pct))</f>
        <v/>
      </c>
      <c r="D32" s="31">
        <f>1-((bom_peb+asm_peb+pkg_peb)*(1+freight_duty)*(1+D$30)+dtc_ship+$A32*(1-dtc_disc)*(pay_pct+warranty_pct)+pay_fixed)/($A32*(1-dtc_disc)*(1-returns_pct))</f>
        <v/>
      </c>
      <c r="E32" s="31">
        <f>1-((bom_peb+asm_peb+pkg_peb)*(1+freight_duty)*(1+E$30)+dtc_ship+$A32*(1-dtc_disc)*(pay_pct+warranty_pct)+pay_fixed)/($A32*(1-dtc_disc)*(1-returns_pct))</f>
        <v/>
      </c>
      <c r="F32" s="31">
        <f>1-((bom_peb+asm_peb+pkg_peb)*(1+freight_duty)*(1+F$30)+dtc_ship+$A32*(1-dtc_disc)*(pay_pct+warranty_pct)+pay_fixed)/($A32*(1-dtc_disc)*(1-returns_pct))</f>
        <v/>
      </c>
      <c r="G32" s="31">
        <f>1-((bom_peb+asm_peb+pkg_peb)*(1+freight_duty)*(1+G$30)+dtc_ship+$A32*(1-dtc_disc)*(pay_pct+warranty_pct)+pay_fixed)/($A32*(1-dtc_disc)*(1-returns_pct))</f>
        <v/>
      </c>
      <c r="H32" s="31">
        <f>1-((bom_peb+asm_peb+pkg_peb)*(1+freight_duty)*(1+H$30)+dtc_ship+$A32*(1-dtc_disc)*(pay_pct+warranty_pct)+pay_fixed)/($A32*(1-dtc_disc)*(1-returns_pct))</f>
        <v/>
      </c>
    </row>
    <row r="33">
      <c r="A33" s="30" t="n">
        <v>139</v>
      </c>
      <c r="B33" s="31">
        <f>1-((bom_peb+asm_peb+pkg_peb)*(1+freight_duty)*(1+B$30)+dtc_ship+$A33*(1-dtc_disc)*(pay_pct+warranty_pct)+pay_fixed)/($A33*(1-dtc_disc)*(1-returns_pct))</f>
        <v/>
      </c>
      <c r="C33" s="31">
        <f>1-((bom_peb+asm_peb+pkg_peb)*(1+freight_duty)*(1+C$30)+dtc_ship+$A33*(1-dtc_disc)*(pay_pct+warranty_pct)+pay_fixed)/($A33*(1-dtc_disc)*(1-returns_pct))</f>
        <v/>
      </c>
      <c r="D33" s="31">
        <f>1-((bom_peb+asm_peb+pkg_peb)*(1+freight_duty)*(1+D$30)+dtc_ship+$A33*(1-dtc_disc)*(pay_pct+warranty_pct)+pay_fixed)/($A33*(1-dtc_disc)*(1-returns_pct))</f>
        <v/>
      </c>
      <c r="E33" s="31">
        <f>1-((bom_peb+asm_peb+pkg_peb)*(1+freight_duty)*(1+E$30)+dtc_ship+$A33*(1-dtc_disc)*(pay_pct+warranty_pct)+pay_fixed)/($A33*(1-dtc_disc)*(1-returns_pct))</f>
        <v/>
      </c>
      <c r="F33" s="31">
        <f>1-((bom_peb+asm_peb+pkg_peb)*(1+freight_duty)*(1+F$30)+dtc_ship+$A33*(1-dtc_disc)*(pay_pct+warranty_pct)+pay_fixed)/($A33*(1-dtc_disc)*(1-returns_pct))</f>
        <v/>
      </c>
      <c r="G33" s="31">
        <f>1-((bom_peb+asm_peb+pkg_peb)*(1+freight_duty)*(1+G$30)+dtc_ship+$A33*(1-dtc_disc)*(pay_pct+warranty_pct)+pay_fixed)/($A33*(1-dtc_disc)*(1-returns_pct))</f>
        <v/>
      </c>
      <c r="H33" s="31">
        <f>1-((bom_peb+asm_peb+pkg_peb)*(1+freight_duty)*(1+H$30)+dtc_ship+$A33*(1-dtc_disc)*(pay_pct+warranty_pct)+pay_fixed)/($A33*(1-dtc_disc)*(1-returns_pct))</f>
        <v/>
      </c>
    </row>
    <row r="34">
      <c r="A34" s="30" t="n">
        <v>149</v>
      </c>
      <c r="B34" s="31">
        <f>1-((bom_peb+asm_peb+pkg_peb)*(1+freight_duty)*(1+B$30)+dtc_ship+$A34*(1-dtc_disc)*(pay_pct+warranty_pct)+pay_fixed)/($A34*(1-dtc_disc)*(1-returns_pct))</f>
        <v/>
      </c>
      <c r="C34" s="31">
        <f>1-((bom_peb+asm_peb+pkg_peb)*(1+freight_duty)*(1+C$30)+dtc_ship+$A34*(1-dtc_disc)*(pay_pct+warranty_pct)+pay_fixed)/($A34*(1-dtc_disc)*(1-returns_pct))</f>
        <v/>
      </c>
      <c r="D34" s="31">
        <f>1-((bom_peb+asm_peb+pkg_peb)*(1+freight_duty)*(1+D$30)+dtc_ship+$A34*(1-dtc_disc)*(pay_pct+warranty_pct)+pay_fixed)/($A34*(1-dtc_disc)*(1-returns_pct))</f>
        <v/>
      </c>
      <c r="E34" s="31">
        <f>1-((bom_peb+asm_peb+pkg_peb)*(1+freight_duty)*(1+E$30)+dtc_ship+$A34*(1-dtc_disc)*(pay_pct+warranty_pct)+pay_fixed)/($A34*(1-dtc_disc)*(1-returns_pct))</f>
        <v/>
      </c>
      <c r="F34" s="31">
        <f>1-((bom_peb+asm_peb+pkg_peb)*(1+freight_duty)*(1+F$30)+dtc_ship+$A34*(1-dtc_disc)*(pay_pct+warranty_pct)+pay_fixed)/($A34*(1-dtc_disc)*(1-returns_pct))</f>
        <v/>
      </c>
      <c r="G34" s="31">
        <f>1-((bom_peb+asm_peb+pkg_peb)*(1+freight_duty)*(1+G$30)+dtc_ship+$A34*(1-dtc_disc)*(pay_pct+warranty_pct)+pay_fixed)/($A34*(1-dtc_disc)*(1-returns_pct))</f>
        <v/>
      </c>
      <c r="H34" s="31">
        <f>1-((bom_peb+asm_peb+pkg_peb)*(1+freight_duty)*(1+H$30)+dtc_ship+$A34*(1-dtc_disc)*(pay_pct+warranty_pct)+pay_fixed)/($A34*(1-dtc_disc)*(1-returns_pct))</f>
        <v/>
      </c>
    </row>
    <row r="35">
      <c r="A35" s="30" t="n">
        <v>169</v>
      </c>
      <c r="B35" s="31">
        <f>1-((bom_peb+asm_peb+pkg_peb)*(1+freight_duty)*(1+B$30)+dtc_ship+$A35*(1-dtc_disc)*(pay_pct+warranty_pct)+pay_fixed)/($A35*(1-dtc_disc)*(1-returns_pct))</f>
        <v/>
      </c>
      <c r="C35" s="31">
        <f>1-((bom_peb+asm_peb+pkg_peb)*(1+freight_duty)*(1+C$30)+dtc_ship+$A35*(1-dtc_disc)*(pay_pct+warranty_pct)+pay_fixed)/($A35*(1-dtc_disc)*(1-returns_pct))</f>
        <v/>
      </c>
      <c r="D35" s="31">
        <f>1-((bom_peb+asm_peb+pkg_peb)*(1+freight_duty)*(1+D$30)+dtc_ship+$A35*(1-dtc_disc)*(pay_pct+warranty_pct)+pay_fixed)/($A35*(1-dtc_disc)*(1-returns_pct))</f>
        <v/>
      </c>
      <c r="E35" s="31">
        <f>1-((bom_peb+asm_peb+pkg_peb)*(1+freight_duty)*(1+E$30)+dtc_ship+$A35*(1-dtc_disc)*(pay_pct+warranty_pct)+pay_fixed)/($A35*(1-dtc_disc)*(1-returns_pct))</f>
        <v/>
      </c>
      <c r="F35" s="31">
        <f>1-((bom_peb+asm_peb+pkg_peb)*(1+freight_duty)*(1+F$30)+dtc_ship+$A35*(1-dtc_disc)*(pay_pct+warranty_pct)+pay_fixed)/($A35*(1-dtc_disc)*(1-returns_pct))</f>
        <v/>
      </c>
      <c r="G35" s="31">
        <f>1-((bom_peb+asm_peb+pkg_peb)*(1+freight_duty)*(1+G$30)+dtc_ship+$A35*(1-dtc_disc)*(pay_pct+warranty_pct)+pay_fixed)/($A35*(1-dtc_disc)*(1-returns_pct))</f>
        <v/>
      </c>
      <c r="H35" s="31">
        <f>1-((bom_peb+asm_peb+pkg_peb)*(1+freight_duty)*(1+H$30)+dtc_ship+$A35*(1-dtc_disc)*(pay_pct+warranty_pct)+pay_fixed)/($A35*(1-dtc_disc)*(1-returns_pct))</f>
        <v/>
      </c>
    </row>
    <row r="36">
      <c r="A36" s="30" t="n">
        <v>179</v>
      </c>
      <c r="B36" s="31">
        <f>1-((bom_peb+asm_peb+pkg_peb)*(1+freight_duty)*(1+B$30)+dtc_ship+$A36*(1-dtc_disc)*(pay_pct+warranty_pct)+pay_fixed)/($A36*(1-dtc_disc)*(1-returns_pct))</f>
        <v/>
      </c>
      <c r="C36" s="31">
        <f>1-((bom_peb+asm_peb+pkg_peb)*(1+freight_duty)*(1+C$30)+dtc_ship+$A36*(1-dtc_disc)*(pay_pct+warranty_pct)+pay_fixed)/($A36*(1-dtc_disc)*(1-returns_pct))</f>
        <v/>
      </c>
      <c r="D36" s="31">
        <f>1-((bom_peb+asm_peb+pkg_peb)*(1+freight_duty)*(1+D$30)+dtc_ship+$A36*(1-dtc_disc)*(pay_pct+warranty_pct)+pay_fixed)/($A36*(1-dtc_disc)*(1-returns_pct))</f>
        <v/>
      </c>
      <c r="E36" s="31">
        <f>1-((bom_peb+asm_peb+pkg_peb)*(1+freight_duty)*(1+E$30)+dtc_ship+$A36*(1-dtc_disc)*(pay_pct+warranty_pct)+pay_fixed)/($A36*(1-dtc_disc)*(1-returns_pct))</f>
        <v/>
      </c>
      <c r="F36" s="31">
        <f>1-((bom_peb+asm_peb+pkg_peb)*(1+freight_duty)*(1+F$30)+dtc_ship+$A36*(1-dtc_disc)*(pay_pct+warranty_pct)+pay_fixed)/($A36*(1-dtc_disc)*(1-returns_pct))</f>
        <v/>
      </c>
      <c r="G36" s="31">
        <f>1-((bom_peb+asm_peb+pkg_peb)*(1+freight_duty)*(1+G$30)+dtc_ship+$A36*(1-dtc_disc)*(pay_pct+warranty_pct)+pay_fixed)/($A36*(1-dtc_disc)*(1-returns_pct))</f>
        <v/>
      </c>
      <c r="H36" s="31">
        <f>1-((bom_peb+asm_peb+pkg_peb)*(1+freight_duty)*(1+H$30)+dtc_ship+$A36*(1-dtc_disc)*(pay_pct+warranty_pct)+pay_fixed)/($A36*(1-dtc_disc)*(1-returns_pct))</f>
        <v/>
      </c>
    </row>
    <row r="38">
      <c r="A38" s="13" t="inlineStr">
        <is>
          <t>Square: price \ COGS delta</t>
        </is>
      </c>
      <c r="B38" s="29" t="n">
        <v>-0.15</v>
      </c>
      <c r="C38" s="29" t="n">
        <v>-0.1</v>
      </c>
      <c r="D38" s="29" t="n">
        <v>-0.05</v>
      </c>
      <c r="E38" s="29" t="n">
        <v>0</v>
      </c>
      <c r="F38" s="29" t="n">
        <v>0.05</v>
      </c>
      <c r="G38" s="29" t="n">
        <v>0.1</v>
      </c>
      <c r="H38" s="29" t="n">
        <v>0.2</v>
      </c>
    </row>
    <row r="39">
      <c r="A39" s="30" t="n">
        <v>249</v>
      </c>
      <c r="B39" s="31">
        <f>1-((bom_sq+asm_sq+pkg_sq)*(1+freight_duty)*(1+B$38)+dtc_ship+$A39*(1-dtc_disc)*(pay_pct+warranty_pct)+pay_fixed)/($A39*(1-dtc_disc)*(1-returns_pct))</f>
        <v/>
      </c>
      <c r="C39" s="31">
        <f>1-((bom_sq+asm_sq+pkg_sq)*(1+freight_duty)*(1+C$38)+dtc_ship+$A39*(1-dtc_disc)*(pay_pct+warranty_pct)+pay_fixed)/($A39*(1-dtc_disc)*(1-returns_pct))</f>
        <v/>
      </c>
      <c r="D39" s="31">
        <f>1-((bom_sq+asm_sq+pkg_sq)*(1+freight_duty)*(1+D$38)+dtc_ship+$A39*(1-dtc_disc)*(pay_pct+warranty_pct)+pay_fixed)/($A39*(1-dtc_disc)*(1-returns_pct))</f>
        <v/>
      </c>
      <c r="E39" s="31">
        <f>1-((bom_sq+asm_sq+pkg_sq)*(1+freight_duty)*(1+E$38)+dtc_ship+$A39*(1-dtc_disc)*(pay_pct+warranty_pct)+pay_fixed)/($A39*(1-dtc_disc)*(1-returns_pct))</f>
        <v/>
      </c>
      <c r="F39" s="31">
        <f>1-((bom_sq+asm_sq+pkg_sq)*(1+freight_duty)*(1+F$38)+dtc_ship+$A39*(1-dtc_disc)*(pay_pct+warranty_pct)+pay_fixed)/($A39*(1-dtc_disc)*(1-returns_pct))</f>
        <v/>
      </c>
      <c r="G39" s="31">
        <f>1-((bom_sq+asm_sq+pkg_sq)*(1+freight_duty)*(1+G$38)+dtc_ship+$A39*(1-dtc_disc)*(pay_pct+warranty_pct)+pay_fixed)/($A39*(1-dtc_disc)*(1-returns_pct))</f>
        <v/>
      </c>
      <c r="H39" s="31">
        <f>1-((bom_sq+asm_sq+pkg_sq)*(1+freight_duty)*(1+H$38)+dtc_ship+$A39*(1-dtc_disc)*(pay_pct+warranty_pct)+pay_fixed)/($A39*(1-dtc_disc)*(1-returns_pct))</f>
        <v/>
      </c>
    </row>
    <row r="40">
      <c r="A40" s="30" t="n">
        <v>269</v>
      </c>
      <c r="B40" s="31">
        <f>1-((bom_sq+asm_sq+pkg_sq)*(1+freight_duty)*(1+B$38)+dtc_ship+$A40*(1-dtc_disc)*(pay_pct+warranty_pct)+pay_fixed)/($A40*(1-dtc_disc)*(1-returns_pct))</f>
        <v/>
      </c>
      <c r="C40" s="31">
        <f>1-((bom_sq+asm_sq+pkg_sq)*(1+freight_duty)*(1+C$38)+dtc_ship+$A40*(1-dtc_disc)*(pay_pct+warranty_pct)+pay_fixed)/($A40*(1-dtc_disc)*(1-returns_pct))</f>
        <v/>
      </c>
      <c r="D40" s="31">
        <f>1-((bom_sq+asm_sq+pkg_sq)*(1+freight_duty)*(1+D$38)+dtc_ship+$A40*(1-dtc_disc)*(pay_pct+warranty_pct)+pay_fixed)/($A40*(1-dtc_disc)*(1-returns_pct))</f>
        <v/>
      </c>
      <c r="E40" s="31">
        <f>1-((bom_sq+asm_sq+pkg_sq)*(1+freight_duty)*(1+E$38)+dtc_ship+$A40*(1-dtc_disc)*(pay_pct+warranty_pct)+pay_fixed)/($A40*(1-dtc_disc)*(1-returns_pct))</f>
        <v/>
      </c>
      <c r="F40" s="31">
        <f>1-((bom_sq+asm_sq+pkg_sq)*(1+freight_duty)*(1+F$38)+dtc_ship+$A40*(1-dtc_disc)*(pay_pct+warranty_pct)+pay_fixed)/($A40*(1-dtc_disc)*(1-returns_pct))</f>
        <v/>
      </c>
      <c r="G40" s="31">
        <f>1-((bom_sq+asm_sq+pkg_sq)*(1+freight_duty)*(1+G$38)+dtc_ship+$A40*(1-dtc_disc)*(pay_pct+warranty_pct)+pay_fixed)/($A40*(1-dtc_disc)*(1-returns_pct))</f>
        <v/>
      </c>
      <c r="H40" s="31">
        <f>1-((bom_sq+asm_sq+pkg_sq)*(1+freight_duty)*(1+H$38)+dtc_ship+$A40*(1-dtc_disc)*(pay_pct+warranty_pct)+pay_fixed)/($A40*(1-dtc_disc)*(1-returns_pct))</f>
        <v/>
      </c>
    </row>
    <row r="41">
      <c r="A41" s="30" t="n">
        <v>279</v>
      </c>
      <c r="B41" s="31">
        <f>1-((bom_sq+asm_sq+pkg_sq)*(1+freight_duty)*(1+B$38)+dtc_ship+$A41*(1-dtc_disc)*(pay_pct+warranty_pct)+pay_fixed)/($A41*(1-dtc_disc)*(1-returns_pct))</f>
        <v/>
      </c>
      <c r="C41" s="31">
        <f>1-((bom_sq+asm_sq+pkg_sq)*(1+freight_duty)*(1+C$38)+dtc_ship+$A41*(1-dtc_disc)*(pay_pct+warranty_pct)+pay_fixed)/($A41*(1-dtc_disc)*(1-returns_pct))</f>
        <v/>
      </c>
      <c r="D41" s="31">
        <f>1-((bom_sq+asm_sq+pkg_sq)*(1+freight_duty)*(1+D$38)+dtc_ship+$A41*(1-dtc_disc)*(pay_pct+warranty_pct)+pay_fixed)/($A41*(1-dtc_disc)*(1-returns_pct))</f>
        <v/>
      </c>
      <c r="E41" s="31">
        <f>1-((bom_sq+asm_sq+pkg_sq)*(1+freight_duty)*(1+E$38)+dtc_ship+$A41*(1-dtc_disc)*(pay_pct+warranty_pct)+pay_fixed)/($A41*(1-dtc_disc)*(1-returns_pct))</f>
        <v/>
      </c>
      <c r="F41" s="31">
        <f>1-((bom_sq+asm_sq+pkg_sq)*(1+freight_duty)*(1+F$38)+dtc_ship+$A41*(1-dtc_disc)*(pay_pct+warranty_pct)+pay_fixed)/($A41*(1-dtc_disc)*(1-returns_pct))</f>
        <v/>
      </c>
      <c r="G41" s="31">
        <f>1-((bom_sq+asm_sq+pkg_sq)*(1+freight_duty)*(1+G$38)+dtc_ship+$A41*(1-dtc_disc)*(pay_pct+warranty_pct)+pay_fixed)/($A41*(1-dtc_disc)*(1-returns_pct))</f>
        <v/>
      </c>
      <c r="H41" s="31">
        <f>1-((bom_sq+asm_sq+pkg_sq)*(1+freight_duty)*(1+H$38)+dtc_ship+$A41*(1-dtc_disc)*(pay_pct+warranty_pct)+pay_fixed)/($A41*(1-dtc_disc)*(1-returns_pct))</f>
        <v/>
      </c>
    </row>
    <row r="42">
      <c r="A42" s="30" t="n">
        <v>299</v>
      </c>
      <c r="B42" s="31">
        <f>1-((bom_sq+asm_sq+pkg_sq)*(1+freight_duty)*(1+B$38)+dtc_ship+$A42*(1-dtc_disc)*(pay_pct+warranty_pct)+pay_fixed)/($A42*(1-dtc_disc)*(1-returns_pct))</f>
        <v/>
      </c>
      <c r="C42" s="31">
        <f>1-((bom_sq+asm_sq+pkg_sq)*(1+freight_duty)*(1+C$38)+dtc_ship+$A42*(1-dtc_disc)*(pay_pct+warranty_pct)+pay_fixed)/($A42*(1-dtc_disc)*(1-returns_pct))</f>
        <v/>
      </c>
      <c r="D42" s="31">
        <f>1-((bom_sq+asm_sq+pkg_sq)*(1+freight_duty)*(1+D$38)+dtc_ship+$A42*(1-dtc_disc)*(pay_pct+warranty_pct)+pay_fixed)/($A42*(1-dtc_disc)*(1-returns_pct))</f>
        <v/>
      </c>
      <c r="E42" s="31">
        <f>1-((bom_sq+asm_sq+pkg_sq)*(1+freight_duty)*(1+E$38)+dtc_ship+$A42*(1-dtc_disc)*(pay_pct+warranty_pct)+pay_fixed)/($A42*(1-dtc_disc)*(1-returns_pct))</f>
        <v/>
      </c>
      <c r="F42" s="31">
        <f>1-((bom_sq+asm_sq+pkg_sq)*(1+freight_duty)*(1+F$38)+dtc_ship+$A42*(1-dtc_disc)*(pay_pct+warranty_pct)+pay_fixed)/($A42*(1-dtc_disc)*(1-returns_pct))</f>
        <v/>
      </c>
      <c r="G42" s="31">
        <f>1-((bom_sq+asm_sq+pkg_sq)*(1+freight_duty)*(1+G$38)+dtc_ship+$A42*(1-dtc_disc)*(pay_pct+warranty_pct)+pay_fixed)/($A42*(1-dtc_disc)*(1-returns_pct))</f>
        <v/>
      </c>
      <c r="H42" s="31">
        <f>1-((bom_sq+asm_sq+pkg_sq)*(1+freight_duty)*(1+H$38)+dtc_ship+$A42*(1-dtc_disc)*(pay_pct+warranty_pct)+pay_fixed)/($A42*(1-dtc_disc)*(1-returns_pct))</f>
        <v/>
      </c>
    </row>
    <row r="43">
      <c r="A43" s="30" t="n">
        <v>329</v>
      </c>
      <c r="B43" s="31">
        <f>1-((bom_sq+asm_sq+pkg_sq)*(1+freight_duty)*(1+B$38)+dtc_ship+$A43*(1-dtc_disc)*(pay_pct+warranty_pct)+pay_fixed)/($A43*(1-dtc_disc)*(1-returns_pct))</f>
        <v/>
      </c>
      <c r="C43" s="31">
        <f>1-((bom_sq+asm_sq+pkg_sq)*(1+freight_duty)*(1+C$38)+dtc_ship+$A43*(1-dtc_disc)*(pay_pct+warranty_pct)+pay_fixed)/($A43*(1-dtc_disc)*(1-returns_pct))</f>
        <v/>
      </c>
      <c r="D43" s="31">
        <f>1-((bom_sq+asm_sq+pkg_sq)*(1+freight_duty)*(1+D$38)+dtc_ship+$A43*(1-dtc_disc)*(pay_pct+warranty_pct)+pay_fixed)/($A43*(1-dtc_disc)*(1-returns_pct))</f>
        <v/>
      </c>
      <c r="E43" s="31">
        <f>1-((bom_sq+asm_sq+pkg_sq)*(1+freight_duty)*(1+E$38)+dtc_ship+$A43*(1-dtc_disc)*(pay_pct+warranty_pct)+pay_fixed)/($A43*(1-dtc_disc)*(1-returns_pct))</f>
        <v/>
      </c>
      <c r="F43" s="31">
        <f>1-((bom_sq+asm_sq+pkg_sq)*(1+freight_duty)*(1+F$38)+dtc_ship+$A43*(1-dtc_disc)*(pay_pct+warranty_pct)+pay_fixed)/($A43*(1-dtc_disc)*(1-returns_pct))</f>
        <v/>
      </c>
      <c r="G43" s="31">
        <f>1-((bom_sq+asm_sq+pkg_sq)*(1+freight_duty)*(1+G$38)+dtc_ship+$A43*(1-dtc_disc)*(pay_pct+warranty_pct)+pay_fixed)/($A43*(1-dtc_disc)*(1-returns_pct))</f>
        <v/>
      </c>
      <c r="H43" s="31">
        <f>1-((bom_sq+asm_sq+pkg_sq)*(1+freight_duty)*(1+H$38)+dtc_ship+$A43*(1-dtc_disc)*(pay_pct+warranty_pct)+pay_fixed)/($A43*(1-dtc_disc)*(1-returns_pct))</f>
        <v/>
      </c>
    </row>
    <row r="44">
      <c r="A44" s="30" t="n">
        <v>349</v>
      </c>
      <c r="B44" s="31">
        <f>1-((bom_sq+asm_sq+pkg_sq)*(1+freight_duty)*(1+B$38)+dtc_ship+$A44*(1-dtc_disc)*(pay_pct+warranty_pct)+pay_fixed)/($A44*(1-dtc_disc)*(1-returns_pct))</f>
        <v/>
      </c>
      <c r="C44" s="31">
        <f>1-((bom_sq+asm_sq+pkg_sq)*(1+freight_duty)*(1+C$38)+dtc_ship+$A44*(1-dtc_disc)*(pay_pct+warranty_pct)+pay_fixed)/($A44*(1-dtc_disc)*(1-returns_pct))</f>
        <v/>
      </c>
      <c r="D44" s="31">
        <f>1-((bom_sq+asm_sq+pkg_sq)*(1+freight_duty)*(1+D$38)+dtc_ship+$A44*(1-dtc_disc)*(pay_pct+warranty_pct)+pay_fixed)/($A44*(1-dtc_disc)*(1-returns_pct))</f>
        <v/>
      </c>
      <c r="E44" s="31">
        <f>1-((bom_sq+asm_sq+pkg_sq)*(1+freight_duty)*(1+E$38)+dtc_ship+$A44*(1-dtc_disc)*(pay_pct+warranty_pct)+pay_fixed)/($A44*(1-dtc_disc)*(1-returns_pct))</f>
        <v/>
      </c>
      <c r="F44" s="31">
        <f>1-((bom_sq+asm_sq+pkg_sq)*(1+freight_duty)*(1+F$38)+dtc_ship+$A44*(1-dtc_disc)*(pay_pct+warranty_pct)+pay_fixed)/($A44*(1-dtc_disc)*(1-returns_pct))</f>
        <v/>
      </c>
      <c r="G44" s="31">
        <f>1-((bom_sq+asm_sq+pkg_sq)*(1+freight_duty)*(1+G$38)+dtc_ship+$A44*(1-dtc_disc)*(pay_pct+warranty_pct)+pay_fixed)/($A44*(1-dtc_disc)*(1-returns_pct))</f>
        <v/>
      </c>
      <c r="H44" s="31">
        <f>1-((bom_sq+asm_sq+pkg_sq)*(1+freight_duty)*(1+H$38)+dtc_ship+$A44*(1-dtc_disc)*(pay_pct+warranty_pct)+pay_fixed)/($A44*(1-dtc_disc)*(1-returns_pct))</f>
        <v/>
      </c>
    </row>
    <row r="46">
      <c r="A46" s="13" t="inlineStr">
        <is>
          <t>Atlas: price \ COGS delta</t>
        </is>
      </c>
      <c r="B46" s="29" t="n">
        <v>-0.15</v>
      </c>
      <c r="C46" s="29" t="n">
        <v>-0.1</v>
      </c>
      <c r="D46" s="29" t="n">
        <v>-0.05</v>
      </c>
      <c r="E46" s="29" t="n">
        <v>0</v>
      </c>
      <c r="F46" s="29" t="n">
        <v>0.05</v>
      </c>
      <c r="G46" s="29" t="n">
        <v>0.1</v>
      </c>
      <c r="H46" s="29" t="n">
        <v>0.2</v>
      </c>
    </row>
    <row r="47">
      <c r="A47" s="30" t="n">
        <v>449</v>
      </c>
      <c r="B47" s="31">
        <f>1-((bom_atl+asm_atl+pkg_atl)*(1+freight_duty)*(1+B$46)+dtc_ship+$A47*(1-dtc_disc)*(pay_pct+warranty_pct)+pay_fixed)/($A47*(1-dtc_disc)*(1-returns_pct))</f>
        <v/>
      </c>
      <c r="C47" s="31">
        <f>1-((bom_atl+asm_atl+pkg_atl)*(1+freight_duty)*(1+C$46)+dtc_ship+$A47*(1-dtc_disc)*(pay_pct+warranty_pct)+pay_fixed)/($A47*(1-dtc_disc)*(1-returns_pct))</f>
        <v/>
      </c>
      <c r="D47" s="31">
        <f>1-((bom_atl+asm_atl+pkg_atl)*(1+freight_duty)*(1+D$46)+dtc_ship+$A47*(1-dtc_disc)*(pay_pct+warranty_pct)+pay_fixed)/($A47*(1-dtc_disc)*(1-returns_pct))</f>
        <v/>
      </c>
      <c r="E47" s="31">
        <f>1-((bom_atl+asm_atl+pkg_atl)*(1+freight_duty)*(1+E$46)+dtc_ship+$A47*(1-dtc_disc)*(pay_pct+warranty_pct)+pay_fixed)/($A47*(1-dtc_disc)*(1-returns_pct))</f>
        <v/>
      </c>
      <c r="F47" s="31">
        <f>1-((bom_atl+asm_atl+pkg_atl)*(1+freight_duty)*(1+F$46)+dtc_ship+$A47*(1-dtc_disc)*(pay_pct+warranty_pct)+pay_fixed)/($A47*(1-dtc_disc)*(1-returns_pct))</f>
        <v/>
      </c>
      <c r="G47" s="31">
        <f>1-((bom_atl+asm_atl+pkg_atl)*(1+freight_duty)*(1+G$46)+dtc_ship+$A47*(1-dtc_disc)*(pay_pct+warranty_pct)+pay_fixed)/($A47*(1-dtc_disc)*(1-returns_pct))</f>
        <v/>
      </c>
      <c r="H47" s="31">
        <f>1-((bom_atl+asm_atl+pkg_atl)*(1+freight_duty)*(1+H$46)+dtc_ship+$A47*(1-dtc_disc)*(pay_pct+warranty_pct)+pay_fixed)/($A47*(1-dtc_disc)*(1-returns_pct))</f>
        <v/>
      </c>
    </row>
    <row r="48">
      <c r="A48" s="30" t="n">
        <v>499</v>
      </c>
      <c r="B48" s="31">
        <f>1-((bom_atl+asm_atl+pkg_atl)*(1+freight_duty)*(1+B$46)+dtc_ship+$A48*(1-dtc_disc)*(pay_pct+warranty_pct)+pay_fixed)/($A48*(1-dtc_disc)*(1-returns_pct))</f>
        <v/>
      </c>
      <c r="C48" s="31">
        <f>1-((bom_atl+asm_atl+pkg_atl)*(1+freight_duty)*(1+C$46)+dtc_ship+$A48*(1-dtc_disc)*(pay_pct+warranty_pct)+pay_fixed)/($A48*(1-dtc_disc)*(1-returns_pct))</f>
        <v/>
      </c>
      <c r="D48" s="31">
        <f>1-((bom_atl+asm_atl+pkg_atl)*(1+freight_duty)*(1+D$46)+dtc_ship+$A48*(1-dtc_disc)*(pay_pct+warranty_pct)+pay_fixed)/($A48*(1-dtc_disc)*(1-returns_pct))</f>
        <v/>
      </c>
      <c r="E48" s="31">
        <f>1-((bom_atl+asm_atl+pkg_atl)*(1+freight_duty)*(1+E$46)+dtc_ship+$A48*(1-dtc_disc)*(pay_pct+warranty_pct)+pay_fixed)/($A48*(1-dtc_disc)*(1-returns_pct))</f>
        <v/>
      </c>
      <c r="F48" s="31">
        <f>1-((bom_atl+asm_atl+pkg_atl)*(1+freight_duty)*(1+F$46)+dtc_ship+$A48*(1-dtc_disc)*(pay_pct+warranty_pct)+pay_fixed)/($A48*(1-dtc_disc)*(1-returns_pct))</f>
        <v/>
      </c>
      <c r="G48" s="31">
        <f>1-((bom_atl+asm_atl+pkg_atl)*(1+freight_duty)*(1+G$46)+dtc_ship+$A48*(1-dtc_disc)*(pay_pct+warranty_pct)+pay_fixed)/($A48*(1-dtc_disc)*(1-returns_pct))</f>
        <v/>
      </c>
      <c r="H48" s="31">
        <f>1-((bom_atl+asm_atl+pkg_atl)*(1+freight_duty)*(1+H$46)+dtc_ship+$A48*(1-dtc_disc)*(pay_pct+warranty_pct)+pay_fixed)/($A48*(1-dtc_disc)*(1-returns_pct))</f>
        <v/>
      </c>
    </row>
    <row r="49">
      <c r="A49" s="30" t="n">
        <v>529</v>
      </c>
      <c r="B49" s="31">
        <f>1-((bom_atl+asm_atl+pkg_atl)*(1+freight_duty)*(1+B$46)+dtc_ship+$A49*(1-dtc_disc)*(pay_pct+warranty_pct)+pay_fixed)/($A49*(1-dtc_disc)*(1-returns_pct))</f>
        <v/>
      </c>
      <c r="C49" s="31">
        <f>1-((bom_atl+asm_atl+pkg_atl)*(1+freight_duty)*(1+C$46)+dtc_ship+$A49*(1-dtc_disc)*(pay_pct+warranty_pct)+pay_fixed)/($A49*(1-dtc_disc)*(1-returns_pct))</f>
        <v/>
      </c>
      <c r="D49" s="31">
        <f>1-((bom_atl+asm_atl+pkg_atl)*(1+freight_duty)*(1+D$46)+dtc_ship+$A49*(1-dtc_disc)*(pay_pct+warranty_pct)+pay_fixed)/($A49*(1-dtc_disc)*(1-returns_pct))</f>
        <v/>
      </c>
      <c r="E49" s="31">
        <f>1-((bom_atl+asm_atl+pkg_atl)*(1+freight_duty)*(1+E$46)+dtc_ship+$A49*(1-dtc_disc)*(pay_pct+warranty_pct)+pay_fixed)/($A49*(1-dtc_disc)*(1-returns_pct))</f>
        <v/>
      </c>
      <c r="F49" s="31">
        <f>1-((bom_atl+asm_atl+pkg_atl)*(1+freight_duty)*(1+F$46)+dtc_ship+$A49*(1-dtc_disc)*(pay_pct+warranty_pct)+pay_fixed)/($A49*(1-dtc_disc)*(1-returns_pct))</f>
        <v/>
      </c>
      <c r="G49" s="31">
        <f>1-((bom_atl+asm_atl+pkg_atl)*(1+freight_duty)*(1+G$46)+dtc_ship+$A49*(1-dtc_disc)*(pay_pct+warranty_pct)+pay_fixed)/($A49*(1-dtc_disc)*(1-returns_pct))</f>
        <v/>
      </c>
      <c r="H49" s="31">
        <f>1-((bom_atl+asm_atl+pkg_atl)*(1+freight_duty)*(1+H$46)+dtc_ship+$A49*(1-dtc_disc)*(pay_pct+warranty_pct)+pay_fixed)/($A49*(1-dtc_disc)*(1-returns_pct))</f>
        <v/>
      </c>
    </row>
    <row r="50">
      <c r="A50" s="30" t="n">
        <v>549</v>
      </c>
      <c r="B50" s="31">
        <f>1-((bom_atl+asm_atl+pkg_atl)*(1+freight_duty)*(1+B$46)+dtc_ship+$A50*(1-dtc_disc)*(pay_pct+warranty_pct)+pay_fixed)/($A50*(1-dtc_disc)*(1-returns_pct))</f>
        <v/>
      </c>
      <c r="C50" s="31">
        <f>1-((bom_atl+asm_atl+pkg_atl)*(1+freight_duty)*(1+C$46)+dtc_ship+$A50*(1-dtc_disc)*(pay_pct+warranty_pct)+pay_fixed)/($A50*(1-dtc_disc)*(1-returns_pct))</f>
        <v/>
      </c>
      <c r="D50" s="31">
        <f>1-((bom_atl+asm_atl+pkg_atl)*(1+freight_duty)*(1+D$46)+dtc_ship+$A50*(1-dtc_disc)*(pay_pct+warranty_pct)+pay_fixed)/($A50*(1-dtc_disc)*(1-returns_pct))</f>
        <v/>
      </c>
      <c r="E50" s="31">
        <f>1-((bom_atl+asm_atl+pkg_atl)*(1+freight_duty)*(1+E$46)+dtc_ship+$A50*(1-dtc_disc)*(pay_pct+warranty_pct)+pay_fixed)/($A50*(1-dtc_disc)*(1-returns_pct))</f>
        <v/>
      </c>
      <c r="F50" s="31">
        <f>1-((bom_atl+asm_atl+pkg_atl)*(1+freight_duty)*(1+F$46)+dtc_ship+$A50*(1-dtc_disc)*(pay_pct+warranty_pct)+pay_fixed)/($A50*(1-dtc_disc)*(1-returns_pct))</f>
        <v/>
      </c>
      <c r="G50" s="31">
        <f>1-((bom_atl+asm_atl+pkg_atl)*(1+freight_duty)*(1+G$46)+dtc_ship+$A50*(1-dtc_disc)*(pay_pct+warranty_pct)+pay_fixed)/($A50*(1-dtc_disc)*(1-returns_pct))</f>
        <v/>
      </c>
      <c r="H50" s="31">
        <f>1-((bom_atl+asm_atl+pkg_atl)*(1+freight_duty)*(1+H$46)+dtc_ship+$A50*(1-dtc_disc)*(pay_pct+warranty_pct)+pay_fixed)/($A50*(1-dtc_disc)*(1-returns_pct))</f>
        <v/>
      </c>
    </row>
    <row r="51">
      <c r="A51" s="30" t="n">
        <v>599</v>
      </c>
      <c r="B51" s="31">
        <f>1-((bom_atl+asm_atl+pkg_atl)*(1+freight_duty)*(1+B$46)+dtc_ship+$A51*(1-dtc_disc)*(pay_pct+warranty_pct)+pay_fixed)/($A51*(1-dtc_disc)*(1-returns_pct))</f>
        <v/>
      </c>
      <c r="C51" s="31">
        <f>1-((bom_atl+asm_atl+pkg_atl)*(1+freight_duty)*(1+C$46)+dtc_ship+$A51*(1-dtc_disc)*(pay_pct+warranty_pct)+pay_fixed)/($A51*(1-dtc_disc)*(1-returns_pct))</f>
        <v/>
      </c>
      <c r="D51" s="31">
        <f>1-((bom_atl+asm_atl+pkg_atl)*(1+freight_duty)*(1+D$46)+dtc_ship+$A51*(1-dtc_disc)*(pay_pct+warranty_pct)+pay_fixed)/($A51*(1-dtc_disc)*(1-returns_pct))</f>
        <v/>
      </c>
      <c r="E51" s="31">
        <f>1-((bom_atl+asm_atl+pkg_atl)*(1+freight_duty)*(1+E$46)+dtc_ship+$A51*(1-dtc_disc)*(pay_pct+warranty_pct)+pay_fixed)/($A51*(1-dtc_disc)*(1-returns_pct))</f>
        <v/>
      </c>
      <c r="F51" s="31">
        <f>1-((bom_atl+asm_atl+pkg_atl)*(1+freight_duty)*(1+F$46)+dtc_ship+$A51*(1-dtc_disc)*(pay_pct+warranty_pct)+pay_fixed)/($A51*(1-dtc_disc)*(1-returns_pct))</f>
        <v/>
      </c>
      <c r="G51" s="31">
        <f>1-((bom_atl+asm_atl+pkg_atl)*(1+freight_duty)*(1+G$46)+dtc_ship+$A51*(1-dtc_disc)*(pay_pct+warranty_pct)+pay_fixed)/($A51*(1-dtc_disc)*(1-returns_pct))</f>
        <v/>
      </c>
      <c r="H51" s="31">
        <f>1-((bom_atl+asm_atl+pkg_atl)*(1+freight_duty)*(1+H$46)+dtc_ship+$A51*(1-dtc_disc)*(pay_pct+warranty_pct)+pay_fixed)/($A51*(1-dtc_disc)*(1-returns_pct))</f>
        <v/>
      </c>
    </row>
    <row r="52">
      <c r="A52" s="30" t="n">
        <v>649</v>
      </c>
      <c r="B52" s="31">
        <f>1-((bom_atl+asm_atl+pkg_atl)*(1+freight_duty)*(1+B$46)+dtc_ship+$A52*(1-dtc_disc)*(pay_pct+warranty_pct)+pay_fixed)/($A52*(1-dtc_disc)*(1-returns_pct))</f>
        <v/>
      </c>
      <c r="C52" s="31">
        <f>1-((bom_atl+asm_atl+pkg_atl)*(1+freight_duty)*(1+C$46)+dtc_ship+$A52*(1-dtc_disc)*(pay_pct+warranty_pct)+pay_fixed)/($A52*(1-dtc_disc)*(1-returns_pct))</f>
        <v/>
      </c>
      <c r="D52" s="31">
        <f>1-((bom_atl+asm_atl+pkg_atl)*(1+freight_duty)*(1+D$46)+dtc_ship+$A52*(1-dtc_disc)*(pay_pct+warranty_pct)+pay_fixed)/($A52*(1-dtc_disc)*(1-returns_pct))</f>
        <v/>
      </c>
      <c r="E52" s="31">
        <f>1-((bom_atl+asm_atl+pkg_atl)*(1+freight_duty)*(1+E$46)+dtc_ship+$A52*(1-dtc_disc)*(pay_pct+warranty_pct)+pay_fixed)/($A52*(1-dtc_disc)*(1-returns_pct))</f>
        <v/>
      </c>
      <c r="F52" s="31">
        <f>1-((bom_atl+asm_atl+pkg_atl)*(1+freight_duty)*(1+F$46)+dtc_ship+$A52*(1-dtc_disc)*(pay_pct+warranty_pct)+pay_fixed)/($A52*(1-dtc_disc)*(1-returns_pct))</f>
        <v/>
      </c>
      <c r="G52" s="31">
        <f>1-((bom_atl+asm_atl+pkg_atl)*(1+freight_duty)*(1+G$46)+dtc_ship+$A52*(1-dtc_disc)*(pay_pct+warranty_pct)+pay_fixed)/($A52*(1-dtc_disc)*(1-returns_pct))</f>
        <v/>
      </c>
      <c r="H52" s="31">
        <f>1-((bom_atl+asm_atl+pkg_atl)*(1+freight_duty)*(1+H$46)+dtc_ship+$A52*(1-dtc_disc)*(pay_pct+warranty_pct)+pay_fixed)/($A52*(1-dtc_disc)*(1-returns_pct))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LORE Pass subscription model -- trial -&gt; paid conversion, churn, ARPU, installed base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Conversion pipeline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Devices shipped (each gets a 3-month Explorer trial)</t>
        </is>
      </c>
      <c r="B10" s="2" t="inlineStr">
        <is>
          <t>units</t>
        </is>
      </c>
      <c r="C10" s="4">
        <f>'Pricing &amp; Mix'!C40</f>
        <v/>
      </c>
      <c r="D10" s="4">
        <f>'Pricing &amp; Mix'!D40</f>
        <v/>
      </c>
      <c r="E10" s="4">
        <f>'Pricing &amp; Mix'!E40</f>
        <v/>
      </c>
      <c r="F10" s="4">
        <f>'Pricing &amp; Mix'!F40</f>
        <v/>
      </c>
      <c r="G10" s="4">
        <f>'Pricing &amp; Mix'!G40</f>
        <v/>
      </c>
      <c r="H10" s="4">
        <f>'Pricing &amp; Mix'!H40</f>
        <v/>
      </c>
      <c r="I10" s="4">
        <f>'Pricing &amp; Mix'!I40</f>
        <v/>
      </c>
      <c r="J10" s="4">
        <f>'Pricing &amp; Mix'!J40</f>
        <v/>
      </c>
      <c r="K10" s="4">
        <f>'Pricing &amp; Mix'!K40</f>
        <v/>
      </c>
      <c r="L10" s="4">
        <f>'Pricing &amp; Mix'!L40</f>
        <v/>
      </c>
      <c r="M10" s="4">
        <f>'Pricing &amp; Mix'!M40</f>
        <v/>
      </c>
      <c r="N10" s="4">
        <f>'Pricing &amp; Mix'!N40</f>
        <v/>
      </c>
      <c r="O10" s="4">
        <f>'Pricing &amp; Mix'!O40</f>
        <v/>
      </c>
      <c r="P10" s="4">
        <f>'Pricing &amp; Mix'!P40</f>
        <v/>
      </c>
      <c r="Q10" s="4">
        <f>'Pricing &amp; Mix'!Q40</f>
        <v/>
      </c>
      <c r="R10" s="4">
        <f>'Pricing &amp; Mix'!R40</f>
        <v/>
      </c>
      <c r="S10" s="4">
        <f>'Pricing &amp; Mix'!S40</f>
        <v/>
      </c>
      <c r="T10" s="4">
        <f>'Pricing &amp; Mix'!T40</f>
        <v/>
      </c>
      <c r="U10" s="4">
        <f>'Pricing &amp; Mix'!U40</f>
        <v/>
      </c>
      <c r="V10" s="4">
        <f>'Pricing &amp; Mix'!V40</f>
        <v/>
      </c>
      <c r="W10" s="4">
        <f>'Pricing &amp; Mix'!W40</f>
        <v/>
      </c>
      <c r="X10" s="4">
        <f>'Pricing &amp; Mix'!X40</f>
        <v/>
      </c>
      <c r="Y10" s="4">
        <f>'Pricing &amp; Mix'!Y40</f>
        <v/>
      </c>
      <c r="Z10" s="4">
        <f>'Pricing &amp; Mix'!Z40</f>
        <v/>
      </c>
      <c r="AA10" s="4">
        <f>'Pricing &amp; Mix'!AA40</f>
        <v/>
      </c>
      <c r="AB10" s="4">
        <f>'Pricing &amp; Mix'!AB40</f>
        <v/>
      </c>
      <c r="AC10" s="4">
        <f>'Pricing &amp; Mix'!AC40</f>
        <v/>
      </c>
      <c r="AD10" s="4">
        <f>'Pricing &amp; Mix'!AD40</f>
        <v/>
      </c>
      <c r="AE10" s="4">
        <f>'Pricing &amp; Mix'!AE40</f>
        <v/>
      </c>
      <c r="AG10" s="4">
        <f>SUMIF($C$3:$AE$3,AG$3,$C10:$AE10)</f>
        <v/>
      </c>
      <c r="AH10" s="4">
        <f>SUMIF($C$3:$AE$3,AH$3,$C10:$AE10)</f>
        <v/>
      </c>
      <c r="AI10" s="4">
        <f>SUMIF($C$3:$AE$3,AI$3,$C10:$AE10)</f>
        <v/>
      </c>
      <c r="AJ10" s="4">
        <f>SUMIF($C$3:$AE$3,AJ$3,$C10:$AE10)</f>
        <v/>
      </c>
      <c r="AK10" s="4">
        <f>SUMIF($C$3:$AE$3,AK$3,$C10:$AE10)</f>
        <v/>
      </c>
      <c r="AL10" s="4">
        <f>SUMIF($C$3:$AE$3,AL$3,$C10:$AE10)</f>
        <v/>
      </c>
    </row>
    <row r="11">
      <c r="A11" t="inlineStr">
        <is>
          <t>Expected paid conversions from this period's devices</t>
        </is>
      </c>
      <c r="B11" s="2" t="inlineStr">
        <is>
          <t>subs</t>
        </is>
      </c>
      <c r="C11" s="4">
        <f>MIN(1,sc_attach)*0+('Pricing &amp; Mix'!C37*MIN(1,attach_peb*sc_attach)+'Pricing &amp; Mix'!C38*MIN(1,attach_sq*sc_attach)+'Pricing &amp; Mix'!C39*MIN(1,attach_atl*sc_attach))</f>
        <v/>
      </c>
      <c r="D11" s="4">
        <f>MIN(1,sc_attach)*0+('Pricing &amp; Mix'!D37*MIN(1,attach_peb*sc_attach)+'Pricing &amp; Mix'!D38*MIN(1,attach_sq*sc_attach)+'Pricing &amp; Mix'!D39*MIN(1,attach_atl*sc_attach))</f>
        <v/>
      </c>
      <c r="E11" s="4">
        <f>MIN(1,sc_attach)*0+('Pricing &amp; Mix'!E37*MIN(1,attach_peb*sc_attach)+'Pricing &amp; Mix'!E38*MIN(1,attach_sq*sc_attach)+'Pricing &amp; Mix'!E39*MIN(1,attach_atl*sc_attach))</f>
        <v/>
      </c>
      <c r="F11" s="4">
        <f>MIN(1,sc_attach)*0+('Pricing &amp; Mix'!F37*MIN(1,attach_peb*sc_attach)+'Pricing &amp; Mix'!F38*MIN(1,attach_sq*sc_attach)+'Pricing &amp; Mix'!F39*MIN(1,attach_atl*sc_attach))</f>
        <v/>
      </c>
      <c r="G11" s="4">
        <f>MIN(1,sc_attach)*0+('Pricing &amp; Mix'!G37*MIN(1,attach_peb*sc_attach)+'Pricing &amp; Mix'!G38*MIN(1,attach_sq*sc_attach)+'Pricing &amp; Mix'!G39*MIN(1,attach_atl*sc_attach))</f>
        <v/>
      </c>
      <c r="H11" s="4">
        <f>MIN(1,sc_attach)*0+('Pricing &amp; Mix'!H37*MIN(1,attach_peb*sc_attach)+'Pricing &amp; Mix'!H38*MIN(1,attach_sq*sc_attach)+'Pricing &amp; Mix'!H39*MIN(1,attach_atl*sc_attach))</f>
        <v/>
      </c>
      <c r="I11" s="4">
        <f>MIN(1,sc_attach)*0+('Pricing &amp; Mix'!I37*MIN(1,attach_peb*sc_attach)+'Pricing &amp; Mix'!I38*MIN(1,attach_sq*sc_attach)+'Pricing &amp; Mix'!I39*MIN(1,attach_atl*sc_attach))</f>
        <v/>
      </c>
      <c r="J11" s="4">
        <f>MIN(1,sc_attach)*0+('Pricing &amp; Mix'!J37*MIN(1,attach_peb*sc_attach)+'Pricing &amp; Mix'!J38*MIN(1,attach_sq*sc_attach)+'Pricing &amp; Mix'!J39*MIN(1,attach_atl*sc_attach))</f>
        <v/>
      </c>
      <c r="K11" s="4">
        <f>MIN(1,sc_attach)*0+('Pricing &amp; Mix'!K37*MIN(1,attach_peb*sc_attach)+'Pricing &amp; Mix'!K38*MIN(1,attach_sq*sc_attach)+'Pricing &amp; Mix'!K39*MIN(1,attach_atl*sc_attach))</f>
        <v/>
      </c>
      <c r="L11" s="4">
        <f>MIN(1,sc_attach)*0+('Pricing &amp; Mix'!L37*MIN(1,attach_peb*sc_attach)+'Pricing &amp; Mix'!L38*MIN(1,attach_sq*sc_attach)+'Pricing &amp; Mix'!L39*MIN(1,attach_atl*sc_attach))</f>
        <v/>
      </c>
      <c r="M11" s="4">
        <f>MIN(1,sc_attach)*0+('Pricing &amp; Mix'!M37*MIN(1,attach_peb*sc_attach)+'Pricing &amp; Mix'!M38*MIN(1,attach_sq*sc_attach)+'Pricing &amp; Mix'!M39*MIN(1,attach_atl*sc_attach))</f>
        <v/>
      </c>
      <c r="N11" s="4">
        <f>MIN(1,sc_attach)*0+('Pricing &amp; Mix'!N37*MIN(1,attach_peb*sc_attach)+'Pricing &amp; Mix'!N38*MIN(1,attach_sq*sc_attach)+'Pricing &amp; Mix'!N39*MIN(1,attach_atl*sc_attach))</f>
        <v/>
      </c>
      <c r="O11" s="4">
        <f>MIN(1,sc_attach)*0+('Pricing &amp; Mix'!O37*MIN(1,attach_peb*sc_attach)+'Pricing &amp; Mix'!O38*MIN(1,attach_sq*sc_attach)+'Pricing &amp; Mix'!O39*MIN(1,attach_atl*sc_attach))</f>
        <v/>
      </c>
      <c r="P11" s="4">
        <f>MIN(1,sc_attach)*0+('Pricing &amp; Mix'!P37*MIN(1,attach_peb*sc_attach)+'Pricing &amp; Mix'!P38*MIN(1,attach_sq*sc_attach)+'Pricing &amp; Mix'!P39*MIN(1,attach_atl*sc_attach))</f>
        <v/>
      </c>
      <c r="Q11" s="4">
        <f>MIN(1,sc_attach)*0+('Pricing &amp; Mix'!Q37*MIN(1,attach_peb*sc_attach)+'Pricing &amp; Mix'!Q38*MIN(1,attach_sq*sc_attach)+'Pricing &amp; Mix'!Q39*MIN(1,attach_atl*sc_attach))</f>
        <v/>
      </c>
      <c r="R11" s="4">
        <f>MIN(1,sc_attach)*0+('Pricing &amp; Mix'!R37*MIN(1,attach_peb*sc_attach)+'Pricing &amp; Mix'!R38*MIN(1,attach_sq*sc_attach)+'Pricing &amp; Mix'!R39*MIN(1,attach_atl*sc_attach))</f>
        <v/>
      </c>
      <c r="S11" s="4">
        <f>MIN(1,sc_attach)*0+('Pricing &amp; Mix'!S37*MIN(1,attach_peb*sc_attach)+'Pricing &amp; Mix'!S38*MIN(1,attach_sq*sc_attach)+'Pricing &amp; Mix'!S39*MIN(1,attach_atl*sc_attach))</f>
        <v/>
      </c>
      <c r="T11" s="4">
        <f>MIN(1,sc_attach)*0+('Pricing &amp; Mix'!T37*MIN(1,attach_peb*sc_attach)+'Pricing &amp; Mix'!T38*MIN(1,attach_sq*sc_attach)+'Pricing &amp; Mix'!T39*MIN(1,attach_atl*sc_attach))</f>
        <v/>
      </c>
      <c r="U11" s="4">
        <f>MIN(1,sc_attach)*0+('Pricing &amp; Mix'!U37*MIN(1,attach_peb*sc_attach)+'Pricing &amp; Mix'!U38*MIN(1,attach_sq*sc_attach)+'Pricing &amp; Mix'!U39*MIN(1,attach_atl*sc_attach))</f>
        <v/>
      </c>
      <c r="V11" s="4">
        <f>MIN(1,sc_attach)*0+('Pricing &amp; Mix'!V37*MIN(1,attach_peb*sc_attach)+'Pricing &amp; Mix'!V38*MIN(1,attach_sq*sc_attach)+'Pricing &amp; Mix'!V39*MIN(1,attach_atl*sc_attach))</f>
        <v/>
      </c>
      <c r="W11" s="4">
        <f>MIN(1,sc_attach)*0+('Pricing &amp; Mix'!W37*MIN(1,attach_peb*sc_attach)+'Pricing &amp; Mix'!W38*MIN(1,attach_sq*sc_attach)+'Pricing &amp; Mix'!W39*MIN(1,attach_atl*sc_attach))</f>
        <v/>
      </c>
      <c r="X11" s="4">
        <f>MIN(1,sc_attach)*0+('Pricing &amp; Mix'!X37*MIN(1,attach_peb*sc_attach)+'Pricing &amp; Mix'!X38*MIN(1,attach_sq*sc_attach)+'Pricing &amp; Mix'!X39*MIN(1,attach_atl*sc_attach))</f>
        <v/>
      </c>
      <c r="Y11" s="4">
        <f>MIN(1,sc_attach)*0+('Pricing &amp; Mix'!Y37*MIN(1,attach_peb*sc_attach)+'Pricing &amp; Mix'!Y38*MIN(1,attach_sq*sc_attach)+'Pricing &amp; Mix'!Y39*MIN(1,attach_atl*sc_attach))</f>
        <v/>
      </c>
      <c r="Z11" s="4">
        <f>MIN(1,sc_attach)*0+('Pricing &amp; Mix'!Z37*MIN(1,attach_peb*sc_attach)+'Pricing &amp; Mix'!Z38*MIN(1,attach_sq*sc_attach)+'Pricing &amp; Mix'!Z39*MIN(1,attach_atl*sc_attach))</f>
        <v/>
      </c>
      <c r="AA11" s="4">
        <f>MIN(1,sc_attach)*0+('Pricing &amp; Mix'!AA37*MIN(1,attach_peb*sc_attach)+'Pricing &amp; Mix'!AA38*MIN(1,attach_sq*sc_attach)+'Pricing &amp; Mix'!AA39*MIN(1,attach_atl*sc_attach))</f>
        <v/>
      </c>
      <c r="AB11" s="4">
        <f>MIN(1,sc_attach)*0+('Pricing &amp; Mix'!AB37*MIN(1,attach_peb*sc_attach)+'Pricing &amp; Mix'!AB38*MIN(1,attach_sq*sc_attach)+'Pricing &amp; Mix'!AB39*MIN(1,attach_atl*sc_attach))</f>
        <v/>
      </c>
      <c r="AC11" s="4">
        <f>MIN(1,sc_attach)*0+('Pricing &amp; Mix'!AC37*MIN(1,attach_peb*sc_attach)+'Pricing &amp; Mix'!AC38*MIN(1,attach_sq*sc_attach)+'Pricing &amp; Mix'!AC39*MIN(1,attach_atl*sc_attach))</f>
        <v/>
      </c>
      <c r="AD11" s="4">
        <f>MIN(1,sc_attach)*0+('Pricing &amp; Mix'!AD37*MIN(1,attach_peb*sc_attach)+'Pricing &amp; Mix'!AD38*MIN(1,attach_sq*sc_attach)+'Pricing &amp; Mix'!AD39*MIN(1,attach_atl*sc_attach))</f>
        <v/>
      </c>
      <c r="AE11" s="4">
        <f>MIN(1,sc_attach)*0+('Pricing &amp; Mix'!AE37*MIN(1,attach_peb*sc_attach)+'Pricing &amp; Mix'!AE38*MIN(1,attach_sq*sc_attach)+'Pricing &amp; Mix'!AE39*MIN(1,attach_atl*sc_attach))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Weighted attach rate (after scenario)</t>
        </is>
      </c>
      <c r="B12" s="2" t="inlineStr">
        <is>
          <t>%</t>
        </is>
      </c>
      <c r="C12" s="5">
        <f>IF('Subscription Cohorts'!C10&gt;0,'Subscription Cohorts'!C11/'Subscription Cohorts'!C10,0)</f>
        <v/>
      </c>
      <c r="D12" s="5">
        <f>IF('Subscription Cohorts'!D10&gt;0,'Subscription Cohorts'!D11/'Subscription Cohorts'!D10,0)</f>
        <v/>
      </c>
      <c r="E12" s="5">
        <f>IF('Subscription Cohorts'!E10&gt;0,'Subscription Cohorts'!E11/'Subscription Cohorts'!E10,0)</f>
        <v/>
      </c>
      <c r="F12" s="5">
        <f>IF('Subscription Cohorts'!F10&gt;0,'Subscription Cohorts'!F11/'Subscription Cohorts'!F10,0)</f>
        <v/>
      </c>
      <c r="G12" s="5">
        <f>IF('Subscription Cohorts'!G10&gt;0,'Subscription Cohorts'!G11/'Subscription Cohorts'!G10,0)</f>
        <v/>
      </c>
      <c r="H12" s="5">
        <f>IF('Subscription Cohorts'!H10&gt;0,'Subscription Cohorts'!H11/'Subscription Cohorts'!H10,0)</f>
        <v/>
      </c>
      <c r="I12" s="5">
        <f>IF('Subscription Cohorts'!I10&gt;0,'Subscription Cohorts'!I11/'Subscription Cohorts'!I10,0)</f>
        <v/>
      </c>
      <c r="J12" s="5">
        <f>IF('Subscription Cohorts'!J10&gt;0,'Subscription Cohorts'!J11/'Subscription Cohorts'!J10,0)</f>
        <v/>
      </c>
      <c r="K12" s="5">
        <f>IF('Subscription Cohorts'!K10&gt;0,'Subscription Cohorts'!K11/'Subscription Cohorts'!K10,0)</f>
        <v/>
      </c>
      <c r="L12" s="5">
        <f>IF('Subscription Cohorts'!L10&gt;0,'Subscription Cohorts'!L11/'Subscription Cohorts'!L10,0)</f>
        <v/>
      </c>
      <c r="M12" s="5">
        <f>IF('Subscription Cohorts'!M10&gt;0,'Subscription Cohorts'!M11/'Subscription Cohorts'!M10,0)</f>
        <v/>
      </c>
      <c r="N12" s="5">
        <f>IF('Subscription Cohorts'!N10&gt;0,'Subscription Cohorts'!N11/'Subscription Cohorts'!N10,0)</f>
        <v/>
      </c>
      <c r="O12" s="5">
        <f>IF('Subscription Cohorts'!O10&gt;0,'Subscription Cohorts'!O11/'Subscription Cohorts'!O10,0)</f>
        <v/>
      </c>
      <c r="P12" s="5">
        <f>IF('Subscription Cohorts'!P10&gt;0,'Subscription Cohorts'!P11/'Subscription Cohorts'!P10,0)</f>
        <v/>
      </c>
      <c r="Q12" s="5">
        <f>IF('Subscription Cohorts'!Q10&gt;0,'Subscription Cohorts'!Q11/'Subscription Cohorts'!Q10,0)</f>
        <v/>
      </c>
      <c r="R12" s="5">
        <f>IF('Subscription Cohorts'!R10&gt;0,'Subscription Cohorts'!R11/'Subscription Cohorts'!R10,0)</f>
        <v/>
      </c>
      <c r="S12" s="5">
        <f>IF('Subscription Cohorts'!S10&gt;0,'Subscription Cohorts'!S11/'Subscription Cohorts'!S10,0)</f>
        <v/>
      </c>
      <c r="T12" s="5">
        <f>IF('Subscription Cohorts'!T10&gt;0,'Subscription Cohorts'!T11/'Subscription Cohorts'!T10,0)</f>
        <v/>
      </c>
      <c r="U12" s="5">
        <f>IF('Subscription Cohorts'!U10&gt;0,'Subscription Cohorts'!U11/'Subscription Cohorts'!U10,0)</f>
        <v/>
      </c>
      <c r="V12" s="5">
        <f>IF('Subscription Cohorts'!V10&gt;0,'Subscription Cohorts'!V11/'Subscription Cohorts'!V10,0)</f>
        <v/>
      </c>
      <c r="W12" s="5">
        <f>IF('Subscription Cohorts'!W10&gt;0,'Subscription Cohorts'!W11/'Subscription Cohorts'!W10,0)</f>
        <v/>
      </c>
      <c r="X12" s="5">
        <f>IF('Subscription Cohorts'!X10&gt;0,'Subscription Cohorts'!X11/'Subscription Cohorts'!X10,0)</f>
        <v/>
      </c>
      <c r="Y12" s="5">
        <f>IF('Subscription Cohorts'!Y10&gt;0,'Subscription Cohorts'!Y11/'Subscription Cohorts'!Y10,0)</f>
        <v/>
      </c>
      <c r="Z12" s="5">
        <f>IF('Subscription Cohorts'!Z10&gt;0,'Subscription Cohorts'!Z11/'Subscription Cohorts'!Z10,0)</f>
        <v/>
      </c>
      <c r="AA12" s="5">
        <f>IF('Subscription Cohorts'!AA10&gt;0,'Subscription Cohorts'!AA11/'Subscription Cohorts'!AA10,0)</f>
        <v/>
      </c>
      <c r="AB12" s="5">
        <f>IF('Subscription Cohorts'!AB10&gt;0,'Subscription Cohorts'!AB11/'Subscription Cohorts'!AB10,0)</f>
        <v/>
      </c>
      <c r="AC12" s="5">
        <f>IF('Subscription Cohorts'!AC10&gt;0,'Subscription Cohorts'!AC11/'Subscription Cohorts'!AC10,0)</f>
        <v/>
      </c>
      <c r="AD12" s="5">
        <f>IF('Subscription Cohorts'!AD10&gt;0,'Subscription Cohorts'!AD11/'Subscription Cohorts'!AD10,0)</f>
        <v/>
      </c>
      <c r="AE12" s="5">
        <f>IF('Subscription Cohorts'!AE10&gt;0,'Subscription Cohorts'!AE11/'Subscription Cohorts'!AE10,0)</f>
        <v/>
      </c>
    </row>
    <row r="13">
      <c r="A13" t="inlineStr">
        <is>
          <t>New paid Explorer subscribers (trial ends)</t>
        </is>
      </c>
      <c r="B13" s="2" t="inlineStr">
        <is>
          <t>subs</t>
        </is>
      </c>
      <c r="C13" s="4">
        <f>0</f>
        <v/>
      </c>
      <c r="D13" s="4">
        <f>0</f>
        <v/>
      </c>
      <c r="E13" s="4">
        <f>0</f>
        <v/>
      </c>
      <c r="F13" s="4">
        <f>'Subscription Cohorts'!C11</f>
        <v/>
      </c>
      <c r="G13" s="4">
        <f>'Subscription Cohorts'!D11</f>
        <v/>
      </c>
      <c r="H13" s="4">
        <f>'Subscription Cohorts'!E11</f>
        <v/>
      </c>
      <c r="I13" s="4">
        <f>'Subscription Cohorts'!F11</f>
        <v/>
      </c>
      <c r="J13" s="4">
        <f>'Subscription Cohorts'!G11</f>
        <v/>
      </c>
      <c r="K13" s="4">
        <f>'Subscription Cohorts'!H11</f>
        <v/>
      </c>
      <c r="L13" s="4">
        <f>'Subscription Cohorts'!I11</f>
        <v/>
      </c>
      <c r="M13" s="4">
        <f>'Subscription Cohorts'!J11</f>
        <v/>
      </c>
      <c r="N13" s="4">
        <f>'Subscription Cohorts'!K11</f>
        <v/>
      </c>
      <c r="O13" s="4">
        <f>'Subscription Cohorts'!L11</f>
        <v/>
      </c>
      <c r="P13" s="4">
        <f>'Subscription Cohorts'!M11</f>
        <v/>
      </c>
      <c r="Q13" s="4">
        <f>'Subscription Cohorts'!N11</f>
        <v/>
      </c>
      <c r="R13" s="4">
        <f>'Subscription Cohorts'!O11</f>
        <v/>
      </c>
      <c r="S13" s="4">
        <f>'Subscription Cohorts'!P11</f>
        <v/>
      </c>
      <c r="T13" s="4">
        <f>'Subscription Cohorts'!Q11</f>
        <v/>
      </c>
      <c r="U13" s="4">
        <f>'Subscription Cohorts'!R11</f>
        <v/>
      </c>
      <c r="V13" s="4">
        <f>'Subscription Cohorts'!S11</f>
        <v/>
      </c>
      <c r="W13" s="4">
        <f>'Subscription Cohorts'!T11</f>
        <v/>
      </c>
      <c r="X13" s="4">
        <f>'Subscription Cohorts'!U11</f>
        <v/>
      </c>
      <c r="Y13" s="4">
        <f>'Subscription Cohorts'!V11</f>
        <v/>
      </c>
      <c r="Z13" s="4">
        <f>'Subscription Cohorts'!W11</f>
        <v/>
      </c>
      <c r="AA13" s="4">
        <f>'Subscription Cohorts'!X11</f>
        <v/>
      </c>
      <c r="AB13" s="4">
        <f>'Subscription Cohorts'!Y11</f>
        <v/>
      </c>
      <c r="AC13" s="4">
        <f>'Subscription Cohorts'!AC11*0.75+'Subscription Cohorts'!Z11+'Subscription Cohorts'!AA11+'Subscription Cohorts'!AB11</f>
        <v/>
      </c>
      <c r="AD13" s="4">
        <f>'Subscription Cohorts'!AD11*0.75+'Subscription Cohorts'!AC11*0.25</f>
        <v/>
      </c>
      <c r="AE13" s="4">
        <f>'Subscription Cohorts'!AE11*0.75+'Subscription Cohorts'!AD11*0.25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Monthly churn (after scenario)</t>
        </is>
      </c>
      <c r="B14" s="2" t="inlineStr">
        <is>
          <t>%/mo</t>
        </is>
      </c>
      <c r="C14" s="5">
        <f>MIN(0.5,churn*sc_churn)</f>
        <v/>
      </c>
      <c r="D14" s="5">
        <f>MIN(0.5,churn*sc_churn)</f>
        <v/>
      </c>
      <c r="E14" s="5">
        <f>MIN(0.5,churn*sc_churn)</f>
        <v/>
      </c>
      <c r="F14" s="5">
        <f>MIN(0.5,churn*sc_churn)</f>
        <v/>
      </c>
      <c r="G14" s="5">
        <f>MIN(0.5,churn*sc_churn)</f>
        <v/>
      </c>
      <c r="H14" s="5">
        <f>MIN(0.5,churn*sc_churn)</f>
        <v/>
      </c>
      <c r="I14" s="5">
        <f>MIN(0.5,churn*sc_churn)</f>
        <v/>
      </c>
      <c r="J14" s="5">
        <f>MIN(0.5,churn*sc_churn)</f>
        <v/>
      </c>
      <c r="K14" s="5">
        <f>MIN(0.5,churn*sc_churn)</f>
        <v/>
      </c>
      <c r="L14" s="5">
        <f>MIN(0.5,churn*sc_churn)</f>
        <v/>
      </c>
      <c r="M14" s="5">
        <f>MIN(0.5,churn*sc_churn)</f>
        <v/>
      </c>
      <c r="N14" s="5">
        <f>MIN(0.5,churn*sc_churn)</f>
        <v/>
      </c>
      <c r="O14" s="5">
        <f>MIN(0.5,churn*sc_churn)</f>
        <v/>
      </c>
      <c r="P14" s="5">
        <f>MIN(0.5,churn*sc_churn)</f>
        <v/>
      </c>
      <c r="Q14" s="5">
        <f>MIN(0.5,churn*sc_churn)</f>
        <v/>
      </c>
      <c r="R14" s="5">
        <f>MIN(0.5,churn*sc_churn)</f>
        <v/>
      </c>
      <c r="S14" s="5">
        <f>MIN(0.5,churn*sc_churn)</f>
        <v/>
      </c>
      <c r="T14" s="5">
        <f>MIN(0.5,churn*sc_churn)</f>
        <v/>
      </c>
      <c r="U14" s="5">
        <f>MIN(0.5,churn*sc_churn)</f>
        <v/>
      </c>
      <c r="V14" s="5">
        <f>MIN(0.5,churn*sc_churn)</f>
        <v/>
      </c>
      <c r="W14" s="5">
        <f>MIN(0.5,churn*sc_churn)</f>
        <v/>
      </c>
      <c r="X14" s="5">
        <f>MIN(0.5,churn*sc_churn)</f>
        <v/>
      </c>
      <c r="Y14" s="5">
        <f>MIN(0.5,churn*sc_churn)</f>
        <v/>
      </c>
      <c r="Z14" s="5">
        <f>MIN(0.5,churn*sc_churn)</f>
        <v/>
      </c>
      <c r="AA14" s="5">
        <f>MIN(0.5,churn*sc_churn)</f>
        <v/>
      </c>
      <c r="AB14" s="5">
        <f>MIN(0.5,churn*sc_churn)</f>
        <v/>
      </c>
      <c r="AC14" s="5">
        <f>MIN(0.5,churn*sc_churn)</f>
        <v/>
      </c>
      <c r="AD14" s="5">
        <f>MIN(0.5,churn*sc_churn)</f>
        <v/>
      </c>
      <c r="AE14" s="5">
        <f>MIN(0.5,churn*sc_churn)</f>
        <v/>
      </c>
    </row>
    <row r="16">
      <c r="A16" s="8" t="inlineStr">
        <is>
          <t>Paid subscriber roll-forward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</row>
    <row r="17">
      <c r="A17" t="inlineStr">
        <is>
          <t>Beginning paid subs</t>
        </is>
      </c>
      <c r="B17" s="2" t="inlineStr">
        <is>
          <t>subs</t>
        </is>
      </c>
      <c r="C17" s="4">
        <f>0</f>
        <v/>
      </c>
      <c r="D17" s="4">
        <f>C19</f>
        <v/>
      </c>
      <c r="E17" s="4">
        <f>D19</f>
        <v/>
      </c>
      <c r="F17" s="4">
        <f>E19</f>
        <v/>
      </c>
      <c r="G17" s="4">
        <f>F19</f>
        <v/>
      </c>
      <c r="H17" s="4">
        <f>G19</f>
        <v/>
      </c>
      <c r="I17" s="4">
        <f>H19</f>
        <v/>
      </c>
      <c r="J17" s="4">
        <f>I19</f>
        <v/>
      </c>
      <c r="K17" s="4">
        <f>J19</f>
        <v/>
      </c>
      <c r="L17" s="4">
        <f>K19</f>
        <v/>
      </c>
      <c r="M17" s="4">
        <f>L19</f>
        <v/>
      </c>
      <c r="N17" s="4">
        <f>M19</f>
        <v/>
      </c>
      <c r="O17" s="4">
        <f>N19</f>
        <v/>
      </c>
      <c r="P17" s="4">
        <f>O19</f>
        <v/>
      </c>
      <c r="Q17" s="4">
        <f>P19</f>
        <v/>
      </c>
      <c r="R17" s="4">
        <f>Q19</f>
        <v/>
      </c>
      <c r="S17" s="4">
        <f>R19</f>
        <v/>
      </c>
      <c r="T17" s="4">
        <f>S19</f>
        <v/>
      </c>
      <c r="U17" s="4">
        <f>T19</f>
        <v/>
      </c>
      <c r="V17" s="4">
        <f>U19</f>
        <v/>
      </c>
      <c r="W17" s="4">
        <f>V19</f>
        <v/>
      </c>
      <c r="X17" s="4">
        <f>W19</f>
        <v/>
      </c>
      <c r="Y17" s="4">
        <f>X19</f>
        <v/>
      </c>
      <c r="Z17" s="4">
        <f>Y19</f>
        <v/>
      </c>
      <c r="AA17" s="4">
        <f>Z19</f>
        <v/>
      </c>
      <c r="AB17" s="4">
        <f>AA19</f>
        <v/>
      </c>
      <c r="AC17" s="4">
        <f>AB19</f>
        <v/>
      </c>
      <c r="AD17" s="4">
        <f>AC19</f>
        <v/>
      </c>
      <c r="AE17" s="4">
        <f>AD19</f>
        <v/>
      </c>
    </row>
    <row r="18">
      <c r="A18" t="inlineStr">
        <is>
          <t>Churned subs</t>
        </is>
      </c>
      <c r="B18" s="2" t="inlineStr">
        <is>
          <t>subs</t>
        </is>
      </c>
      <c r="C18" s="4">
        <f>C17+C13-C19</f>
        <v/>
      </c>
      <c r="D18" s="4">
        <f>D17+D13-D19</f>
        <v/>
      </c>
      <c r="E18" s="4">
        <f>E17+E13-E19</f>
        <v/>
      </c>
      <c r="F18" s="4">
        <f>F17+F13-F19</f>
        <v/>
      </c>
      <c r="G18" s="4">
        <f>G17+G13-G19</f>
        <v/>
      </c>
      <c r="H18" s="4">
        <f>H17+H13-H19</f>
        <v/>
      </c>
      <c r="I18" s="4">
        <f>I17+I13-I19</f>
        <v/>
      </c>
      <c r="J18" s="4">
        <f>J17+J13-J19</f>
        <v/>
      </c>
      <c r="K18" s="4">
        <f>K17+K13-K19</f>
        <v/>
      </c>
      <c r="L18" s="4">
        <f>L17+L13-L19</f>
        <v/>
      </c>
      <c r="M18" s="4">
        <f>M17+M13-M19</f>
        <v/>
      </c>
      <c r="N18" s="4">
        <f>N17+N13-N19</f>
        <v/>
      </c>
      <c r="O18" s="4">
        <f>O17+O13-O19</f>
        <v/>
      </c>
      <c r="P18" s="4">
        <f>P17+P13-P19</f>
        <v/>
      </c>
      <c r="Q18" s="4">
        <f>Q17+Q13-Q19</f>
        <v/>
      </c>
      <c r="R18" s="4">
        <f>R17+R13-R19</f>
        <v/>
      </c>
      <c r="S18" s="4">
        <f>S17+S13-S19</f>
        <v/>
      </c>
      <c r="T18" s="4">
        <f>T17+T13-T19</f>
        <v/>
      </c>
      <c r="U18" s="4">
        <f>U17+U13-U19</f>
        <v/>
      </c>
      <c r="V18" s="4">
        <f>V17+V13-V19</f>
        <v/>
      </c>
      <c r="W18" s="4">
        <f>W17+W13-W19</f>
        <v/>
      </c>
      <c r="X18" s="4">
        <f>X17+X13-X19</f>
        <v/>
      </c>
      <c r="Y18" s="4">
        <f>Y17+Y13-Y19</f>
        <v/>
      </c>
      <c r="Z18" s="4">
        <f>Z17+Z13-Z19</f>
        <v/>
      </c>
      <c r="AA18" s="4">
        <f>AA17+AA13-AA19</f>
        <v/>
      </c>
      <c r="AB18" s="4">
        <f>AB17+AB13-AB19</f>
        <v/>
      </c>
      <c r="AC18" s="4">
        <f>AC17+AC13-AC19</f>
        <v/>
      </c>
      <c r="AD18" s="4">
        <f>AD17+AD13-AD19</f>
        <v/>
      </c>
      <c r="AE18" s="4">
        <f>AE17+AE13-AE19</f>
        <v/>
      </c>
      <c r="AG18" s="4">
        <f>SUMIF($C$3:$AE$3,AG$3,$C18:$AE18)</f>
        <v/>
      </c>
      <c r="AH18" s="4">
        <f>SUMIF($C$3:$AE$3,AH$3,$C18:$AE18)</f>
        <v/>
      </c>
      <c r="AI18" s="4">
        <f>SUMIF($C$3:$AE$3,AI$3,$C18:$AE18)</f>
        <v/>
      </c>
      <c r="AJ18" s="4">
        <f>SUMIF($C$3:$AE$3,AJ$3,$C18:$AE18)</f>
        <v/>
      </c>
      <c r="AK18" s="4">
        <f>SUMIF($C$3:$AE$3,AK$3,$C18:$AE18)</f>
        <v/>
      </c>
      <c r="AL18" s="4">
        <f>SUMIF($C$3:$AE$3,AL$3,$C18:$AE18)</f>
        <v/>
      </c>
    </row>
    <row r="19">
      <c r="A19" s="13" t="inlineStr">
        <is>
          <t>Ending paid subs</t>
        </is>
      </c>
      <c r="B19" s="2" t="inlineStr">
        <is>
          <t>subs</t>
        </is>
      </c>
      <c r="C19" s="24">
        <f>'Subscription Cohorts'!C17*(1-'Subscription Cohorts'!C14)+'Subscription Cohorts'!C13</f>
        <v/>
      </c>
      <c r="D19" s="24">
        <f>'Subscription Cohorts'!D17*(1-'Subscription Cohorts'!D14)+'Subscription Cohorts'!D13</f>
        <v/>
      </c>
      <c r="E19" s="24">
        <f>'Subscription Cohorts'!E17*(1-'Subscription Cohorts'!E14)+'Subscription Cohorts'!E13</f>
        <v/>
      </c>
      <c r="F19" s="24">
        <f>'Subscription Cohorts'!F17*(1-'Subscription Cohorts'!F14)+'Subscription Cohorts'!F13</f>
        <v/>
      </c>
      <c r="G19" s="24">
        <f>'Subscription Cohorts'!G17*(1-'Subscription Cohorts'!G14)+'Subscription Cohorts'!G13</f>
        <v/>
      </c>
      <c r="H19" s="24">
        <f>'Subscription Cohorts'!H17*(1-'Subscription Cohorts'!H14)+'Subscription Cohorts'!H13</f>
        <v/>
      </c>
      <c r="I19" s="24">
        <f>'Subscription Cohorts'!I17*(1-'Subscription Cohorts'!I14)+'Subscription Cohorts'!I13</f>
        <v/>
      </c>
      <c r="J19" s="24">
        <f>'Subscription Cohorts'!J17*(1-'Subscription Cohorts'!J14)+'Subscription Cohorts'!J13</f>
        <v/>
      </c>
      <c r="K19" s="24">
        <f>'Subscription Cohorts'!K17*(1-'Subscription Cohorts'!K14)+'Subscription Cohorts'!K13</f>
        <v/>
      </c>
      <c r="L19" s="24">
        <f>'Subscription Cohorts'!L17*(1-'Subscription Cohorts'!L14)+'Subscription Cohorts'!L13</f>
        <v/>
      </c>
      <c r="M19" s="24">
        <f>'Subscription Cohorts'!M17*(1-'Subscription Cohorts'!M14)+'Subscription Cohorts'!M13</f>
        <v/>
      </c>
      <c r="N19" s="24">
        <f>'Subscription Cohorts'!N17*(1-'Subscription Cohorts'!N14)+'Subscription Cohorts'!N13</f>
        <v/>
      </c>
      <c r="O19" s="24">
        <f>'Subscription Cohorts'!O17*(1-'Subscription Cohorts'!O14)+'Subscription Cohorts'!O13</f>
        <v/>
      </c>
      <c r="P19" s="24">
        <f>'Subscription Cohorts'!P17*(1-'Subscription Cohorts'!P14)+'Subscription Cohorts'!P13</f>
        <v/>
      </c>
      <c r="Q19" s="24">
        <f>'Subscription Cohorts'!Q17*(1-'Subscription Cohorts'!Q14)+'Subscription Cohorts'!Q13</f>
        <v/>
      </c>
      <c r="R19" s="24">
        <f>'Subscription Cohorts'!R17*(1-'Subscription Cohorts'!R14)+'Subscription Cohorts'!R13</f>
        <v/>
      </c>
      <c r="S19" s="24">
        <f>'Subscription Cohorts'!S17*(1-'Subscription Cohorts'!S14)+'Subscription Cohorts'!S13</f>
        <v/>
      </c>
      <c r="T19" s="24">
        <f>'Subscription Cohorts'!T17*(1-'Subscription Cohorts'!T14)+'Subscription Cohorts'!T13</f>
        <v/>
      </c>
      <c r="U19" s="24">
        <f>'Subscription Cohorts'!U17*(1-'Subscription Cohorts'!U14)+'Subscription Cohorts'!U13</f>
        <v/>
      </c>
      <c r="V19" s="24">
        <f>'Subscription Cohorts'!V17*(1-'Subscription Cohorts'!V14)+'Subscription Cohorts'!V13</f>
        <v/>
      </c>
      <c r="W19" s="24">
        <f>'Subscription Cohorts'!W17*(1-'Subscription Cohorts'!W14)+'Subscription Cohorts'!W13</f>
        <v/>
      </c>
      <c r="X19" s="24">
        <f>'Subscription Cohorts'!X17*(1-'Subscription Cohorts'!X14)+'Subscription Cohorts'!X13</f>
        <v/>
      </c>
      <c r="Y19" s="24">
        <f>'Subscription Cohorts'!Y17*(1-'Subscription Cohorts'!Y14)+'Subscription Cohorts'!Y13</f>
        <v/>
      </c>
      <c r="Z19" s="24">
        <f>'Subscription Cohorts'!Z17*(1-'Subscription Cohorts'!Z14)+'Subscription Cohorts'!Z13</f>
        <v/>
      </c>
      <c r="AA19" s="24">
        <f>'Subscription Cohorts'!AA17*(1-'Subscription Cohorts'!AA14)+'Subscription Cohorts'!AA13</f>
        <v/>
      </c>
      <c r="AB19" s="24">
        <f>'Subscription Cohorts'!AB17*(1-'Subscription Cohorts'!AB14)+'Subscription Cohorts'!AB13</f>
        <v/>
      </c>
      <c r="AC19" s="24">
        <f>'Subscription Cohorts'!AC17*(1-'Subscription Cohorts'!AC14)^12+'Subscription Cohorts'!AC13*(1-(1-'Subscription Cohorts'!AC14)^12)/(12*'Subscription Cohorts'!AC14)</f>
        <v/>
      </c>
      <c r="AD19" s="24">
        <f>'Subscription Cohorts'!AD17*(1-'Subscription Cohorts'!AD14)^12+'Subscription Cohorts'!AD13*(1-(1-'Subscription Cohorts'!AD14)^12)/(12*'Subscription Cohorts'!AD14)</f>
        <v/>
      </c>
      <c r="AE19" s="24">
        <f>'Subscription Cohorts'!AE17*(1-'Subscription Cohorts'!AE14)^12+'Subscription Cohorts'!AE13*(1-(1-'Subscription Cohorts'!AE14)^12)/(12*'Subscription Cohorts'!AE14)</f>
        <v/>
      </c>
      <c r="AG19" s="24">
        <f>D19</f>
        <v/>
      </c>
      <c r="AH19" s="24">
        <f>P19</f>
        <v/>
      </c>
      <c r="AI19" s="24">
        <f>AB19</f>
        <v/>
      </c>
      <c r="AJ19" s="24">
        <f>AC19</f>
        <v/>
      </c>
      <c r="AK19" s="24">
        <f>AD19</f>
        <v/>
      </c>
      <c r="AL19" s="24">
        <f>AE19</f>
        <v/>
      </c>
    </row>
    <row r="20">
      <c r="A20" t="inlineStr">
        <is>
          <t>Average paid subs in period</t>
        </is>
      </c>
      <c r="B20" s="2" t="inlineStr">
        <is>
          <t>subs</t>
        </is>
      </c>
      <c r="C20" s="4">
        <f>('Subscription Cohorts'!C17+'Subscription Cohorts'!C19)/2</f>
        <v/>
      </c>
      <c r="D20" s="4">
        <f>('Subscription Cohorts'!D17+'Subscription Cohorts'!D19)/2</f>
        <v/>
      </c>
      <c r="E20" s="4">
        <f>('Subscription Cohorts'!E17+'Subscription Cohorts'!E19)/2</f>
        <v/>
      </c>
      <c r="F20" s="4">
        <f>('Subscription Cohorts'!F17+'Subscription Cohorts'!F19)/2</f>
        <v/>
      </c>
      <c r="G20" s="4">
        <f>('Subscription Cohorts'!G17+'Subscription Cohorts'!G19)/2</f>
        <v/>
      </c>
      <c r="H20" s="4">
        <f>('Subscription Cohorts'!H17+'Subscription Cohorts'!H19)/2</f>
        <v/>
      </c>
      <c r="I20" s="4">
        <f>('Subscription Cohorts'!I17+'Subscription Cohorts'!I19)/2</f>
        <v/>
      </c>
      <c r="J20" s="4">
        <f>('Subscription Cohorts'!J17+'Subscription Cohorts'!J19)/2</f>
        <v/>
      </c>
      <c r="K20" s="4">
        <f>('Subscription Cohorts'!K17+'Subscription Cohorts'!K19)/2</f>
        <v/>
      </c>
      <c r="L20" s="4">
        <f>('Subscription Cohorts'!L17+'Subscription Cohorts'!L19)/2</f>
        <v/>
      </c>
      <c r="M20" s="4">
        <f>('Subscription Cohorts'!M17+'Subscription Cohorts'!M19)/2</f>
        <v/>
      </c>
      <c r="N20" s="4">
        <f>('Subscription Cohorts'!N17+'Subscription Cohorts'!N19)/2</f>
        <v/>
      </c>
      <c r="O20" s="4">
        <f>('Subscription Cohorts'!O17+'Subscription Cohorts'!O19)/2</f>
        <v/>
      </c>
      <c r="P20" s="4">
        <f>('Subscription Cohorts'!P17+'Subscription Cohorts'!P19)/2</f>
        <v/>
      </c>
      <c r="Q20" s="4">
        <f>('Subscription Cohorts'!Q17+'Subscription Cohorts'!Q19)/2</f>
        <v/>
      </c>
      <c r="R20" s="4">
        <f>('Subscription Cohorts'!R17+'Subscription Cohorts'!R19)/2</f>
        <v/>
      </c>
      <c r="S20" s="4">
        <f>('Subscription Cohorts'!S17+'Subscription Cohorts'!S19)/2</f>
        <v/>
      </c>
      <c r="T20" s="4">
        <f>('Subscription Cohorts'!T17+'Subscription Cohorts'!T19)/2</f>
        <v/>
      </c>
      <c r="U20" s="4">
        <f>('Subscription Cohorts'!U17+'Subscription Cohorts'!U19)/2</f>
        <v/>
      </c>
      <c r="V20" s="4">
        <f>('Subscription Cohorts'!V17+'Subscription Cohorts'!V19)/2</f>
        <v/>
      </c>
      <c r="W20" s="4">
        <f>('Subscription Cohorts'!W17+'Subscription Cohorts'!W19)/2</f>
        <v/>
      </c>
      <c r="X20" s="4">
        <f>('Subscription Cohorts'!X17+'Subscription Cohorts'!X19)/2</f>
        <v/>
      </c>
      <c r="Y20" s="4">
        <f>('Subscription Cohorts'!Y17+'Subscription Cohorts'!Y19)/2</f>
        <v/>
      </c>
      <c r="Z20" s="4">
        <f>('Subscription Cohorts'!Z17+'Subscription Cohorts'!Z19)/2</f>
        <v/>
      </c>
      <c r="AA20" s="4">
        <f>('Subscription Cohorts'!AA17+'Subscription Cohorts'!AA19)/2</f>
        <v/>
      </c>
      <c r="AB20" s="4">
        <f>('Subscription Cohorts'!AB17+'Subscription Cohorts'!AB19)/2</f>
        <v/>
      </c>
      <c r="AC20" s="4">
        <f>('Subscription Cohorts'!AC17+'Subscription Cohorts'!AC19)/2</f>
        <v/>
      </c>
      <c r="AD20" s="4">
        <f>('Subscription Cohorts'!AD17+'Subscription Cohorts'!AD19)/2</f>
        <v/>
      </c>
      <c r="AE20" s="4">
        <f>('Subscription Cohorts'!AE17+'Subscription Cohorts'!AE19)/2</f>
        <v/>
      </c>
      <c r="AG20" s="4">
        <f>SUMIF($C$3:$AE$3,AG$3,$C20:$AE20)/COUNTIF($C$3:$AE$3,AG$3)</f>
        <v/>
      </c>
      <c r="AH20" s="4">
        <f>SUMIF($C$3:$AE$3,AH$3,$C20:$AE20)/COUNTIF($C$3:$AE$3,AH$3)</f>
        <v/>
      </c>
      <c r="AI20" s="4">
        <f>SUMIF($C$3:$AE$3,AI$3,$C20:$AE20)/COUNTIF($C$3:$AE$3,AI$3)</f>
        <v/>
      </c>
      <c r="AJ20" s="4">
        <f>SUMIF($C$3:$AE$3,AJ$3,$C20:$AE20)/COUNTIF($C$3:$AE$3,AJ$3)</f>
        <v/>
      </c>
      <c r="AK20" s="4">
        <f>SUMIF($C$3:$AE$3,AK$3,$C20:$AE20)/COUNTIF($C$3:$AE$3,AK$3)</f>
        <v/>
      </c>
      <c r="AL20" s="4">
        <f>SUMIF($C$3:$AE$3,AL$3,$C20:$AE20)/COUNTIF($C$3:$AE$3,AL$3)</f>
        <v/>
      </c>
    </row>
    <row r="21">
      <c r="A21" t="inlineStr">
        <is>
          <t>Paid subscriber-months</t>
        </is>
      </c>
      <c r="B21" s="2" t="inlineStr">
        <is>
          <t>sub-mo</t>
        </is>
      </c>
      <c r="C21" s="4">
        <f>'Subscription Cohorts'!C20*Timeline!C4</f>
        <v/>
      </c>
      <c r="D21" s="4">
        <f>'Subscription Cohorts'!D20*Timeline!D4</f>
        <v/>
      </c>
      <c r="E21" s="4">
        <f>'Subscription Cohorts'!E20*Timeline!E4</f>
        <v/>
      </c>
      <c r="F21" s="4">
        <f>'Subscription Cohorts'!F20*Timeline!F4</f>
        <v/>
      </c>
      <c r="G21" s="4">
        <f>'Subscription Cohorts'!G20*Timeline!G4</f>
        <v/>
      </c>
      <c r="H21" s="4">
        <f>'Subscription Cohorts'!H20*Timeline!H4</f>
        <v/>
      </c>
      <c r="I21" s="4">
        <f>'Subscription Cohorts'!I20*Timeline!I4</f>
        <v/>
      </c>
      <c r="J21" s="4">
        <f>'Subscription Cohorts'!J20*Timeline!J4</f>
        <v/>
      </c>
      <c r="K21" s="4">
        <f>'Subscription Cohorts'!K20*Timeline!K4</f>
        <v/>
      </c>
      <c r="L21" s="4">
        <f>'Subscription Cohorts'!L20*Timeline!L4</f>
        <v/>
      </c>
      <c r="M21" s="4">
        <f>'Subscription Cohorts'!M20*Timeline!M4</f>
        <v/>
      </c>
      <c r="N21" s="4">
        <f>'Subscription Cohorts'!N20*Timeline!N4</f>
        <v/>
      </c>
      <c r="O21" s="4">
        <f>'Subscription Cohorts'!O20*Timeline!O4</f>
        <v/>
      </c>
      <c r="P21" s="4">
        <f>'Subscription Cohorts'!P20*Timeline!P4</f>
        <v/>
      </c>
      <c r="Q21" s="4">
        <f>'Subscription Cohorts'!Q20*Timeline!Q4</f>
        <v/>
      </c>
      <c r="R21" s="4">
        <f>'Subscription Cohorts'!R20*Timeline!R4</f>
        <v/>
      </c>
      <c r="S21" s="4">
        <f>'Subscription Cohorts'!S20*Timeline!S4</f>
        <v/>
      </c>
      <c r="T21" s="4">
        <f>'Subscription Cohorts'!T20*Timeline!T4</f>
        <v/>
      </c>
      <c r="U21" s="4">
        <f>'Subscription Cohorts'!U20*Timeline!U4</f>
        <v/>
      </c>
      <c r="V21" s="4">
        <f>'Subscription Cohorts'!V20*Timeline!V4</f>
        <v/>
      </c>
      <c r="W21" s="4">
        <f>'Subscription Cohorts'!W20*Timeline!W4</f>
        <v/>
      </c>
      <c r="X21" s="4">
        <f>'Subscription Cohorts'!X20*Timeline!X4</f>
        <v/>
      </c>
      <c r="Y21" s="4">
        <f>'Subscription Cohorts'!Y20*Timeline!Y4</f>
        <v/>
      </c>
      <c r="Z21" s="4">
        <f>'Subscription Cohorts'!Z20*Timeline!Z4</f>
        <v/>
      </c>
      <c r="AA21" s="4">
        <f>'Subscription Cohorts'!AA20*Timeline!AA4</f>
        <v/>
      </c>
      <c r="AB21" s="4">
        <f>'Subscription Cohorts'!AB20*Timeline!AB4</f>
        <v/>
      </c>
      <c r="AC21" s="4">
        <f>'Subscription Cohorts'!AC20*Timeline!AC4</f>
        <v/>
      </c>
      <c r="AD21" s="4">
        <f>'Subscription Cohorts'!AD20*Timeline!AD4</f>
        <v/>
      </c>
      <c r="AE21" s="4">
        <f>'Subscription Cohorts'!AE20*Timeline!AE4</f>
        <v/>
      </c>
      <c r="AG21" s="4">
        <f>SUMIF($C$3:$AE$3,AG$3,$C21:$AE21)</f>
        <v/>
      </c>
      <c r="AH21" s="4">
        <f>SUMIF($C$3:$AE$3,AH$3,$C21:$AE21)</f>
        <v/>
      </c>
      <c r="AI21" s="4">
        <f>SUMIF($C$3:$AE$3,AI$3,$C21:$AE21)</f>
        <v/>
      </c>
      <c r="AJ21" s="4">
        <f>SUMIF($C$3:$AE$3,AJ$3,$C21:$AE21)</f>
        <v/>
      </c>
      <c r="AK21" s="4">
        <f>SUMIF($C$3:$AE$3,AK$3,$C21:$AE21)</f>
        <v/>
      </c>
      <c r="AL21" s="4">
        <f>SUMIF($C$3:$AE$3,AL$3,$C21:$AE21)</f>
        <v/>
      </c>
    </row>
    <row r="22">
      <c r="A22" t="inlineStr">
        <is>
          <t>Realised ARPU per paid sub-month</t>
        </is>
      </c>
      <c r="B22" s="2" t="inlineStr">
        <is>
          <t>$</t>
        </is>
      </c>
      <c r="C22" s="23">
        <f>sub_price*arpu_real*sc_price</f>
        <v/>
      </c>
      <c r="D22" s="23">
        <f>sub_price*arpu_real*sc_price</f>
        <v/>
      </c>
      <c r="E22" s="23">
        <f>sub_price*arpu_real*sc_price</f>
        <v/>
      </c>
      <c r="F22" s="23">
        <f>sub_price*arpu_real*sc_price</f>
        <v/>
      </c>
      <c r="G22" s="23">
        <f>sub_price*arpu_real*sc_price</f>
        <v/>
      </c>
      <c r="H22" s="23">
        <f>sub_price*arpu_real*sc_price</f>
        <v/>
      </c>
      <c r="I22" s="23">
        <f>sub_price*arpu_real*sc_price</f>
        <v/>
      </c>
      <c r="J22" s="23">
        <f>sub_price*arpu_real*sc_price</f>
        <v/>
      </c>
      <c r="K22" s="23">
        <f>sub_price*arpu_real*sc_price</f>
        <v/>
      </c>
      <c r="L22" s="23">
        <f>sub_price*arpu_real*sc_price</f>
        <v/>
      </c>
      <c r="M22" s="23">
        <f>sub_price*arpu_real*sc_price</f>
        <v/>
      </c>
      <c r="N22" s="23">
        <f>sub_price*arpu_real*sc_price</f>
        <v/>
      </c>
      <c r="O22" s="23">
        <f>sub_price*arpu_real*sc_price</f>
        <v/>
      </c>
      <c r="P22" s="23">
        <f>sub_price*arpu_real*sc_price</f>
        <v/>
      </c>
      <c r="Q22" s="23">
        <f>sub_price*arpu_real*sc_price</f>
        <v/>
      </c>
      <c r="R22" s="23">
        <f>sub_price*arpu_real*sc_price</f>
        <v/>
      </c>
      <c r="S22" s="23">
        <f>sub_price*arpu_real*sc_price</f>
        <v/>
      </c>
      <c r="T22" s="23">
        <f>sub_price*arpu_real*sc_price</f>
        <v/>
      </c>
      <c r="U22" s="23">
        <f>sub_price*arpu_real*sc_price</f>
        <v/>
      </c>
      <c r="V22" s="23">
        <f>sub_price*arpu_real*sc_price</f>
        <v/>
      </c>
      <c r="W22" s="23">
        <f>sub_price*arpu_real*sc_price</f>
        <v/>
      </c>
      <c r="X22" s="23">
        <f>sub_price*arpu_real*sc_price</f>
        <v/>
      </c>
      <c r="Y22" s="23">
        <f>sub_price*arpu_real*sc_price</f>
        <v/>
      </c>
      <c r="Z22" s="23">
        <f>sub_price*arpu_real*sc_price</f>
        <v/>
      </c>
      <c r="AA22" s="23">
        <f>sub_price*arpu_real*sc_price</f>
        <v/>
      </c>
      <c r="AB22" s="23">
        <f>sub_price*arpu_real*sc_price</f>
        <v/>
      </c>
      <c r="AC22" s="23">
        <f>sub_price*arpu_real*sc_price</f>
        <v/>
      </c>
      <c r="AD22" s="23">
        <f>sub_price*arpu_real*sc_price</f>
        <v/>
      </c>
      <c r="AE22" s="23">
        <f>sub_price*arpu_real*sc_price</f>
        <v/>
      </c>
    </row>
    <row r="23">
      <c r="A23" s="13" t="inlineStr">
        <is>
          <t>Subscription revenue (Explorer)</t>
        </is>
      </c>
      <c r="B23" s="2" t="inlineStr">
        <is>
          <t>$</t>
        </is>
      </c>
      <c r="C23" s="24">
        <f>'Subscription Cohorts'!C21*'Subscription Cohorts'!C22</f>
        <v/>
      </c>
      <c r="D23" s="24">
        <f>'Subscription Cohorts'!D21*'Subscription Cohorts'!D22</f>
        <v/>
      </c>
      <c r="E23" s="24">
        <f>'Subscription Cohorts'!E21*'Subscription Cohorts'!E22</f>
        <v/>
      </c>
      <c r="F23" s="24">
        <f>'Subscription Cohorts'!F21*'Subscription Cohorts'!F22</f>
        <v/>
      </c>
      <c r="G23" s="24">
        <f>'Subscription Cohorts'!G21*'Subscription Cohorts'!G22</f>
        <v/>
      </c>
      <c r="H23" s="24">
        <f>'Subscription Cohorts'!H21*'Subscription Cohorts'!H22</f>
        <v/>
      </c>
      <c r="I23" s="24">
        <f>'Subscription Cohorts'!I21*'Subscription Cohorts'!I22</f>
        <v/>
      </c>
      <c r="J23" s="24">
        <f>'Subscription Cohorts'!J21*'Subscription Cohorts'!J22</f>
        <v/>
      </c>
      <c r="K23" s="24">
        <f>'Subscription Cohorts'!K21*'Subscription Cohorts'!K22</f>
        <v/>
      </c>
      <c r="L23" s="24">
        <f>'Subscription Cohorts'!L21*'Subscription Cohorts'!L22</f>
        <v/>
      </c>
      <c r="M23" s="24">
        <f>'Subscription Cohorts'!M21*'Subscription Cohorts'!M22</f>
        <v/>
      </c>
      <c r="N23" s="24">
        <f>'Subscription Cohorts'!N21*'Subscription Cohorts'!N22</f>
        <v/>
      </c>
      <c r="O23" s="24">
        <f>'Subscription Cohorts'!O21*'Subscription Cohorts'!O22</f>
        <v/>
      </c>
      <c r="P23" s="24">
        <f>'Subscription Cohorts'!P21*'Subscription Cohorts'!P22</f>
        <v/>
      </c>
      <c r="Q23" s="24">
        <f>'Subscription Cohorts'!Q21*'Subscription Cohorts'!Q22</f>
        <v/>
      </c>
      <c r="R23" s="24">
        <f>'Subscription Cohorts'!R21*'Subscription Cohorts'!R22</f>
        <v/>
      </c>
      <c r="S23" s="24">
        <f>'Subscription Cohorts'!S21*'Subscription Cohorts'!S22</f>
        <v/>
      </c>
      <c r="T23" s="24">
        <f>'Subscription Cohorts'!T21*'Subscription Cohorts'!T22</f>
        <v/>
      </c>
      <c r="U23" s="24">
        <f>'Subscription Cohorts'!U21*'Subscription Cohorts'!U22</f>
        <v/>
      </c>
      <c r="V23" s="24">
        <f>'Subscription Cohorts'!V21*'Subscription Cohorts'!V22</f>
        <v/>
      </c>
      <c r="W23" s="24">
        <f>'Subscription Cohorts'!W21*'Subscription Cohorts'!W22</f>
        <v/>
      </c>
      <c r="X23" s="24">
        <f>'Subscription Cohorts'!X21*'Subscription Cohorts'!X22</f>
        <v/>
      </c>
      <c r="Y23" s="24">
        <f>'Subscription Cohorts'!Y21*'Subscription Cohorts'!Y22</f>
        <v/>
      </c>
      <c r="Z23" s="24">
        <f>'Subscription Cohorts'!Z21*'Subscription Cohorts'!Z22</f>
        <v/>
      </c>
      <c r="AA23" s="24">
        <f>'Subscription Cohorts'!AA21*'Subscription Cohorts'!AA22</f>
        <v/>
      </c>
      <c r="AB23" s="24">
        <f>'Subscription Cohorts'!AB21*'Subscription Cohorts'!AB22</f>
        <v/>
      </c>
      <c r="AC23" s="24">
        <f>'Subscription Cohorts'!AC21*'Subscription Cohorts'!AC22</f>
        <v/>
      </c>
      <c r="AD23" s="24">
        <f>'Subscription Cohorts'!AD21*'Subscription Cohorts'!AD22</f>
        <v/>
      </c>
      <c r="AE23" s="24">
        <f>'Subscription Cohorts'!AE21*'Subscription Cohorts'!AE22</f>
        <v/>
      </c>
      <c r="AG23" s="24">
        <f>SUMIF($C$3:$AE$3,AG$3,$C23:$AE23)</f>
        <v/>
      </c>
      <c r="AH23" s="24">
        <f>SUMIF($C$3:$AE$3,AH$3,$C23:$AE23)</f>
        <v/>
      </c>
      <c r="AI23" s="24">
        <f>SUMIF($C$3:$AE$3,AI$3,$C23:$AE23)</f>
        <v/>
      </c>
      <c r="AJ23" s="24">
        <f>SUMIF($C$3:$AE$3,AJ$3,$C23:$AE23)</f>
        <v/>
      </c>
      <c r="AK23" s="24">
        <f>SUMIF($C$3:$AE$3,AK$3,$C23:$AE23)</f>
        <v/>
      </c>
      <c r="AL23" s="24">
        <f>SUMIF($C$3:$AE$3,AL$3,$C23:$AE23)</f>
        <v/>
      </c>
    </row>
    <row r="24">
      <c r="A24" t="inlineStr">
        <is>
          <t>Subscription ARR at period end (ending subs x ARPU x 12)</t>
        </is>
      </c>
      <c r="B24" s="2" t="inlineStr">
        <is>
          <t>$</t>
        </is>
      </c>
      <c r="C24" s="4">
        <f>'Subscription Cohorts'!C19*'Subscription Cohorts'!C22*12</f>
        <v/>
      </c>
      <c r="D24" s="4">
        <f>'Subscription Cohorts'!D19*'Subscription Cohorts'!D22*12</f>
        <v/>
      </c>
      <c r="E24" s="4">
        <f>'Subscription Cohorts'!E19*'Subscription Cohorts'!E22*12</f>
        <v/>
      </c>
      <c r="F24" s="4">
        <f>'Subscription Cohorts'!F19*'Subscription Cohorts'!F22*12</f>
        <v/>
      </c>
      <c r="G24" s="4">
        <f>'Subscription Cohorts'!G19*'Subscription Cohorts'!G22*12</f>
        <v/>
      </c>
      <c r="H24" s="4">
        <f>'Subscription Cohorts'!H19*'Subscription Cohorts'!H22*12</f>
        <v/>
      </c>
      <c r="I24" s="4">
        <f>'Subscription Cohorts'!I19*'Subscription Cohorts'!I22*12</f>
        <v/>
      </c>
      <c r="J24" s="4">
        <f>'Subscription Cohorts'!J19*'Subscription Cohorts'!J22*12</f>
        <v/>
      </c>
      <c r="K24" s="4">
        <f>'Subscription Cohorts'!K19*'Subscription Cohorts'!K22*12</f>
        <v/>
      </c>
      <c r="L24" s="4">
        <f>'Subscription Cohorts'!L19*'Subscription Cohorts'!L22*12</f>
        <v/>
      </c>
      <c r="M24" s="4">
        <f>'Subscription Cohorts'!M19*'Subscription Cohorts'!M22*12</f>
        <v/>
      </c>
      <c r="N24" s="4">
        <f>'Subscription Cohorts'!N19*'Subscription Cohorts'!N22*12</f>
        <v/>
      </c>
      <c r="O24" s="4">
        <f>'Subscription Cohorts'!O19*'Subscription Cohorts'!O22*12</f>
        <v/>
      </c>
      <c r="P24" s="4">
        <f>'Subscription Cohorts'!P19*'Subscription Cohorts'!P22*12</f>
        <v/>
      </c>
      <c r="Q24" s="4">
        <f>'Subscription Cohorts'!Q19*'Subscription Cohorts'!Q22*12</f>
        <v/>
      </c>
      <c r="R24" s="4">
        <f>'Subscription Cohorts'!R19*'Subscription Cohorts'!R22*12</f>
        <v/>
      </c>
      <c r="S24" s="4">
        <f>'Subscription Cohorts'!S19*'Subscription Cohorts'!S22*12</f>
        <v/>
      </c>
      <c r="T24" s="4">
        <f>'Subscription Cohorts'!T19*'Subscription Cohorts'!T22*12</f>
        <v/>
      </c>
      <c r="U24" s="4">
        <f>'Subscription Cohorts'!U19*'Subscription Cohorts'!U22*12</f>
        <v/>
      </c>
      <c r="V24" s="4">
        <f>'Subscription Cohorts'!V19*'Subscription Cohorts'!V22*12</f>
        <v/>
      </c>
      <c r="W24" s="4">
        <f>'Subscription Cohorts'!W19*'Subscription Cohorts'!W22*12</f>
        <v/>
      </c>
      <c r="X24" s="4">
        <f>'Subscription Cohorts'!X19*'Subscription Cohorts'!X22*12</f>
        <v/>
      </c>
      <c r="Y24" s="4">
        <f>'Subscription Cohorts'!Y19*'Subscription Cohorts'!Y22*12</f>
        <v/>
      </c>
      <c r="Z24" s="4">
        <f>'Subscription Cohorts'!Z19*'Subscription Cohorts'!Z22*12</f>
        <v/>
      </c>
      <c r="AA24" s="4">
        <f>'Subscription Cohorts'!AA19*'Subscription Cohorts'!AA22*12</f>
        <v/>
      </c>
      <c r="AB24" s="4">
        <f>'Subscription Cohorts'!AB19*'Subscription Cohorts'!AB22*12</f>
        <v/>
      </c>
      <c r="AC24" s="4">
        <f>'Subscription Cohorts'!AC19*'Subscription Cohorts'!AC22*12</f>
        <v/>
      </c>
      <c r="AD24" s="4">
        <f>'Subscription Cohorts'!AD19*'Subscription Cohorts'!AD22*12</f>
        <v/>
      </c>
      <c r="AE24" s="4">
        <f>'Subscription Cohorts'!AE19*'Subscription Cohorts'!AE22*12</f>
        <v/>
      </c>
      <c r="AG24" s="4">
        <f>D24</f>
        <v/>
      </c>
      <c r="AH24" s="4">
        <f>P24</f>
        <v/>
      </c>
      <c r="AI24" s="4">
        <f>AB24</f>
        <v/>
      </c>
      <c r="AJ24" s="4">
        <f>AC24</f>
        <v/>
      </c>
      <c r="AK24" s="4">
        <f>AD24</f>
        <v/>
      </c>
      <c r="AL24" s="4">
        <f>AE24</f>
        <v/>
      </c>
    </row>
    <row r="26">
      <c r="A26" s="8" t="inlineStr">
        <is>
          <t>Trials &amp; installed base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t="inlineStr">
        <is>
          <t>Trial user-months (devices inside their free 3 months)</t>
        </is>
      </c>
      <c r="B27" s="2" t="inlineStr">
        <is>
          <t>user-mo</t>
        </is>
      </c>
      <c r="C27" s="4">
        <f>'Subscription Cohorts'!C10</f>
        <v/>
      </c>
      <c r="D27" s="4">
        <f>'Subscription Cohorts'!C10+'Subscription Cohorts'!D10</f>
        <v/>
      </c>
      <c r="E27" s="4">
        <f>'Subscription Cohorts'!C10+'Subscription Cohorts'!D10+'Subscription Cohorts'!E10</f>
        <v/>
      </c>
      <c r="F27" s="4">
        <f>'Subscription Cohorts'!D10+'Subscription Cohorts'!E10+'Subscription Cohorts'!F10</f>
        <v/>
      </c>
      <c r="G27" s="4">
        <f>'Subscription Cohorts'!E10+'Subscription Cohorts'!F10+'Subscription Cohorts'!G10</f>
        <v/>
      </c>
      <c r="H27" s="4">
        <f>'Subscription Cohorts'!F10+'Subscription Cohorts'!G10+'Subscription Cohorts'!H10</f>
        <v/>
      </c>
      <c r="I27" s="4">
        <f>'Subscription Cohorts'!G10+'Subscription Cohorts'!H10+'Subscription Cohorts'!I10</f>
        <v/>
      </c>
      <c r="J27" s="4">
        <f>'Subscription Cohorts'!H10+'Subscription Cohorts'!I10+'Subscription Cohorts'!J10</f>
        <v/>
      </c>
      <c r="K27" s="4">
        <f>'Subscription Cohorts'!I10+'Subscription Cohorts'!J10+'Subscription Cohorts'!K10</f>
        <v/>
      </c>
      <c r="L27" s="4">
        <f>'Subscription Cohorts'!J10+'Subscription Cohorts'!K10+'Subscription Cohorts'!L10</f>
        <v/>
      </c>
      <c r="M27" s="4">
        <f>'Subscription Cohorts'!K10+'Subscription Cohorts'!L10+'Subscription Cohorts'!M10</f>
        <v/>
      </c>
      <c r="N27" s="4">
        <f>'Subscription Cohorts'!L10+'Subscription Cohorts'!M10+'Subscription Cohorts'!N10</f>
        <v/>
      </c>
      <c r="O27" s="4">
        <f>'Subscription Cohorts'!M10+'Subscription Cohorts'!N10+'Subscription Cohorts'!O10</f>
        <v/>
      </c>
      <c r="P27" s="4">
        <f>'Subscription Cohorts'!N10+'Subscription Cohorts'!O10+'Subscription Cohorts'!P10</f>
        <v/>
      </c>
      <c r="Q27" s="4">
        <f>'Subscription Cohorts'!O10+'Subscription Cohorts'!P10+'Subscription Cohorts'!Q10</f>
        <v/>
      </c>
      <c r="R27" s="4">
        <f>'Subscription Cohorts'!P10+'Subscription Cohorts'!Q10+'Subscription Cohorts'!R10</f>
        <v/>
      </c>
      <c r="S27" s="4">
        <f>'Subscription Cohorts'!Q10+'Subscription Cohorts'!R10+'Subscription Cohorts'!S10</f>
        <v/>
      </c>
      <c r="T27" s="4">
        <f>'Subscription Cohorts'!R10+'Subscription Cohorts'!S10+'Subscription Cohorts'!T10</f>
        <v/>
      </c>
      <c r="U27" s="4">
        <f>'Subscription Cohorts'!S10+'Subscription Cohorts'!T10+'Subscription Cohorts'!U10</f>
        <v/>
      </c>
      <c r="V27" s="4">
        <f>'Subscription Cohorts'!T10+'Subscription Cohorts'!U10+'Subscription Cohorts'!V10</f>
        <v/>
      </c>
      <c r="W27" s="4">
        <f>'Subscription Cohorts'!U10+'Subscription Cohorts'!V10+'Subscription Cohorts'!W10</f>
        <v/>
      </c>
      <c r="X27" s="4">
        <f>'Subscription Cohorts'!V10+'Subscription Cohorts'!W10+'Subscription Cohorts'!X10</f>
        <v/>
      </c>
      <c r="Y27" s="4">
        <f>'Subscription Cohorts'!W10+'Subscription Cohorts'!X10+'Subscription Cohorts'!Y10</f>
        <v/>
      </c>
      <c r="Z27" s="4">
        <f>'Subscription Cohorts'!X10+'Subscription Cohorts'!Y10+'Subscription Cohorts'!Z10</f>
        <v/>
      </c>
      <c r="AA27" s="4">
        <f>'Subscription Cohorts'!Y10+'Subscription Cohorts'!Z10+'Subscription Cohorts'!AA10</f>
        <v/>
      </c>
      <c r="AB27" s="4">
        <f>'Subscription Cohorts'!Z10+'Subscription Cohorts'!AA10+'Subscription Cohorts'!AB10</f>
        <v/>
      </c>
      <c r="AC27" s="4">
        <f>'Subscription Cohorts'!AC10*trial_months</f>
        <v/>
      </c>
      <c r="AD27" s="4">
        <f>'Subscription Cohorts'!AD10*trial_months</f>
        <v/>
      </c>
      <c r="AE27" s="4">
        <f>'Subscription Cohorts'!AE10*trial_months</f>
        <v/>
      </c>
      <c r="AG27" s="4">
        <f>SUMIF($C$3:$AE$3,AG$3,$C27:$AE27)</f>
        <v/>
      </c>
      <c r="AH27" s="4">
        <f>SUMIF($C$3:$AE$3,AH$3,$C27:$AE27)</f>
        <v/>
      </c>
      <c r="AI27" s="4">
        <f>SUMIF($C$3:$AE$3,AI$3,$C27:$AE27)</f>
        <v/>
      </c>
      <c r="AJ27" s="4">
        <f>SUMIF($C$3:$AE$3,AJ$3,$C27:$AE27)</f>
        <v/>
      </c>
      <c r="AK27" s="4">
        <f>SUMIF($C$3:$AE$3,AK$3,$C27:$AE27)</f>
        <v/>
      </c>
      <c r="AL27" s="4">
        <f>SUMIF($C$3:$AE$3,AL$3,$C27:$AE27)</f>
        <v/>
      </c>
    </row>
    <row r="28">
      <c r="A28" t="inlineStr">
        <is>
          <t>Active devices -- beginning</t>
        </is>
      </c>
      <c r="B28" s="2" t="inlineStr">
        <is>
          <t>devices</t>
        </is>
      </c>
      <c r="C28" s="4">
        <f>0</f>
        <v/>
      </c>
      <c r="D28" s="4">
        <f>C29</f>
        <v/>
      </c>
      <c r="E28" s="4">
        <f>D29</f>
        <v/>
      </c>
      <c r="F28" s="4">
        <f>E29</f>
        <v/>
      </c>
      <c r="G28" s="4">
        <f>F29</f>
        <v/>
      </c>
      <c r="H28" s="4">
        <f>G29</f>
        <v/>
      </c>
      <c r="I28" s="4">
        <f>H29</f>
        <v/>
      </c>
      <c r="J28" s="4">
        <f>I29</f>
        <v/>
      </c>
      <c r="K28" s="4">
        <f>J29</f>
        <v/>
      </c>
      <c r="L28" s="4">
        <f>K29</f>
        <v/>
      </c>
      <c r="M28" s="4">
        <f>L29</f>
        <v/>
      </c>
      <c r="N28" s="4">
        <f>M29</f>
        <v/>
      </c>
      <c r="O28" s="4">
        <f>N29</f>
        <v/>
      </c>
      <c r="P28" s="4">
        <f>O29</f>
        <v/>
      </c>
      <c r="Q28" s="4">
        <f>P29</f>
        <v/>
      </c>
      <c r="R28" s="4">
        <f>Q29</f>
        <v/>
      </c>
      <c r="S28" s="4">
        <f>R29</f>
        <v/>
      </c>
      <c r="T28" s="4">
        <f>S29</f>
        <v/>
      </c>
      <c r="U28" s="4">
        <f>T29</f>
        <v/>
      </c>
      <c r="V28" s="4">
        <f>U29</f>
        <v/>
      </c>
      <c r="W28" s="4">
        <f>V29</f>
        <v/>
      </c>
      <c r="X28" s="4">
        <f>W29</f>
        <v/>
      </c>
      <c r="Y28" s="4">
        <f>X29</f>
        <v/>
      </c>
      <c r="Z28" s="4">
        <f>Y29</f>
        <v/>
      </c>
      <c r="AA28" s="4">
        <f>Z29</f>
        <v/>
      </c>
      <c r="AB28" s="4">
        <f>AA29</f>
        <v/>
      </c>
      <c r="AC28" s="4">
        <f>AB29</f>
        <v/>
      </c>
      <c r="AD28" s="4">
        <f>AC29</f>
        <v/>
      </c>
      <c r="AE28" s="4">
        <f>AD29</f>
        <v/>
      </c>
    </row>
    <row r="29">
      <c r="A29" s="13" t="inlineStr">
        <is>
          <t>Active devices -- ending</t>
        </is>
      </c>
      <c r="B29" s="2" t="inlineStr">
        <is>
          <t>devices</t>
        </is>
      </c>
      <c r="C29" s="24">
        <f>'Subscription Cohorts'!C28*(1-device_inactive)+'Subscription Cohorts'!C10</f>
        <v/>
      </c>
      <c r="D29" s="24">
        <f>'Subscription Cohorts'!D28*(1-device_inactive)+'Subscription Cohorts'!D10</f>
        <v/>
      </c>
      <c r="E29" s="24">
        <f>'Subscription Cohorts'!E28*(1-device_inactive)+'Subscription Cohorts'!E10</f>
        <v/>
      </c>
      <c r="F29" s="24">
        <f>'Subscription Cohorts'!F28*(1-device_inactive)+'Subscription Cohorts'!F10</f>
        <v/>
      </c>
      <c r="G29" s="24">
        <f>'Subscription Cohorts'!G28*(1-device_inactive)+'Subscription Cohorts'!G10</f>
        <v/>
      </c>
      <c r="H29" s="24">
        <f>'Subscription Cohorts'!H28*(1-device_inactive)+'Subscription Cohorts'!H10</f>
        <v/>
      </c>
      <c r="I29" s="24">
        <f>'Subscription Cohorts'!I28*(1-device_inactive)+'Subscription Cohorts'!I10</f>
        <v/>
      </c>
      <c r="J29" s="24">
        <f>'Subscription Cohorts'!J28*(1-device_inactive)+'Subscription Cohorts'!J10</f>
        <v/>
      </c>
      <c r="K29" s="24">
        <f>'Subscription Cohorts'!K28*(1-device_inactive)+'Subscription Cohorts'!K10</f>
        <v/>
      </c>
      <c r="L29" s="24">
        <f>'Subscription Cohorts'!L28*(1-device_inactive)+'Subscription Cohorts'!L10</f>
        <v/>
      </c>
      <c r="M29" s="24">
        <f>'Subscription Cohorts'!M28*(1-device_inactive)+'Subscription Cohorts'!M10</f>
        <v/>
      </c>
      <c r="N29" s="24">
        <f>'Subscription Cohorts'!N28*(1-device_inactive)+'Subscription Cohorts'!N10</f>
        <v/>
      </c>
      <c r="O29" s="24">
        <f>'Subscription Cohorts'!O28*(1-device_inactive)+'Subscription Cohorts'!O10</f>
        <v/>
      </c>
      <c r="P29" s="24">
        <f>'Subscription Cohorts'!P28*(1-device_inactive)+'Subscription Cohorts'!P10</f>
        <v/>
      </c>
      <c r="Q29" s="24">
        <f>'Subscription Cohorts'!Q28*(1-device_inactive)+'Subscription Cohorts'!Q10</f>
        <v/>
      </c>
      <c r="R29" s="24">
        <f>'Subscription Cohorts'!R28*(1-device_inactive)+'Subscription Cohorts'!R10</f>
        <v/>
      </c>
      <c r="S29" s="24">
        <f>'Subscription Cohorts'!S28*(1-device_inactive)+'Subscription Cohorts'!S10</f>
        <v/>
      </c>
      <c r="T29" s="24">
        <f>'Subscription Cohorts'!T28*(1-device_inactive)+'Subscription Cohorts'!T10</f>
        <v/>
      </c>
      <c r="U29" s="24">
        <f>'Subscription Cohorts'!U28*(1-device_inactive)+'Subscription Cohorts'!U10</f>
        <v/>
      </c>
      <c r="V29" s="24">
        <f>'Subscription Cohorts'!V28*(1-device_inactive)+'Subscription Cohorts'!V10</f>
        <v/>
      </c>
      <c r="W29" s="24">
        <f>'Subscription Cohorts'!W28*(1-device_inactive)+'Subscription Cohorts'!W10</f>
        <v/>
      </c>
      <c r="X29" s="24">
        <f>'Subscription Cohorts'!X28*(1-device_inactive)+'Subscription Cohorts'!X10</f>
        <v/>
      </c>
      <c r="Y29" s="24">
        <f>'Subscription Cohorts'!Y28*(1-device_inactive)+'Subscription Cohorts'!Y10</f>
        <v/>
      </c>
      <c r="Z29" s="24">
        <f>'Subscription Cohorts'!Z28*(1-device_inactive)+'Subscription Cohorts'!Z10</f>
        <v/>
      </c>
      <c r="AA29" s="24">
        <f>'Subscription Cohorts'!AA28*(1-device_inactive)+'Subscription Cohorts'!AA10</f>
        <v/>
      </c>
      <c r="AB29" s="24">
        <f>'Subscription Cohorts'!AB28*(1-device_inactive)+'Subscription Cohorts'!AB10</f>
        <v/>
      </c>
      <c r="AC29" s="24">
        <f>'Subscription Cohorts'!AC28*(1-device_inactive)^12+'Subscription Cohorts'!AC10*(1-(1-device_inactive)^12)/(12*device_inactive)</f>
        <v/>
      </c>
      <c r="AD29" s="24">
        <f>'Subscription Cohorts'!AD28*(1-device_inactive)^12+'Subscription Cohorts'!AD10*(1-(1-device_inactive)^12)/(12*device_inactive)</f>
        <v/>
      </c>
      <c r="AE29" s="24">
        <f>'Subscription Cohorts'!AE28*(1-device_inactive)^12+'Subscription Cohorts'!AE10*(1-(1-device_inactive)^12)/(12*device_inactive)</f>
        <v/>
      </c>
      <c r="AG29" s="24">
        <f>D29</f>
        <v/>
      </c>
      <c r="AH29" s="24">
        <f>P29</f>
        <v/>
      </c>
      <c r="AI29" s="24">
        <f>AB29</f>
        <v/>
      </c>
      <c r="AJ29" s="24">
        <f>AC29</f>
        <v/>
      </c>
      <c r="AK29" s="24">
        <f>AD29</f>
        <v/>
      </c>
      <c r="AL29" s="24">
        <f>AE29</f>
        <v/>
      </c>
    </row>
    <row r="30">
      <c r="A30" t="inlineStr">
        <is>
          <t>Active devices -- average</t>
        </is>
      </c>
      <c r="B30" s="2" t="inlineStr">
        <is>
          <t>devices</t>
        </is>
      </c>
      <c r="C30" s="4">
        <f>('Subscription Cohorts'!C28+'Subscription Cohorts'!C29)/2</f>
        <v/>
      </c>
      <c r="D30" s="4">
        <f>('Subscription Cohorts'!D28+'Subscription Cohorts'!D29)/2</f>
        <v/>
      </c>
      <c r="E30" s="4">
        <f>('Subscription Cohorts'!E28+'Subscription Cohorts'!E29)/2</f>
        <v/>
      </c>
      <c r="F30" s="4">
        <f>('Subscription Cohorts'!F28+'Subscription Cohorts'!F29)/2</f>
        <v/>
      </c>
      <c r="G30" s="4">
        <f>('Subscription Cohorts'!G28+'Subscription Cohorts'!G29)/2</f>
        <v/>
      </c>
      <c r="H30" s="4">
        <f>('Subscription Cohorts'!H28+'Subscription Cohorts'!H29)/2</f>
        <v/>
      </c>
      <c r="I30" s="4">
        <f>('Subscription Cohorts'!I28+'Subscription Cohorts'!I29)/2</f>
        <v/>
      </c>
      <c r="J30" s="4">
        <f>('Subscription Cohorts'!J28+'Subscription Cohorts'!J29)/2</f>
        <v/>
      </c>
      <c r="K30" s="4">
        <f>('Subscription Cohorts'!K28+'Subscription Cohorts'!K29)/2</f>
        <v/>
      </c>
      <c r="L30" s="4">
        <f>('Subscription Cohorts'!L28+'Subscription Cohorts'!L29)/2</f>
        <v/>
      </c>
      <c r="M30" s="4">
        <f>('Subscription Cohorts'!M28+'Subscription Cohorts'!M29)/2</f>
        <v/>
      </c>
      <c r="N30" s="4">
        <f>('Subscription Cohorts'!N28+'Subscription Cohorts'!N29)/2</f>
        <v/>
      </c>
      <c r="O30" s="4">
        <f>('Subscription Cohorts'!O28+'Subscription Cohorts'!O29)/2</f>
        <v/>
      </c>
      <c r="P30" s="4">
        <f>('Subscription Cohorts'!P28+'Subscription Cohorts'!P29)/2</f>
        <v/>
      </c>
      <c r="Q30" s="4">
        <f>('Subscription Cohorts'!Q28+'Subscription Cohorts'!Q29)/2</f>
        <v/>
      </c>
      <c r="R30" s="4">
        <f>('Subscription Cohorts'!R28+'Subscription Cohorts'!R29)/2</f>
        <v/>
      </c>
      <c r="S30" s="4">
        <f>('Subscription Cohorts'!S28+'Subscription Cohorts'!S29)/2</f>
        <v/>
      </c>
      <c r="T30" s="4">
        <f>('Subscription Cohorts'!T28+'Subscription Cohorts'!T29)/2</f>
        <v/>
      </c>
      <c r="U30" s="4">
        <f>('Subscription Cohorts'!U28+'Subscription Cohorts'!U29)/2</f>
        <v/>
      </c>
      <c r="V30" s="4">
        <f>('Subscription Cohorts'!V28+'Subscription Cohorts'!V29)/2</f>
        <v/>
      </c>
      <c r="W30" s="4">
        <f>('Subscription Cohorts'!W28+'Subscription Cohorts'!W29)/2</f>
        <v/>
      </c>
      <c r="X30" s="4">
        <f>('Subscription Cohorts'!X28+'Subscription Cohorts'!X29)/2</f>
        <v/>
      </c>
      <c r="Y30" s="4">
        <f>('Subscription Cohorts'!Y28+'Subscription Cohorts'!Y29)/2</f>
        <v/>
      </c>
      <c r="Z30" s="4">
        <f>('Subscription Cohorts'!Z28+'Subscription Cohorts'!Z29)/2</f>
        <v/>
      </c>
      <c r="AA30" s="4">
        <f>('Subscription Cohorts'!AA28+'Subscription Cohorts'!AA29)/2</f>
        <v/>
      </c>
      <c r="AB30" s="4">
        <f>('Subscription Cohorts'!AB28+'Subscription Cohorts'!AB29)/2</f>
        <v/>
      </c>
      <c r="AC30" s="4">
        <f>('Subscription Cohorts'!AC28+'Subscription Cohorts'!AC29)/2</f>
        <v/>
      </c>
      <c r="AD30" s="4">
        <f>('Subscription Cohorts'!AD28+'Subscription Cohorts'!AD29)/2</f>
        <v/>
      </c>
      <c r="AE30" s="4">
        <f>('Subscription Cohorts'!AE28+'Subscription Cohorts'!AE29)/2</f>
        <v/>
      </c>
      <c r="AG30" s="4">
        <f>SUMIF($C$3:$AE$3,AG$3,$C30:$AE30)/COUNTIF($C$3:$AE$3,AG$3)</f>
        <v/>
      </c>
      <c r="AH30" s="4">
        <f>SUMIF($C$3:$AE$3,AH$3,$C30:$AE30)/COUNTIF($C$3:$AE$3,AH$3)</f>
        <v/>
      </c>
      <c r="AI30" s="4">
        <f>SUMIF($C$3:$AE$3,AI$3,$C30:$AE30)/COUNTIF($C$3:$AE$3,AI$3)</f>
        <v/>
      </c>
      <c r="AJ30" s="4">
        <f>SUMIF($C$3:$AE$3,AJ$3,$C30:$AE30)/COUNTIF($C$3:$AE$3,AJ$3)</f>
        <v/>
      </c>
      <c r="AK30" s="4">
        <f>SUMIF($C$3:$AE$3,AK$3,$C30:$AE30)/COUNTIF($C$3:$AE$3,AK$3)</f>
        <v/>
      </c>
      <c r="AL30" s="4">
        <f>SUMIF($C$3:$AE$3,AL$3,$C30:$AE30)/COUNTIF($C$3:$AE$3,AL$3)</f>
        <v/>
      </c>
    </row>
    <row r="31">
      <c r="A31" t="inlineStr">
        <is>
          <t>Active device-months</t>
        </is>
      </c>
      <c r="B31" s="2" t="inlineStr">
        <is>
          <t>dev-mo</t>
        </is>
      </c>
      <c r="C31" s="4">
        <f>'Subscription Cohorts'!C30*Timeline!C4</f>
        <v/>
      </c>
      <c r="D31" s="4">
        <f>'Subscription Cohorts'!D30*Timeline!D4</f>
        <v/>
      </c>
      <c r="E31" s="4">
        <f>'Subscription Cohorts'!E30*Timeline!E4</f>
        <v/>
      </c>
      <c r="F31" s="4">
        <f>'Subscription Cohorts'!F30*Timeline!F4</f>
        <v/>
      </c>
      <c r="G31" s="4">
        <f>'Subscription Cohorts'!G30*Timeline!G4</f>
        <v/>
      </c>
      <c r="H31" s="4">
        <f>'Subscription Cohorts'!H30*Timeline!H4</f>
        <v/>
      </c>
      <c r="I31" s="4">
        <f>'Subscription Cohorts'!I30*Timeline!I4</f>
        <v/>
      </c>
      <c r="J31" s="4">
        <f>'Subscription Cohorts'!J30*Timeline!J4</f>
        <v/>
      </c>
      <c r="K31" s="4">
        <f>'Subscription Cohorts'!K30*Timeline!K4</f>
        <v/>
      </c>
      <c r="L31" s="4">
        <f>'Subscription Cohorts'!L30*Timeline!L4</f>
        <v/>
      </c>
      <c r="M31" s="4">
        <f>'Subscription Cohorts'!M30*Timeline!M4</f>
        <v/>
      </c>
      <c r="N31" s="4">
        <f>'Subscription Cohorts'!N30*Timeline!N4</f>
        <v/>
      </c>
      <c r="O31" s="4">
        <f>'Subscription Cohorts'!O30*Timeline!O4</f>
        <v/>
      </c>
      <c r="P31" s="4">
        <f>'Subscription Cohorts'!P30*Timeline!P4</f>
        <v/>
      </c>
      <c r="Q31" s="4">
        <f>'Subscription Cohorts'!Q30*Timeline!Q4</f>
        <v/>
      </c>
      <c r="R31" s="4">
        <f>'Subscription Cohorts'!R30*Timeline!R4</f>
        <v/>
      </c>
      <c r="S31" s="4">
        <f>'Subscription Cohorts'!S30*Timeline!S4</f>
        <v/>
      </c>
      <c r="T31" s="4">
        <f>'Subscription Cohorts'!T30*Timeline!T4</f>
        <v/>
      </c>
      <c r="U31" s="4">
        <f>'Subscription Cohorts'!U30*Timeline!U4</f>
        <v/>
      </c>
      <c r="V31" s="4">
        <f>'Subscription Cohorts'!V30*Timeline!V4</f>
        <v/>
      </c>
      <c r="W31" s="4">
        <f>'Subscription Cohorts'!W30*Timeline!W4</f>
        <v/>
      </c>
      <c r="X31" s="4">
        <f>'Subscription Cohorts'!X30*Timeline!X4</f>
        <v/>
      </c>
      <c r="Y31" s="4">
        <f>'Subscription Cohorts'!Y30*Timeline!Y4</f>
        <v/>
      </c>
      <c r="Z31" s="4">
        <f>'Subscription Cohorts'!Z30*Timeline!Z4</f>
        <v/>
      </c>
      <c r="AA31" s="4">
        <f>'Subscription Cohorts'!AA30*Timeline!AA4</f>
        <v/>
      </c>
      <c r="AB31" s="4">
        <f>'Subscription Cohorts'!AB30*Timeline!AB4</f>
        <v/>
      </c>
      <c r="AC31" s="4">
        <f>'Subscription Cohorts'!AC30*Timeline!AC4</f>
        <v/>
      </c>
      <c r="AD31" s="4">
        <f>'Subscription Cohorts'!AD30*Timeline!AD4</f>
        <v/>
      </c>
      <c r="AE31" s="4">
        <f>'Subscription Cohorts'!AE30*Timeline!AE4</f>
        <v/>
      </c>
      <c r="AG31" s="4">
        <f>SUMIF($C$3:$AE$3,AG$3,$C31:$AE31)</f>
        <v/>
      </c>
      <c r="AH31" s="4">
        <f>SUMIF($C$3:$AE$3,AH$3,$C31:$AE31)</f>
        <v/>
      </c>
      <c r="AI31" s="4">
        <f>SUMIF($C$3:$AE$3,AI$3,$C31:$AE31)</f>
        <v/>
      </c>
      <c r="AJ31" s="4">
        <f>SUMIF($C$3:$AE$3,AJ$3,$C31:$AE31)</f>
        <v/>
      </c>
      <c r="AK31" s="4">
        <f>SUMIF($C$3:$AE$3,AK$3,$C31:$AE31)</f>
        <v/>
      </c>
      <c r="AL31" s="4">
        <f>SUMIF($C$3:$AE$3,AL$3,$C31:$AE31)</f>
        <v/>
      </c>
    </row>
    <row r="32">
      <c r="A32" t="inlineStr">
        <is>
          <t>eSIM device share (Square + Atlas, period mix)</t>
        </is>
      </c>
      <c r="B32" s="2" t="inlineStr">
        <is>
          <t>%</t>
        </is>
      </c>
      <c r="C32" s="5">
        <f>Assumptions!C104+Assumptions!C105</f>
        <v/>
      </c>
      <c r="D32" s="5">
        <f>Assumptions!D104+Assumptions!D105</f>
        <v/>
      </c>
      <c r="E32" s="5">
        <f>Assumptions!E104+Assumptions!E105</f>
        <v/>
      </c>
      <c r="F32" s="5">
        <f>Assumptions!F104+Assumptions!F105</f>
        <v/>
      </c>
      <c r="G32" s="5">
        <f>Assumptions!G104+Assumptions!G105</f>
        <v/>
      </c>
      <c r="H32" s="5">
        <f>Assumptions!H104+Assumptions!H105</f>
        <v/>
      </c>
      <c r="I32" s="5">
        <f>Assumptions!I104+Assumptions!I105</f>
        <v/>
      </c>
      <c r="J32" s="5">
        <f>Assumptions!J104+Assumptions!J105</f>
        <v/>
      </c>
      <c r="K32" s="5">
        <f>Assumptions!K104+Assumptions!K105</f>
        <v/>
      </c>
      <c r="L32" s="5">
        <f>Assumptions!L104+Assumptions!L105</f>
        <v/>
      </c>
      <c r="M32" s="5">
        <f>Assumptions!M104+Assumptions!M105</f>
        <v/>
      </c>
      <c r="N32" s="5">
        <f>Assumptions!N104+Assumptions!N105</f>
        <v/>
      </c>
      <c r="O32" s="5">
        <f>Assumptions!O104+Assumptions!O105</f>
        <v/>
      </c>
      <c r="P32" s="5">
        <f>Assumptions!P104+Assumptions!P105</f>
        <v/>
      </c>
      <c r="Q32" s="5">
        <f>Assumptions!Q104+Assumptions!Q105</f>
        <v/>
      </c>
      <c r="R32" s="5">
        <f>Assumptions!R104+Assumptions!R105</f>
        <v/>
      </c>
      <c r="S32" s="5">
        <f>Assumptions!S104+Assumptions!S105</f>
        <v/>
      </c>
      <c r="T32" s="5">
        <f>Assumptions!T104+Assumptions!T105</f>
        <v/>
      </c>
      <c r="U32" s="5">
        <f>Assumptions!U104+Assumptions!U105</f>
        <v/>
      </c>
      <c r="V32" s="5">
        <f>Assumptions!V104+Assumptions!V105</f>
        <v/>
      </c>
      <c r="W32" s="5">
        <f>Assumptions!W104+Assumptions!W105</f>
        <v/>
      </c>
      <c r="X32" s="5">
        <f>Assumptions!X104+Assumptions!X105</f>
        <v/>
      </c>
      <c r="Y32" s="5">
        <f>Assumptions!Y104+Assumptions!Y105</f>
        <v/>
      </c>
      <c r="Z32" s="5">
        <f>Assumptions!Z104+Assumptions!Z105</f>
        <v/>
      </c>
      <c r="AA32" s="5">
        <f>Assumptions!AA104+Assumptions!AA105</f>
        <v/>
      </c>
      <c r="AB32" s="5">
        <f>Assumptions!AB104+Assumptions!AB105</f>
        <v/>
      </c>
      <c r="AC32" s="5">
        <f>Assumptions!AC104+Assumptions!AC105</f>
        <v/>
      </c>
      <c r="AD32" s="5">
        <f>Assumptions!AD104+Assumptions!AD105</f>
        <v/>
      </c>
      <c r="AE32" s="5">
        <f>Assumptions!AE104+Assumptions!AE105</f>
        <v/>
      </c>
    </row>
    <row r="33">
      <c r="A33" t="inlineStr">
        <is>
          <t>Free-tier device-months (active, not paying, not in trial)</t>
        </is>
      </c>
      <c r="B33" s="2" t="inlineStr">
        <is>
          <t>dev-mo</t>
        </is>
      </c>
      <c r="C33" s="4">
        <f>MAX(0,'Subscription Cohorts'!C31-'Subscription Cohorts'!C21-'Subscription Cohorts'!C27)</f>
        <v/>
      </c>
      <c r="D33" s="4">
        <f>MAX(0,'Subscription Cohorts'!D31-'Subscription Cohorts'!D21-'Subscription Cohorts'!D27)</f>
        <v/>
      </c>
      <c r="E33" s="4">
        <f>MAX(0,'Subscription Cohorts'!E31-'Subscription Cohorts'!E21-'Subscription Cohorts'!E27)</f>
        <v/>
      </c>
      <c r="F33" s="4">
        <f>MAX(0,'Subscription Cohorts'!F31-'Subscription Cohorts'!F21-'Subscription Cohorts'!F27)</f>
        <v/>
      </c>
      <c r="G33" s="4">
        <f>MAX(0,'Subscription Cohorts'!G31-'Subscription Cohorts'!G21-'Subscription Cohorts'!G27)</f>
        <v/>
      </c>
      <c r="H33" s="4">
        <f>MAX(0,'Subscription Cohorts'!H31-'Subscription Cohorts'!H21-'Subscription Cohorts'!H27)</f>
        <v/>
      </c>
      <c r="I33" s="4">
        <f>MAX(0,'Subscription Cohorts'!I31-'Subscription Cohorts'!I21-'Subscription Cohorts'!I27)</f>
        <v/>
      </c>
      <c r="J33" s="4">
        <f>MAX(0,'Subscription Cohorts'!J31-'Subscription Cohorts'!J21-'Subscription Cohorts'!J27)</f>
        <v/>
      </c>
      <c r="K33" s="4">
        <f>MAX(0,'Subscription Cohorts'!K31-'Subscription Cohorts'!K21-'Subscription Cohorts'!K27)</f>
        <v/>
      </c>
      <c r="L33" s="4">
        <f>MAX(0,'Subscription Cohorts'!L31-'Subscription Cohorts'!L21-'Subscription Cohorts'!L27)</f>
        <v/>
      </c>
      <c r="M33" s="4">
        <f>MAX(0,'Subscription Cohorts'!M31-'Subscription Cohorts'!M21-'Subscription Cohorts'!M27)</f>
        <v/>
      </c>
      <c r="N33" s="4">
        <f>MAX(0,'Subscription Cohorts'!N31-'Subscription Cohorts'!N21-'Subscription Cohorts'!N27)</f>
        <v/>
      </c>
      <c r="O33" s="4">
        <f>MAX(0,'Subscription Cohorts'!O31-'Subscription Cohorts'!O21-'Subscription Cohorts'!O27)</f>
        <v/>
      </c>
      <c r="P33" s="4">
        <f>MAX(0,'Subscription Cohorts'!P31-'Subscription Cohorts'!P21-'Subscription Cohorts'!P27)</f>
        <v/>
      </c>
      <c r="Q33" s="4">
        <f>MAX(0,'Subscription Cohorts'!Q31-'Subscription Cohorts'!Q21-'Subscription Cohorts'!Q27)</f>
        <v/>
      </c>
      <c r="R33" s="4">
        <f>MAX(0,'Subscription Cohorts'!R31-'Subscription Cohorts'!R21-'Subscription Cohorts'!R27)</f>
        <v/>
      </c>
      <c r="S33" s="4">
        <f>MAX(0,'Subscription Cohorts'!S31-'Subscription Cohorts'!S21-'Subscription Cohorts'!S27)</f>
        <v/>
      </c>
      <c r="T33" s="4">
        <f>MAX(0,'Subscription Cohorts'!T31-'Subscription Cohorts'!T21-'Subscription Cohorts'!T27)</f>
        <v/>
      </c>
      <c r="U33" s="4">
        <f>MAX(0,'Subscription Cohorts'!U31-'Subscription Cohorts'!U21-'Subscription Cohorts'!U27)</f>
        <v/>
      </c>
      <c r="V33" s="4">
        <f>MAX(0,'Subscription Cohorts'!V31-'Subscription Cohorts'!V21-'Subscription Cohorts'!V27)</f>
        <v/>
      </c>
      <c r="W33" s="4">
        <f>MAX(0,'Subscription Cohorts'!W31-'Subscription Cohorts'!W21-'Subscription Cohorts'!W27)</f>
        <v/>
      </c>
      <c r="X33" s="4">
        <f>MAX(0,'Subscription Cohorts'!X31-'Subscription Cohorts'!X21-'Subscription Cohorts'!X27)</f>
        <v/>
      </c>
      <c r="Y33" s="4">
        <f>MAX(0,'Subscription Cohorts'!Y31-'Subscription Cohorts'!Y21-'Subscription Cohorts'!Y27)</f>
        <v/>
      </c>
      <c r="Z33" s="4">
        <f>MAX(0,'Subscription Cohorts'!Z31-'Subscription Cohorts'!Z21-'Subscription Cohorts'!Z27)</f>
        <v/>
      </c>
      <c r="AA33" s="4">
        <f>MAX(0,'Subscription Cohorts'!AA31-'Subscription Cohorts'!AA21-'Subscription Cohorts'!AA27)</f>
        <v/>
      </c>
      <c r="AB33" s="4">
        <f>MAX(0,'Subscription Cohorts'!AB31-'Subscription Cohorts'!AB21-'Subscription Cohorts'!AB27)</f>
        <v/>
      </c>
      <c r="AC33" s="4">
        <f>MAX(0,'Subscription Cohorts'!AC31-'Subscription Cohorts'!AC21-'Subscription Cohorts'!AC27)</f>
        <v/>
      </c>
      <c r="AD33" s="4">
        <f>MAX(0,'Subscription Cohorts'!AD31-'Subscription Cohorts'!AD21-'Subscription Cohorts'!AD27)</f>
        <v/>
      </c>
      <c r="AE33" s="4">
        <f>MAX(0,'Subscription Cohorts'!AE31-'Subscription Cohorts'!AE21-'Subscription Cohorts'!AE27)</f>
        <v/>
      </c>
      <c r="AG33" s="4">
        <f>SUMIF($C$3:$AE$3,AG$3,$C33:$AE33)</f>
        <v/>
      </c>
      <c r="AH33" s="4">
        <f>SUMIF($C$3:$AE$3,AH$3,$C33:$AE33)</f>
        <v/>
      </c>
      <c r="AI33" s="4">
        <f>SUMIF($C$3:$AE$3,AI$3,$C33:$AE33)</f>
        <v/>
      </c>
      <c r="AJ33" s="4">
        <f>SUMIF($C$3:$AE$3,AJ$3,$C33:$AE33)</f>
        <v/>
      </c>
      <c r="AK33" s="4">
        <f>SUMIF($C$3:$AE$3,AK$3,$C33:$AE33)</f>
        <v/>
      </c>
      <c r="AL33" s="4">
        <f>SUMIF($C$3:$AE$3,AL$3,$C33:$AE33)</f>
        <v/>
      </c>
    </row>
    <row r="34">
      <c r="A34" t="inlineStr">
        <is>
          <t>Trip Passes sold</t>
        </is>
      </c>
      <c r="B34" s="2" t="inlineStr">
        <is>
          <t>passes</t>
        </is>
      </c>
      <c r="C34" s="4">
        <f>'Subscription Cohorts'!C33*'Subscription Cohorts'!C32*trip_rate</f>
        <v/>
      </c>
      <c r="D34" s="4">
        <f>'Subscription Cohorts'!D33*'Subscription Cohorts'!D32*trip_rate</f>
        <v/>
      </c>
      <c r="E34" s="4">
        <f>'Subscription Cohorts'!E33*'Subscription Cohorts'!E32*trip_rate</f>
        <v/>
      </c>
      <c r="F34" s="4">
        <f>'Subscription Cohorts'!F33*'Subscription Cohorts'!F32*trip_rate</f>
        <v/>
      </c>
      <c r="G34" s="4">
        <f>'Subscription Cohorts'!G33*'Subscription Cohorts'!G32*trip_rate</f>
        <v/>
      </c>
      <c r="H34" s="4">
        <f>'Subscription Cohorts'!H33*'Subscription Cohorts'!H32*trip_rate</f>
        <v/>
      </c>
      <c r="I34" s="4">
        <f>'Subscription Cohorts'!I33*'Subscription Cohorts'!I32*trip_rate</f>
        <v/>
      </c>
      <c r="J34" s="4">
        <f>'Subscription Cohorts'!J33*'Subscription Cohorts'!J32*trip_rate</f>
        <v/>
      </c>
      <c r="K34" s="4">
        <f>'Subscription Cohorts'!K33*'Subscription Cohorts'!K32*trip_rate</f>
        <v/>
      </c>
      <c r="L34" s="4">
        <f>'Subscription Cohorts'!L33*'Subscription Cohorts'!L32*trip_rate</f>
        <v/>
      </c>
      <c r="M34" s="4">
        <f>'Subscription Cohorts'!M33*'Subscription Cohorts'!M32*trip_rate</f>
        <v/>
      </c>
      <c r="N34" s="4">
        <f>'Subscription Cohorts'!N33*'Subscription Cohorts'!N32*trip_rate</f>
        <v/>
      </c>
      <c r="O34" s="4">
        <f>'Subscription Cohorts'!O33*'Subscription Cohorts'!O32*trip_rate</f>
        <v/>
      </c>
      <c r="P34" s="4">
        <f>'Subscription Cohorts'!P33*'Subscription Cohorts'!P32*trip_rate</f>
        <v/>
      </c>
      <c r="Q34" s="4">
        <f>'Subscription Cohorts'!Q33*'Subscription Cohorts'!Q32*trip_rate</f>
        <v/>
      </c>
      <c r="R34" s="4">
        <f>'Subscription Cohorts'!R33*'Subscription Cohorts'!R32*trip_rate</f>
        <v/>
      </c>
      <c r="S34" s="4">
        <f>'Subscription Cohorts'!S33*'Subscription Cohorts'!S32*trip_rate</f>
        <v/>
      </c>
      <c r="T34" s="4">
        <f>'Subscription Cohorts'!T33*'Subscription Cohorts'!T32*trip_rate</f>
        <v/>
      </c>
      <c r="U34" s="4">
        <f>'Subscription Cohorts'!U33*'Subscription Cohorts'!U32*trip_rate</f>
        <v/>
      </c>
      <c r="V34" s="4">
        <f>'Subscription Cohorts'!V33*'Subscription Cohorts'!V32*trip_rate</f>
        <v/>
      </c>
      <c r="W34" s="4">
        <f>'Subscription Cohorts'!W33*'Subscription Cohorts'!W32*trip_rate</f>
        <v/>
      </c>
      <c r="X34" s="4">
        <f>'Subscription Cohorts'!X33*'Subscription Cohorts'!X32*trip_rate</f>
        <v/>
      </c>
      <c r="Y34" s="4">
        <f>'Subscription Cohorts'!Y33*'Subscription Cohorts'!Y32*trip_rate</f>
        <v/>
      </c>
      <c r="Z34" s="4">
        <f>'Subscription Cohorts'!Z33*'Subscription Cohorts'!Z32*trip_rate</f>
        <v/>
      </c>
      <c r="AA34" s="4">
        <f>'Subscription Cohorts'!AA33*'Subscription Cohorts'!AA32*trip_rate</f>
        <v/>
      </c>
      <c r="AB34" s="4">
        <f>'Subscription Cohorts'!AB33*'Subscription Cohorts'!AB32*trip_rate</f>
        <v/>
      </c>
      <c r="AC34" s="4">
        <f>'Subscription Cohorts'!AC33*'Subscription Cohorts'!AC32*trip_rate</f>
        <v/>
      </c>
      <c r="AD34" s="4">
        <f>'Subscription Cohorts'!AD33*'Subscription Cohorts'!AD32*trip_rate</f>
        <v/>
      </c>
      <c r="AE34" s="4">
        <f>'Subscription Cohorts'!AE33*'Subscription Cohorts'!AE32*trip_rate</f>
        <v/>
      </c>
      <c r="AG34" s="4">
        <f>SUMIF($C$3:$AE$3,AG$3,$C34:$AE34)</f>
        <v/>
      </c>
      <c r="AH34" s="4">
        <f>SUMIF($C$3:$AE$3,AH$3,$C34:$AE34)</f>
        <v/>
      </c>
      <c r="AI34" s="4">
        <f>SUMIF($C$3:$AE$3,AI$3,$C34:$AE34)</f>
        <v/>
      </c>
      <c r="AJ34" s="4">
        <f>SUMIF($C$3:$AE$3,AJ$3,$C34:$AE34)</f>
        <v/>
      </c>
      <c r="AK34" s="4">
        <f>SUMIF($C$3:$AE$3,AK$3,$C34:$AE34)</f>
        <v/>
      </c>
      <c r="AL34" s="4">
        <f>SUMIF($C$3:$AE$3,AL$3,$C34:$AE34)</f>
        <v/>
      </c>
    </row>
    <row r="35">
      <c r="A35" s="13" t="inlineStr">
        <is>
          <t>Trip Pass revenue</t>
        </is>
      </c>
      <c r="B35" s="2" t="inlineStr">
        <is>
          <t>$</t>
        </is>
      </c>
      <c r="C35" s="24">
        <f>'Subscription Cohorts'!C34*trip_price*sc_price</f>
        <v/>
      </c>
      <c r="D35" s="24">
        <f>'Subscription Cohorts'!D34*trip_price*sc_price</f>
        <v/>
      </c>
      <c r="E35" s="24">
        <f>'Subscription Cohorts'!E34*trip_price*sc_price</f>
        <v/>
      </c>
      <c r="F35" s="24">
        <f>'Subscription Cohorts'!F34*trip_price*sc_price</f>
        <v/>
      </c>
      <c r="G35" s="24">
        <f>'Subscription Cohorts'!G34*trip_price*sc_price</f>
        <v/>
      </c>
      <c r="H35" s="24">
        <f>'Subscription Cohorts'!H34*trip_price*sc_price</f>
        <v/>
      </c>
      <c r="I35" s="24">
        <f>'Subscription Cohorts'!I34*trip_price*sc_price</f>
        <v/>
      </c>
      <c r="J35" s="24">
        <f>'Subscription Cohorts'!J34*trip_price*sc_price</f>
        <v/>
      </c>
      <c r="K35" s="24">
        <f>'Subscription Cohorts'!K34*trip_price*sc_price</f>
        <v/>
      </c>
      <c r="L35" s="24">
        <f>'Subscription Cohorts'!L34*trip_price*sc_price</f>
        <v/>
      </c>
      <c r="M35" s="24">
        <f>'Subscription Cohorts'!M34*trip_price*sc_price</f>
        <v/>
      </c>
      <c r="N35" s="24">
        <f>'Subscription Cohorts'!N34*trip_price*sc_price</f>
        <v/>
      </c>
      <c r="O35" s="24">
        <f>'Subscription Cohorts'!O34*trip_price*sc_price</f>
        <v/>
      </c>
      <c r="P35" s="24">
        <f>'Subscription Cohorts'!P34*trip_price*sc_price</f>
        <v/>
      </c>
      <c r="Q35" s="24">
        <f>'Subscription Cohorts'!Q34*trip_price*sc_price</f>
        <v/>
      </c>
      <c r="R35" s="24">
        <f>'Subscription Cohorts'!R34*trip_price*sc_price</f>
        <v/>
      </c>
      <c r="S35" s="24">
        <f>'Subscription Cohorts'!S34*trip_price*sc_price</f>
        <v/>
      </c>
      <c r="T35" s="24">
        <f>'Subscription Cohorts'!T34*trip_price*sc_price</f>
        <v/>
      </c>
      <c r="U35" s="24">
        <f>'Subscription Cohorts'!U34*trip_price*sc_price</f>
        <v/>
      </c>
      <c r="V35" s="24">
        <f>'Subscription Cohorts'!V34*trip_price*sc_price</f>
        <v/>
      </c>
      <c r="W35" s="24">
        <f>'Subscription Cohorts'!W34*trip_price*sc_price</f>
        <v/>
      </c>
      <c r="X35" s="24">
        <f>'Subscription Cohorts'!X34*trip_price*sc_price</f>
        <v/>
      </c>
      <c r="Y35" s="24">
        <f>'Subscription Cohorts'!Y34*trip_price*sc_price</f>
        <v/>
      </c>
      <c r="Z35" s="24">
        <f>'Subscription Cohorts'!Z34*trip_price*sc_price</f>
        <v/>
      </c>
      <c r="AA35" s="24">
        <f>'Subscription Cohorts'!AA34*trip_price*sc_price</f>
        <v/>
      </c>
      <c r="AB35" s="24">
        <f>'Subscription Cohorts'!AB34*trip_price*sc_price</f>
        <v/>
      </c>
      <c r="AC35" s="24">
        <f>'Subscription Cohorts'!AC34*trip_price*sc_price</f>
        <v/>
      </c>
      <c r="AD35" s="24">
        <f>'Subscription Cohorts'!AD34*trip_price*sc_price</f>
        <v/>
      </c>
      <c r="AE35" s="24">
        <f>'Subscription Cohorts'!AE34*trip_price*sc_price</f>
        <v/>
      </c>
      <c r="AG35" s="24">
        <f>SUMIF($C$3:$AE$3,AG$3,$C35:$AE35)</f>
        <v/>
      </c>
      <c r="AH35" s="24">
        <f>SUMIF($C$3:$AE$3,AH$3,$C35:$AE35)</f>
        <v/>
      </c>
      <c r="AI35" s="24">
        <f>SUMIF($C$3:$AE$3,AI$3,$C35:$AE35)</f>
        <v/>
      </c>
      <c r="AJ35" s="24">
        <f>SUMIF($C$3:$AE$3,AJ$3,$C35:$AE35)</f>
        <v/>
      </c>
      <c r="AK35" s="24">
        <f>SUMIF($C$3:$AE$3,AK$3,$C35:$AE35)</f>
        <v/>
      </c>
      <c r="AL35" s="24">
        <f>SUMIF($C$3:$AE$3,AL$3,$C35:$AE35)</f>
        <v/>
      </c>
    </row>
    <row r="36">
      <c r="A36" t="inlineStr">
        <is>
          <t>Paid subs as % of active devices (end)</t>
        </is>
      </c>
      <c r="B36" s="2" t="inlineStr">
        <is>
          <t>%</t>
        </is>
      </c>
      <c r="C36" s="5">
        <f>IF('Subscription Cohorts'!C29&gt;0,'Subscription Cohorts'!C19/'Subscription Cohorts'!C29,0)</f>
        <v/>
      </c>
      <c r="D36" s="5">
        <f>IF('Subscription Cohorts'!D29&gt;0,'Subscription Cohorts'!D19/'Subscription Cohorts'!D29,0)</f>
        <v/>
      </c>
      <c r="E36" s="5">
        <f>IF('Subscription Cohorts'!E29&gt;0,'Subscription Cohorts'!E19/'Subscription Cohorts'!E29,0)</f>
        <v/>
      </c>
      <c r="F36" s="5">
        <f>IF('Subscription Cohorts'!F29&gt;0,'Subscription Cohorts'!F19/'Subscription Cohorts'!F29,0)</f>
        <v/>
      </c>
      <c r="G36" s="5">
        <f>IF('Subscription Cohorts'!G29&gt;0,'Subscription Cohorts'!G19/'Subscription Cohorts'!G29,0)</f>
        <v/>
      </c>
      <c r="H36" s="5">
        <f>IF('Subscription Cohorts'!H29&gt;0,'Subscription Cohorts'!H19/'Subscription Cohorts'!H29,0)</f>
        <v/>
      </c>
      <c r="I36" s="5">
        <f>IF('Subscription Cohorts'!I29&gt;0,'Subscription Cohorts'!I19/'Subscription Cohorts'!I29,0)</f>
        <v/>
      </c>
      <c r="J36" s="5">
        <f>IF('Subscription Cohorts'!J29&gt;0,'Subscription Cohorts'!J19/'Subscription Cohorts'!J29,0)</f>
        <v/>
      </c>
      <c r="K36" s="5">
        <f>IF('Subscription Cohorts'!K29&gt;0,'Subscription Cohorts'!K19/'Subscription Cohorts'!K29,0)</f>
        <v/>
      </c>
      <c r="L36" s="5">
        <f>IF('Subscription Cohorts'!L29&gt;0,'Subscription Cohorts'!L19/'Subscription Cohorts'!L29,0)</f>
        <v/>
      </c>
      <c r="M36" s="5">
        <f>IF('Subscription Cohorts'!M29&gt;0,'Subscription Cohorts'!M19/'Subscription Cohorts'!M29,0)</f>
        <v/>
      </c>
      <c r="N36" s="5">
        <f>IF('Subscription Cohorts'!N29&gt;0,'Subscription Cohorts'!N19/'Subscription Cohorts'!N29,0)</f>
        <v/>
      </c>
      <c r="O36" s="5">
        <f>IF('Subscription Cohorts'!O29&gt;0,'Subscription Cohorts'!O19/'Subscription Cohorts'!O29,0)</f>
        <v/>
      </c>
      <c r="P36" s="5">
        <f>IF('Subscription Cohorts'!P29&gt;0,'Subscription Cohorts'!P19/'Subscription Cohorts'!P29,0)</f>
        <v/>
      </c>
      <c r="Q36" s="5">
        <f>IF('Subscription Cohorts'!Q29&gt;0,'Subscription Cohorts'!Q19/'Subscription Cohorts'!Q29,0)</f>
        <v/>
      </c>
      <c r="R36" s="5">
        <f>IF('Subscription Cohorts'!R29&gt;0,'Subscription Cohorts'!R19/'Subscription Cohorts'!R29,0)</f>
        <v/>
      </c>
      <c r="S36" s="5">
        <f>IF('Subscription Cohorts'!S29&gt;0,'Subscription Cohorts'!S19/'Subscription Cohorts'!S29,0)</f>
        <v/>
      </c>
      <c r="T36" s="5">
        <f>IF('Subscription Cohorts'!T29&gt;0,'Subscription Cohorts'!T19/'Subscription Cohorts'!T29,0)</f>
        <v/>
      </c>
      <c r="U36" s="5">
        <f>IF('Subscription Cohorts'!U29&gt;0,'Subscription Cohorts'!U19/'Subscription Cohorts'!U29,0)</f>
        <v/>
      </c>
      <c r="V36" s="5">
        <f>IF('Subscription Cohorts'!V29&gt;0,'Subscription Cohorts'!V19/'Subscription Cohorts'!V29,0)</f>
        <v/>
      </c>
      <c r="W36" s="5">
        <f>IF('Subscription Cohorts'!W29&gt;0,'Subscription Cohorts'!W19/'Subscription Cohorts'!W29,0)</f>
        <v/>
      </c>
      <c r="X36" s="5">
        <f>IF('Subscription Cohorts'!X29&gt;0,'Subscription Cohorts'!X19/'Subscription Cohorts'!X29,0)</f>
        <v/>
      </c>
      <c r="Y36" s="5">
        <f>IF('Subscription Cohorts'!Y29&gt;0,'Subscription Cohorts'!Y19/'Subscription Cohorts'!Y29,0)</f>
        <v/>
      </c>
      <c r="Z36" s="5">
        <f>IF('Subscription Cohorts'!Z29&gt;0,'Subscription Cohorts'!Z19/'Subscription Cohorts'!Z29,0)</f>
        <v/>
      </c>
      <c r="AA36" s="5">
        <f>IF('Subscription Cohorts'!AA29&gt;0,'Subscription Cohorts'!AA19/'Subscription Cohorts'!AA29,0)</f>
        <v/>
      </c>
      <c r="AB36" s="5">
        <f>IF('Subscription Cohorts'!AB29&gt;0,'Subscription Cohorts'!AB19/'Subscription Cohorts'!AB29,0)</f>
        <v/>
      </c>
      <c r="AC36" s="5">
        <f>IF('Subscription Cohorts'!AC29&gt;0,'Subscription Cohorts'!AC19/'Subscription Cohorts'!AC29,0)</f>
        <v/>
      </c>
      <c r="AD36" s="5">
        <f>IF('Subscription Cohorts'!AD29&gt;0,'Subscription Cohorts'!AD19/'Subscription Cohorts'!AD29,0)</f>
        <v/>
      </c>
      <c r="AE36" s="5">
        <f>IF('Subscription Cohorts'!AE29&gt;0,'Subscription Cohorts'!AE19/'Subscription Cohorts'!AE29,0)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Revenue build by stream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Hardware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Hardware -- DTC (web/app)</t>
        </is>
      </c>
      <c r="B10" s="2" t="inlineStr"/>
      <c r="C10" s="4">
        <f>'Pricing &amp; Mix'!C28*'Pricing &amp; Mix'!C13+'Pricing &amp; Mix'!C29*'Pricing &amp; Mix'!C14+'Pricing &amp; Mix'!C30*'Pricing &amp; Mix'!C15</f>
        <v/>
      </c>
      <c r="D10" s="4">
        <f>'Pricing &amp; Mix'!D28*'Pricing &amp; Mix'!D13+'Pricing &amp; Mix'!D29*'Pricing &amp; Mix'!D14+'Pricing &amp; Mix'!D30*'Pricing &amp; Mix'!D15</f>
        <v/>
      </c>
      <c r="E10" s="4">
        <f>'Pricing &amp; Mix'!E28*'Pricing &amp; Mix'!E13+'Pricing &amp; Mix'!E29*'Pricing &amp; Mix'!E14+'Pricing &amp; Mix'!E30*'Pricing &amp; Mix'!E15</f>
        <v/>
      </c>
      <c r="F10" s="4">
        <f>'Pricing &amp; Mix'!F28*'Pricing &amp; Mix'!F13+'Pricing &amp; Mix'!F29*'Pricing &amp; Mix'!F14+'Pricing &amp; Mix'!F30*'Pricing &amp; Mix'!F15</f>
        <v/>
      </c>
      <c r="G10" s="4">
        <f>'Pricing &amp; Mix'!G28*'Pricing &amp; Mix'!G13+'Pricing &amp; Mix'!G29*'Pricing &amp; Mix'!G14+'Pricing &amp; Mix'!G30*'Pricing &amp; Mix'!G15</f>
        <v/>
      </c>
      <c r="H10" s="4">
        <f>'Pricing &amp; Mix'!H28*'Pricing &amp; Mix'!H13+'Pricing &amp; Mix'!H29*'Pricing &amp; Mix'!H14+'Pricing &amp; Mix'!H30*'Pricing &amp; Mix'!H15</f>
        <v/>
      </c>
      <c r="I10" s="4">
        <f>'Pricing &amp; Mix'!I28*'Pricing &amp; Mix'!I13+'Pricing &amp; Mix'!I29*'Pricing &amp; Mix'!I14+'Pricing &amp; Mix'!I30*'Pricing &amp; Mix'!I15</f>
        <v/>
      </c>
      <c r="J10" s="4">
        <f>'Pricing &amp; Mix'!J28*'Pricing &amp; Mix'!J13+'Pricing &amp; Mix'!J29*'Pricing &amp; Mix'!J14+'Pricing &amp; Mix'!J30*'Pricing &amp; Mix'!J15</f>
        <v/>
      </c>
      <c r="K10" s="4">
        <f>'Pricing &amp; Mix'!K28*'Pricing &amp; Mix'!K13+'Pricing &amp; Mix'!K29*'Pricing &amp; Mix'!K14+'Pricing &amp; Mix'!K30*'Pricing &amp; Mix'!K15</f>
        <v/>
      </c>
      <c r="L10" s="4">
        <f>'Pricing &amp; Mix'!L28*'Pricing &amp; Mix'!L13+'Pricing &amp; Mix'!L29*'Pricing &amp; Mix'!L14+'Pricing &amp; Mix'!L30*'Pricing &amp; Mix'!L15</f>
        <v/>
      </c>
      <c r="M10" s="4">
        <f>'Pricing &amp; Mix'!M28*'Pricing &amp; Mix'!M13+'Pricing &amp; Mix'!M29*'Pricing &amp; Mix'!M14+'Pricing &amp; Mix'!M30*'Pricing &amp; Mix'!M15</f>
        <v/>
      </c>
      <c r="N10" s="4">
        <f>'Pricing &amp; Mix'!N28*'Pricing &amp; Mix'!N13+'Pricing &amp; Mix'!N29*'Pricing &amp; Mix'!N14+'Pricing &amp; Mix'!N30*'Pricing &amp; Mix'!N15</f>
        <v/>
      </c>
      <c r="O10" s="4">
        <f>'Pricing &amp; Mix'!O28*'Pricing &amp; Mix'!O13+'Pricing &amp; Mix'!O29*'Pricing &amp; Mix'!O14+'Pricing &amp; Mix'!O30*'Pricing &amp; Mix'!O15</f>
        <v/>
      </c>
      <c r="P10" s="4">
        <f>'Pricing &amp; Mix'!P28*'Pricing &amp; Mix'!P13+'Pricing &amp; Mix'!P29*'Pricing &amp; Mix'!P14+'Pricing &amp; Mix'!P30*'Pricing &amp; Mix'!P15</f>
        <v/>
      </c>
      <c r="Q10" s="4">
        <f>'Pricing &amp; Mix'!Q28*'Pricing &amp; Mix'!Q13+'Pricing &amp; Mix'!Q29*'Pricing &amp; Mix'!Q14+'Pricing &amp; Mix'!Q30*'Pricing &amp; Mix'!Q15</f>
        <v/>
      </c>
      <c r="R10" s="4">
        <f>'Pricing &amp; Mix'!R28*'Pricing &amp; Mix'!R13+'Pricing &amp; Mix'!R29*'Pricing &amp; Mix'!R14+'Pricing &amp; Mix'!R30*'Pricing &amp; Mix'!R15</f>
        <v/>
      </c>
      <c r="S10" s="4">
        <f>'Pricing &amp; Mix'!S28*'Pricing &amp; Mix'!S13+'Pricing &amp; Mix'!S29*'Pricing &amp; Mix'!S14+'Pricing &amp; Mix'!S30*'Pricing &amp; Mix'!S15</f>
        <v/>
      </c>
      <c r="T10" s="4">
        <f>'Pricing &amp; Mix'!T28*'Pricing &amp; Mix'!T13+'Pricing &amp; Mix'!T29*'Pricing &amp; Mix'!T14+'Pricing &amp; Mix'!T30*'Pricing &amp; Mix'!T15</f>
        <v/>
      </c>
      <c r="U10" s="4">
        <f>'Pricing &amp; Mix'!U28*'Pricing &amp; Mix'!U13+'Pricing &amp; Mix'!U29*'Pricing &amp; Mix'!U14+'Pricing &amp; Mix'!U30*'Pricing &amp; Mix'!U15</f>
        <v/>
      </c>
      <c r="V10" s="4">
        <f>'Pricing &amp; Mix'!V28*'Pricing &amp; Mix'!V13+'Pricing &amp; Mix'!V29*'Pricing &amp; Mix'!V14+'Pricing &amp; Mix'!V30*'Pricing &amp; Mix'!V15</f>
        <v/>
      </c>
      <c r="W10" s="4">
        <f>'Pricing &amp; Mix'!W28*'Pricing &amp; Mix'!W13+'Pricing &amp; Mix'!W29*'Pricing &amp; Mix'!W14+'Pricing &amp; Mix'!W30*'Pricing &amp; Mix'!W15</f>
        <v/>
      </c>
      <c r="X10" s="4">
        <f>'Pricing &amp; Mix'!X28*'Pricing &amp; Mix'!X13+'Pricing &amp; Mix'!X29*'Pricing &amp; Mix'!X14+'Pricing &amp; Mix'!X30*'Pricing &amp; Mix'!X15</f>
        <v/>
      </c>
      <c r="Y10" s="4">
        <f>'Pricing &amp; Mix'!Y28*'Pricing &amp; Mix'!Y13+'Pricing &amp; Mix'!Y29*'Pricing &amp; Mix'!Y14+'Pricing &amp; Mix'!Y30*'Pricing &amp; Mix'!Y15</f>
        <v/>
      </c>
      <c r="Z10" s="4">
        <f>'Pricing &amp; Mix'!Z28*'Pricing &amp; Mix'!Z13+'Pricing &amp; Mix'!Z29*'Pricing &amp; Mix'!Z14+'Pricing &amp; Mix'!Z30*'Pricing &amp; Mix'!Z15</f>
        <v/>
      </c>
      <c r="AA10" s="4">
        <f>'Pricing &amp; Mix'!AA28*'Pricing &amp; Mix'!AA13+'Pricing &amp; Mix'!AA29*'Pricing &amp; Mix'!AA14+'Pricing &amp; Mix'!AA30*'Pricing &amp; Mix'!AA15</f>
        <v/>
      </c>
      <c r="AB10" s="4">
        <f>'Pricing &amp; Mix'!AB28*'Pricing &amp; Mix'!AB13+'Pricing &amp; Mix'!AB29*'Pricing &amp; Mix'!AB14+'Pricing &amp; Mix'!AB30*'Pricing &amp; Mix'!AB15</f>
        <v/>
      </c>
      <c r="AC10" s="4">
        <f>'Pricing &amp; Mix'!AC28*'Pricing &amp; Mix'!AC13+'Pricing &amp; Mix'!AC29*'Pricing &amp; Mix'!AC14+'Pricing &amp; Mix'!AC30*'Pricing &amp; Mix'!AC15</f>
        <v/>
      </c>
      <c r="AD10" s="4">
        <f>'Pricing &amp; Mix'!AD28*'Pricing &amp; Mix'!AD13+'Pricing &amp; Mix'!AD29*'Pricing &amp; Mix'!AD14+'Pricing &amp; Mix'!AD30*'Pricing &amp; Mix'!AD15</f>
        <v/>
      </c>
      <c r="AE10" s="4">
        <f>'Pricing &amp; Mix'!AE28*'Pricing &amp; Mix'!AE13+'Pricing &amp; Mix'!AE29*'Pricing &amp; Mix'!AE14+'Pricing &amp; Mix'!AE30*'Pricing &amp; Mix'!AE15</f>
        <v/>
      </c>
      <c r="AG10" s="4">
        <f>SUMIF($C$3:$AE$3,AG$3,$C10:$AE10)</f>
        <v/>
      </c>
      <c r="AH10" s="4">
        <f>SUMIF($C$3:$AE$3,AH$3,$C10:$AE10)</f>
        <v/>
      </c>
      <c r="AI10" s="4">
        <f>SUMIF($C$3:$AE$3,AI$3,$C10:$AE10)</f>
        <v/>
      </c>
      <c r="AJ10" s="4">
        <f>SUMIF($C$3:$AE$3,AJ$3,$C10:$AE10)</f>
        <v/>
      </c>
      <c r="AK10" s="4">
        <f>SUMIF($C$3:$AE$3,AK$3,$C10:$AE10)</f>
        <v/>
      </c>
      <c r="AL10" s="4">
        <f>SUMIF($C$3:$AE$3,AL$3,$C10:$AE10)</f>
        <v/>
      </c>
    </row>
    <row r="11">
      <c r="A11" t="inlineStr">
        <is>
          <t>Hardware -- retail / wholesale (sell-in)</t>
        </is>
      </c>
      <c r="B11" s="2" t="inlineStr"/>
      <c r="C11" s="4">
        <f>'Pricing &amp; Mix'!C31*'Pricing &amp; Mix'!C16+'Pricing &amp; Mix'!C32*'Pricing &amp; Mix'!C17+'Pricing &amp; Mix'!C33*'Pricing &amp; Mix'!C18</f>
        <v/>
      </c>
      <c r="D11" s="4">
        <f>'Pricing &amp; Mix'!D31*'Pricing &amp; Mix'!D16+'Pricing &amp; Mix'!D32*'Pricing &amp; Mix'!D17+'Pricing &amp; Mix'!D33*'Pricing &amp; Mix'!D18</f>
        <v/>
      </c>
      <c r="E11" s="4">
        <f>'Pricing &amp; Mix'!E31*'Pricing &amp; Mix'!E16+'Pricing &amp; Mix'!E32*'Pricing &amp; Mix'!E17+'Pricing &amp; Mix'!E33*'Pricing &amp; Mix'!E18</f>
        <v/>
      </c>
      <c r="F11" s="4">
        <f>'Pricing &amp; Mix'!F31*'Pricing &amp; Mix'!F16+'Pricing &amp; Mix'!F32*'Pricing &amp; Mix'!F17+'Pricing &amp; Mix'!F33*'Pricing &amp; Mix'!F18</f>
        <v/>
      </c>
      <c r="G11" s="4">
        <f>'Pricing &amp; Mix'!G31*'Pricing &amp; Mix'!G16+'Pricing &amp; Mix'!G32*'Pricing &amp; Mix'!G17+'Pricing &amp; Mix'!G33*'Pricing &amp; Mix'!G18</f>
        <v/>
      </c>
      <c r="H11" s="4">
        <f>'Pricing &amp; Mix'!H31*'Pricing &amp; Mix'!H16+'Pricing &amp; Mix'!H32*'Pricing &amp; Mix'!H17+'Pricing &amp; Mix'!H33*'Pricing &amp; Mix'!H18</f>
        <v/>
      </c>
      <c r="I11" s="4">
        <f>'Pricing &amp; Mix'!I31*'Pricing &amp; Mix'!I16+'Pricing &amp; Mix'!I32*'Pricing &amp; Mix'!I17+'Pricing &amp; Mix'!I33*'Pricing &amp; Mix'!I18</f>
        <v/>
      </c>
      <c r="J11" s="4">
        <f>'Pricing &amp; Mix'!J31*'Pricing &amp; Mix'!J16+'Pricing &amp; Mix'!J32*'Pricing &amp; Mix'!J17+'Pricing &amp; Mix'!J33*'Pricing &amp; Mix'!J18</f>
        <v/>
      </c>
      <c r="K11" s="4">
        <f>'Pricing &amp; Mix'!K31*'Pricing &amp; Mix'!K16+'Pricing &amp; Mix'!K32*'Pricing &amp; Mix'!K17+'Pricing &amp; Mix'!K33*'Pricing &amp; Mix'!K18</f>
        <v/>
      </c>
      <c r="L11" s="4">
        <f>'Pricing &amp; Mix'!L31*'Pricing &amp; Mix'!L16+'Pricing &amp; Mix'!L32*'Pricing &amp; Mix'!L17+'Pricing &amp; Mix'!L33*'Pricing &amp; Mix'!L18</f>
        <v/>
      </c>
      <c r="M11" s="4">
        <f>'Pricing &amp; Mix'!M31*'Pricing &amp; Mix'!M16+'Pricing &amp; Mix'!M32*'Pricing &amp; Mix'!M17+'Pricing &amp; Mix'!M33*'Pricing &amp; Mix'!M18</f>
        <v/>
      </c>
      <c r="N11" s="4">
        <f>'Pricing &amp; Mix'!N31*'Pricing &amp; Mix'!N16+'Pricing &amp; Mix'!N32*'Pricing &amp; Mix'!N17+'Pricing &amp; Mix'!N33*'Pricing &amp; Mix'!N18</f>
        <v/>
      </c>
      <c r="O11" s="4">
        <f>'Pricing &amp; Mix'!O31*'Pricing &amp; Mix'!O16+'Pricing &amp; Mix'!O32*'Pricing &amp; Mix'!O17+'Pricing &amp; Mix'!O33*'Pricing &amp; Mix'!O18</f>
        <v/>
      </c>
      <c r="P11" s="4">
        <f>'Pricing &amp; Mix'!P31*'Pricing &amp; Mix'!P16+'Pricing &amp; Mix'!P32*'Pricing &amp; Mix'!P17+'Pricing &amp; Mix'!P33*'Pricing &amp; Mix'!P18</f>
        <v/>
      </c>
      <c r="Q11" s="4">
        <f>'Pricing &amp; Mix'!Q31*'Pricing &amp; Mix'!Q16+'Pricing &amp; Mix'!Q32*'Pricing &amp; Mix'!Q17+'Pricing &amp; Mix'!Q33*'Pricing &amp; Mix'!Q18</f>
        <v/>
      </c>
      <c r="R11" s="4">
        <f>'Pricing &amp; Mix'!R31*'Pricing &amp; Mix'!R16+'Pricing &amp; Mix'!R32*'Pricing &amp; Mix'!R17+'Pricing &amp; Mix'!R33*'Pricing &amp; Mix'!R18</f>
        <v/>
      </c>
      <c r="S11" s="4">
        <f>'Pricing &amp; Mix'!S31*'Pricing &amp; Mix'!S16+'Pricing &amp; Mix'!S32*'Pricing &amp; Mix'!S17+'Pricing &amp; Mix'!S33*'Pricing &amp; Mix'!S18</f>
        <v/>
      </c>
      <c r="T11" s="4">
        <f>'Pricing &amp; Mix'!T31*'Pricing &amp; Mix'!T16+'Pricing &amp; Mix'!T32*'Pricing &amp; Mix'!T17+'Pricing &amp; Mix'!T33*'Pricing &amp; Mix'!T18</f>
        <v/>
      </c>
      <c r="U11" s="4">
        <f>'Pricing &amp; Mix'!U31*'Pricing &amp; Mix'!U16+'Pricing &amp; Mix'!U32*'Pricing &amp; Mix'!U17+'Pricing &amp; Mix'!U33*'Pricing &amp; Mix'!U18</f>
        <v/>
      </c>
      <c r="V11" s="4">
        <f>'Pricing &amp; Mix'!V31*'Pricing &amp; Mix'!V16+'Pricing &amp; Mix'!V32*'Pricing &amp; Mix'!V17+'Pricing &amp; Mix'!V33*'Pricing &amp; Mix'!V18</f>
        <v/>
      </c>
      <c r="W11" s="4">
        <f>'Pricing &amp; Mix'!W31*'Pricing &amp; Mix'!W16+'Pricing &amp; Mix'!W32*'Pricing &amp; Mix'!W17+'Pricing &amp; Mix'!W33*'Pricing &amp; Mix'!W18</f>
        <v/>
      </c>
      <c r="X11" s="4">
        <f>'Pricing &amp; Mix'!X31*'Pricing &amp; Mix'!X16+'Pricing &amp; Mix'!X32*'Pricing &amp; Mix'!X17+'Pricing &amp; Mix'!X33*'Pricing &amp; Mix'!X18</f>
        <v/>
      </c>
      <c r="Y11" s="4">
        <f>'Pricing &amp; Mix'!Y31*'Pricing &amp; Mix'!Y16+'Pricing &amp; Mix'!Y32*'Pricing &amp; Mix'!Y17+'Pricing &amp; Mix'!Y33*'Pricing &amp; Mix'!Y18</f>
        <v/>
      </c>
      <c r="Z11" s="4">
        <f>'Pricing &amp; Mix'!Z31*'Pricing &amp; Mix'!Z16+'Pricing &amp; Mix'!Z32*'Pricing &amp; Mix'!Z17+'Pricing &amp; Mix'!Z33*'Pricing &amp; Mix'!Z18</f>
        <v/>
      </c>
      <c r="AA11" s="4">
        <f>'Pricing &amp; Mix'!AA31*'Pricing &amp; Mix'!AA16+'Pricing &amp; Mix'!AA32*'Pricing &amp; Mix'!AA17+'Pricing &amp; Mix'!AA33*'Pricing &amp; Mix'!AA18</f>
        <v/>
      </c>
      <c r="AB11" s="4">
        <f>'Pricing &amp; Mix'!AB31*'Pricing &amp; Mix'!AB16+'Pricing &amp; Mix'!AB32*'Pricing &amp; Mix'!AB17+'Pricing &amp; Mix'!AB33*'Pricing &amp; Mix'!AB18</f>
        <v/>
      </c>
      <c r="AC11" s="4">
        <f>'Pricing &amp; Mix'!AC31*'Pricing &amp; Mix'!AC16+'Pricing &amp; Mix'!AC32*'Pricing &amp; Mix'!AC17+'Pricing &amp; Mix'!AC33*'Pricing &amp; Mix'!AC18</f>
        <v/>
      </c>
      <c r="AD11" s="4">
        <f>'Pricing &amp; Mix'!AD31*'Pricing &amp; Mix'!AD16+'Pricing &amp; Mix'!AD32*'Pricing &amp; Mix'!AD17+'Pricing &amp; Mix'!AD33*'Pricing &amp; Mix'!AD18</f>
        <v/>
      </c>
      <c r="AE11" s="4">
        <f>'Pricing &amp; Mix'!AE31*'Pricing &amp; Mix'!AE16+'Pricing &amp; Mix'!AE32*'Pricing &amp; Mix'!AE17+'Pricing &amp; Mix'!AE33*'Pricing &amp; Mix'!AE18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Hardware -- Kickstarter / pre-orders (recognised on shipment)</t>
        </is>
      </c>
      <c r="B12" s="2" t="inlineStr"/>
      <c r="C12" s="4">
        <f>'Pricing &amp; Mix'!C35*'Pricing &amp; Mix'!C19+'Pricing &amp; Mix'!C36*'Pricing &amp; Mix'!C20</f>
        <v/>
      </c>
      <c r="D12" s="4">
        <f>'Pricing &amp; Mix'!D35*'Pricing &amp; Mix'!D19+'Pricing &amp; Mix'!D36*'Pricing &amp; Mix'!D20</f>
        <v/>
      </c>
      <c r="E12" s="4">
        <f>'Pricing &amp; Mix'!E35*'Pricing &amp; Mix'!E19+'Pricing &amp; Mix'!E36*'Pricing &amp; Mix'!E20</f>
        <v/>
      </c>
      <c r="F12" s="4">
        <f>'Pricing &amp; Mix'!F35*'Pricing &amp; Mix'!F19+'Pricing &amp; Mix'!F36*'Pricing &amp; Mix'!F20</f>
        <v/>
      </c>
      <c r="G12" s="4">
        <f>'Pricing &amp; Mix'!G35*'Pricing &amp; Mix'!G19+'Pricing &amp; Mix'!G36*'Pricing &amp; Mix'!G20</f>
        <v/>
      </c>
      <c r="H12" s="4">
        <f>'Pricing &amp; Mix'!H35*'Pricing &amp; Mix'!H19+'Pricing &amp; Mix'!H36*'Pricing &amp; Mix'!H20</f>
        <v/>
      </c>
      <c r="I12" s="4">
        <f>'Pricing &amp; Mix'!I35*'Pricing &amp; Mix'!I19+'Pricing &amp; Mix'!I36*'Pricing &amp; Mix'!I20</f>
        <v/>
      </c>
      <c r="J12" s="4">
        <f>'Pricing &amp; Mix'!J35*'Pricing &amp; Mix'!J19+'Pricing &amp; Mix'!J36*'Pricing &amp; Mix'!J20</f>
        <v/>
      </c>
      <c r="K12" s="4">
        <f>'Pricing &amp; Mix'!K35*'Pricing &amp; Mix'!K19+'Pricing &amp; Mix'!K36*'Pricing &amp; Mix'!K20</f>
        <v/>
      </c>
      <c r="L12" s="4">
        <f>'Pricing &amp; Mix'!L35*'Pricing &amp; Mix'!L19+'Pricing &amp; Mix'!L36*'Pricing &amp; Mix'!L20</f>
        <v/>
      </c>
      <c r="M12" s="4">
        <f>'Pricing &amp; Mix'!M35*'Pricing &amp; Mix'!M19+'Pricing &amp; Mix'!M36*'Pricing &amp; Mix'!M20</f>
        <v/>
      </c>
      <c r="N12" s="4">
        <f>'Pricing &amp; Mix'!N35*'Pricing &amp; Mix'!N19+'Pricing &amp; Mix'!N36*'Pricing &amp; Mix'!N20</f>
        <v/>
      </c>
      <c r="O12" s="4">
        <f>'Pricing &amp; Mix'!O35*'Pricing &amp; Mix'!O19+'Pricing &amp; Mix'!O36*'Pricing &amp; Mix'!O20</f>
        <v/>
      </c>
      <c r="P12" s="4">
        <f>'Pricing &amp; Mix'!P35*'Pricing &amp; Mix'!P19+'Pricing &amp; Mix'!P36*'Pricing &amp; Mix'!P20</f>
        <v/>
      </c>
      <c r="Q12" s="4">
        <f>'Pricing &amp; Mix'!Q35*'Pricing &amp; Mix'!Q19+'Pricing &amp; Mix'!Q36*'Pricing &amp; Mix'!Q20</f>
        <v/>
      </c>
      <c r="R12" s="4">
        <f>'Pricing &amp; Mix'!R35*'Pricing &amp; Mix'!R19+'Pricing &amp; Mix'!R36*'Pricing &amp; Mix'!R20</f>
        <v/>
      </c>
      <c r="S12" s="4">
        <f>'Pricing &amp; Mix'!S35*'Pricing &amp; Mix'!S19+'Pricing &amp; Mix'!S36*'Pricing &amp; Mix'!S20</f>
        <v/>
      </c>
      <c r="T12" s="4">
        <f>'Pricing &amp; Mix'!T35*'Pricing &amp; Mix'!T19+'Pricing &amp; Mix'!T36*'Pricing &amp; Mix'!T20</f>
        <v/>
      </c>
      <c r="U12" s="4">
        <f>'Pricing &amp; Mix'!U35*'Pricing &amp; Mix'!U19+'Pricing &amp; Mix'!U36*'Pricing &amp; Mix'!U20</f>
        <v/>
      </c>
      <c r="V12" s="4">
        <f>'Pricing &amp; Mix'!V35*'Pricing &amp; Mix'!V19+'Pricing &amp; Mix'!V36*'Pricing &amp; Mix'!V20</f>
        <v/>
      </c>
      <c r="W12" s="4">
        <f>'Pricing &amp; Mix'!W35*'Pricing &amp; Mix'!W19+'Pricing &amp; Mix'!W36*'Pricing &amp; Mix'!W20</f>
        <v/>
      </c>
      <c r="X12" s="4">
        <f>'Pricing &amp; Mix'!X35*'Pricing &amp; Mix'!X19+'Pricing &amp; Mix'!X36*'Pricing &amp; Mix'!X20</f>
        <v/>
      </c>
      <c r="Y12" s="4">
        <f>'Pricing &amp; Mix'!Y35*'Pricing &amp; Mix'!Y19+'Pricing &amp; Mix'!Y36*'Pricing &amp; Mix'!Y20</f>
        <v/>
      </c>
      <c r="Z12" s="4">
        <f>'Pricing &amp; Mix'!Z35*'Pricing &amp; Mix'!Z19+'Pricing &amp; Mix'!Z36*'Pricing &amp; Mix'!Z20</f>
        <v/>
      </c>
      <c r="AA12" s="4">
        <f>'Pricing &amp; Mix'!AA35*'Pricing &amp; Mix'!AA19+'Pricing &amp; Mix'!AA36*'Pricing &amp; Mix'!AA20</f>
        <v/>
      </c>
      <c r="AB12" s="4">
        <f>'Pricing &amp; Mix'!AB35*'Pricing &amp; Mix'!AB19+'Pricing &amp; Mix'!AB36*'Pricing &amp; Mix'!AB20</f>
        <v/>
      </c>
      <c r="AC12" s="4">
        <f>'Pricing &amp; Mix'!AC35*'Pricing &amp; Mix'!AC19+'Pricing &amp; Mix'!AC36*'Pricing &amp; Mix'!AC20</f>
        <v/>
      </c>
      <c r="AD12" s="4">
        <f>'Pricing &amp; Mix'!AD35*'Pricing &amp; Mix'!AD19+'Pricing &amp; Mix'!AD36*'Pricing &amp; Mix'!AD20</f>
        <v/>
      </c>
      <c r="AE12" s="4">
        <f>'Pricing &amp; Mix'!AE35*'Pricing &amp; Mix'!AE19+'Pricing &amp; Mix'!AE36*'Pricing &amp; Mix'!AE20</f>
        <v/>
      </c>
      <c r="AG12" s="4">
        <f>SUMIF($C$3:$AE$3,AG$3,$C12:$AE12)</f>
        <v/>
      </c>
      <c r="AH12" s="4">
        <f>SUMIF($C$3:$AE$3,AH$3,$C12:$AE12)</f>
        <v/>
      </c>
      <c r="AI12" s="4">
        <f>SUMIF($C$3:$AE$3,AI$3,$C12:$AE12)</f>
        <v/>
      </c>
      <c r="AJ12" s="4">
        <f>SUMIF($C$3:$AE$3,AJ$3,$C12:$AE12)</f>
        <v/>
      </c>
      <c r="AK12" s="4">
        <f>SUMIF($C$3:$AE$3,AK$3,$C12:$AE12)</f>
        <v/>
      </c>
      <c r="AL12" s="4">
        <f>SUMIF($C$3:$AE$3,AL$3,$C12:$AE12)</f>
        <v/>
      </c>
    </row>
    <row r="13">
      <c r="A13" t="inlineStr">
        <is>
          <t>Gross hardware revenue</t>
        </is>
      </c>
      <c r="B13" s="2" t="inlineStr"/>
      <c r="C13" s="4">
        <f>'Revenue Build'!C10+'Revenue Build'!C11+'Revenue Build'!C12</f>
        <v/>
      </c>
      <c r="D13" s="4">
        <f>'Revenue Build'!D10+'Revenue Build'!D11+'Revenue Build'!D12</f>
        <v/>
      </c>
      <c r="E13" s="4">
        <f>'Revenue Build'!E10+'Revenue Build'!E11+'Revenue Build'!E12</f>
        <v/>
      </c>
      <c r="F13" s="4">
        <f>'Revenue Build'!F10+'Revenue Build'!F11+'Revenue Build'!F12</f>
        <v/>
      </c>
      <c r="G13" s="4">
        <f>'Revenue Build'!G10+'Revenue Build'!G11+'Revenue Build'!G12</f>
        <v/>
      </c>
      <c r="H13" s="4">
        <f>'Revenue Build'!H10+'Revenue Build'!H11+'Revenue Build'!H12</f>
        <v/>
      </c>
      <c r="I13" s="4">
        <f>'Revenue Build'!I10+'Revenue Build'!I11+'Revenue Build'!I12</f>
        <v/>
      </c>
      <c r="J13" s="4">
        <f>'Revenue Build'!J10+'Revenue Build'!J11+'Revenue Build'!J12</f>
        <v/>
      </c>
      <c r="K13" s="4">
        <f>'Revenue Build'!K10+'Revenue Build'!K11+'Revenue Build'!K12</f>
        <v/>
      </c>
      <c r="L13" s="4">
        <f>'Revenue Build'!L10+'Revenue Build'!L11+'Revenue Build'!L12</f>
        <v/>
      </c>
      <c r="M13" s="4">
        <f>'Revenue Build'!M10+'Revenue Build'!M11+'Revenue Build'!M12</f>
        <v/>
      </c>
      <c r="N13" s="4">
        <f>'Revenue Build'!N10+'Revenue Build'!N11+'Revenue Build'!N12</f>
        <v/>
      </c>
      <c r="O13" s="4">
        <f>'Revenue Build'!O10+'Revenue Build'!O11+'Revenue Build'!O12</f>
        <v/>
      </c>
      <c r="P13" s="4">
        <f>'Revenue Build'!P10+'Revenue Build'!P11+'Revenue Build'!P12</f>
        <v/>
      </c>
      <c r="Q13" s="4">
        <f>'Revenue Build'!Q10+'Revenue Build'!Q11+'Revenue Build'!Q12</f>
        <v/>
      </c>
      <c r="R13" s="4">
        <f>'Revenue Build'!R10+'Revenue Build'!R11+'Revenue Build'!R12</f>
        <v/>
      </c>
      <c r="S13" s="4">
        <f>'Revenue Build'!S10+'Revenue Build'!S11+'Revenue Build'!S12</f>
        <v/>
      </c>
      <c r="T13" s="4">
        <f>'Revenue Build'!T10+'Revenue Build'!T11+'Revenue Build'!T12</f>
        <v/>
      </c>
      <c r="U13" s="4">
        <f>'Revenue Build'!U10+'Revenue Build'!U11+'Revenue Build'!U12</f>
        <v/>
      </c>
      <c r="V13" s="4">
        <f>'Revenue Build'!V10+'Revenue Build'!V11+'Revenue Build'!V12</f>
        <v/>
      </c>
      <c r="W13" s="4">
        <f>'Revenue Build'!W10+'Revenue Build'!W11+'Revenue Build'!W12</f>
        <v/>
      </c>
      <c r="X13" s="4">
        <f>'Revenue Build'!X10+'Revenue Build'!X11+'Revenue Build'!X12</f>
        <v/>
      </c>
      <c r="Y13" s="4">
        <f>'Revenue Build'!Y10+'Revenue Build'!Y11+'Revenue Build'!Y12</f>
        <v/>
      </c>
      <c r="Z13" s="4">
        <f>'Revenue Build'!Z10+'Revenue Build'!Z11+'Revenue Build'!Z12</f>
        <v/>
      </c>
      <c r="AA13" s="4">
        <f>'Revenue Build'!AA10+'Revenue Build'!AA11+'Revenue Build'!AA12</f>
        <v/>
      </c>
      <c r="AB13" s="4">
        <f>'Revenue Build'!AB10+'Revenue Build'!AB11+'Revenue Build'!AB12</f>
        <v/>
      </c>
      <c r="AC13" s="4">
        <f>'Revenue Build'!AC10+'Revenue Build'!AC11+'Revenue Build'!AC12</f>
        <v/>
      </c>
      <c r="AD13" s="4">
        <f>'Revenue Build'!AD10+'Revenue Build'!AD11+'Revenue Build'!AD12</f>
        <v/>
      </c>
      <c r="AE13" s="4">
        <f>'Revenue Build'!AE10+'Revenue Build'!AE11+'Revenue Build'!AE12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Less: returns &amp; refunds allowance</t>
        </is>
      </c>
      <c r="B14" s="2" t="inlineStr"/>
      <c r="C14" s="4">
        <f>-'Revenue Build'!C13*returns_pct</f>
        <v/>
      </c>
      <c r="D14" s="4">
        <f>-'Revenue Build'!D13*returns_pct</f>
        <v/>
      </c>
      <c r="E14" s="4">
        <f>-'Revenue Build'!E13*returns_pct</f>
        <v/>
      </c>
      <c r="F14" s="4">
        <f>-'Revenue Build'!F13*returns_pct</f>
        <v/>
      </c>
      <c r="G14" s="4">
        <f>-'Revenue Build'!G13*returns_pct</f>
        <v/>
      </c>
      <c r="H14" s="4">
        <f>-'Revenue Build'!H13*returns_pct</f>
        <v/>
      </c>
      <c r="I14" s="4">
        <f>-'Revenue Build'!I13*returns_pct</f>
        <v/>
      </c>
      <c r="J14" s="4">
        <f>-'Revenue Build'!J13*returns_pct</f>
        <v/>
      </c>
      <c r="K14" s="4">
        <f>-'Revenue Build'!K13*returns_pct</f>
        <v/>
      </c>
      <c r="L14" s="4">
        <f>-'Revenue Build'!L13*returns_pct</f>
        <v/>
      </c>
      <c r="M14" s="4">
        <f>-'Revenue Build'!M13*returns_pct</f>
        <v/>
      </c>
      <c r="N14" s="4">
        <f>-'Revenue Build'!N13*returns_pct</f>
        <v/>
      </c>
      <c r="O14" s="4">
        <f>-'Revenue Build'!O13*returns_pct</f>
        <v/>
      </c>
      <c r="P14" s="4">
        <f>-'Revenue Build'!P13*returns_pct</f>
        <v/>
      </c>
      <c r="Q14" s="4">
        <f>-'Revenue Build'!Q13*returns_pct</f>
        <v/>
      </c>
      <c r="R14" s="4">
        <f>-'Revenue Build'!R13*returns_pct</f>
        <v/>
      </c>
      <c r="S14" s="4">
        <f>-'Revenue Build'!S13*returns_pct</f>
        <v/>
      </c>
      <c r="T14" s="4">
        <f>-'Revenue Build'!T13*returns_pct</f>
        <v/>
      </c>
      <c r="U14" s="4">
        <f>-'Revenue Build'!U13*returns_pct</f>
        <v/>
      </c>
      <c r="V14" s="4">
        <f>-'Revenue Build'!V13*returns_pct</f>
        <v/>
      </c>
      <c r="W14" s="4">
        <f>-'Revenue Build'!W13*returns_pct</f>
        <v/>
      </c>
      <c r="X14" s="4">
        <f>-'Revenue Build'!X13*returns_pct</f>
        <v/>
      </c>
      <c r="Y14" s="4">
        <f>-'Revenue Build'!Y13*returns_pct</f>
        <v/>
      </c>
      <c r="Z14" s="4">
        <f>-'Revenue Build'!Z13*returns_pct</f>
        <v/>
      </c>
      <c r="AA14" s="4">
        <f>-'Revenue Build'!AA13*returns_pct</f>
        <v/>
      </c>
      <c r="AB14" s="4">
        <f>-'Revenue Build'!AB13*returns_pct</f>
        <v/>
      </c>
      <c r="AC14" s="4">
        <f>-'Revenue Build'!AC13*returns_pct</f>
        <v/>
      </c>
      <c r="AD14" s="4">
        <f>-'Revenue Build'!AD13*returns_pct</f>
        <v/>
      </c>
      <c r="AE14" s="4">
        <f>-'Revenue Build'!AE13*returns_pct</f>
        <v/>
      </c>
      <c r="AG14" s="4">
        <f>SUMIF($C$3:$AE$3,AG$3,$C14:$AE14)</f>
        <v/>
      </c>
      <c r="AH14" s="4">
        <f>SUMIF($C$3:$AE$3,AH$3,$C14:$AE14)</f>
        <v/>
      </c>
      <c r="AI14" s="4">
        <f>SUMIF($C$3:$AE$3,AI$3,$C14:$AE14)</f>
        <v/>
      </c>
      <c r="AJ14" s="4">
        <f>SUMIF($C$3:$AE$3,AJ$3,$C14:$AE14)</f>
        <v/>
      </c>
      <c r="AK14" s="4">
        <f>SUMIF($C$3:$AE$3,AK$3,$C14:$AE14)</f>
        <v/>
      </c>
      <c r="AL14" s="4">
        <f>SUMIF($C$3:$AE$3,AL$3,$C14:$AE14)</f>
        <v/>
      </c>
    </row>
    <row r="15">
      <c r="A15" s="13" t="inlineStr">
        <is>
          <t>Net hardware revenue</t>
        </is>
      </c>
      <c r="B15" s="2" t="inlineStr"/>
      <c r="C15" s="24">
        <f>'Revenue Build'!C13+'Revenue Build'!C14</f>
        <v/>
      </c>
      <c r="D15" s="24">
        <f>'Revenue Build'!D13+'Revenue Build'!D14</f>
        <v/>
      </c>
      <c r="E15" s="24">
        <f>'Revenue Build'!E13+'Revenue Build'!E14</f>
        <v/>
      </c>
      <c r="F15" s="24">
        <f>'Revenue Build'!F13+'Revenue Build'!F14</f>
        <v/>
      </c>
      <c r="G15" s="24">
        <f>'Revenue Build'!G13+'Revenue Build'!G14</f>
        <v/>
      </c>
      <c r="H15" s="24">
        <f>'Revenue Build'!H13+'Revenue Build'!H14</f>
        <v/>
      </c>
      <c r="I15" s="24">
        <f>'Revenue Build'!I13+'Revenue Build'!I14</f>
        <v/>
      </c>
      <c r="J15" s="24">
        <f>'Revenue Build'!J13+'Revenue Build'!J14</f>
        <v/>
      </c>
      <c r="K15" s="24">
        <f>'Revenue Build'!K13+'Revenue Build'!K14</f>
        <v/>
      </c>
      <c r="L15" s="24">
        <f>'Revenue Build'!L13+'Revenue Build'!L14</f>
        <v/>
      </c>
      <c r="M15" s="24">
        <f>'Revenue Build'!M13+'Revenue Build'!M14</f>
        <v/>
      </c>
      <c r="N15" s="24">
        <f>'Revenue Build'!N13+'Revenue Build'!N14</f>
        <v/>
      </c>
      <c r="O15" s="24">
        <f>'Revenue Build'!O13+'Revenue Build'!O14</f>
        <v/>
      </c>
      <c r="P15" s="24">
        <f>'Revenue Build'!P13+'Revenue Build'!P14</f>
        <v/>
      </c>
      <c r="Q15" s="24">
        <f>'Revenue Build'!Q13+'Revenue Build'!Q14</f>
        <v/>
      </c>
      <c r="R15" s="24">
        <f>'Revenue Build'!R13+'Revenue Build'!R14</f>
        <v/>
      </c>
      <c r="S15" s="24">
        <f>'Revenue Build'!S13+'Revenue Build'!S14</f>
        <v/>
      </c>
      <c r="T15" s="24">
        <f>'Revenue Build'!T13+'Revenue Build'!T14</f>
        <v/>
      </c>
      <c r="U15" s="24">
        <f>'Revenue Build'!U13+'Revenue Build'!U14</f>
        <v/>
      </c>
      <c r="V15" s="24">
        <f>'Revenue Build'!V13+'Revenue Build'!V14</f>
        <v/>
      </c>
      <c r="W15" s="24">
        <f>'Revenue Build'!W13+'Revenue Build'!W14</f>
        <v/>
      </c>
      <c r="X15" s="24">
        <f>'Revenue Build'!X13+'Revenue Build'!X14</f>
        <v/>
      </c>
      <c r="Y15" s="24">
        <f>'Revenue Build'!Y13+'Revenue Build'!Y14</f>
        <v/>
      </c>
      <c r="Z15" s="24">
        <f>'Revenue Build'!Z13+'Revenue Build'!Z14</f>
        <v/>
      </c>
      <c r="AA15" s="24">
        <f>'Revenue Build'!AA13+'Revenue Build'!AA14</f>
        <v/>
      </c>
      <c r="AB15" s="24">
        <f>'Revenue Build'!AB13+'Revenue Build'!AB14</f>
        <v/>
      </c>
      <c r="AC15" s="24">
        <f>'Revenue Build'!AC13+'Revenue Build'!AC14</f>
        <v/>
      </c>
      <c r="AD15" s="24">
        <f>'Revenue Build'!AD13+'Revenue Build'!AD14</f>
        <v/>
      </c>
      <c r="AE15" s="24">
        <f>'Revenue Build'!AE13+'Revenue Build'!AE14</f>
        <v/>
      </c>
      <c r="AG15" s="24">
        <f>SUMIF($C$3:$AE$3,AG$3,$C15:$AE15)</f>
        <v/>
      </c>
      <c r="AH15" s="24">
        <f>SUMIF($C$3:$AE$3,AH$3,$C15:$AE15)</f>
        <v/>
      </c>
      <c r="AI15" s="24">
        <f>SUMIF($C$3:$AE$3,AI$3,$C15:$AE15)</f>
        <v/>
      </c>
      <c r="AJ15" s="24">
        <f>SUMIF($C$3:$AE$3,AJ$3,$C15:$AE15)</f>
        <v/>
      </c>
      <c r="AK15" s="24">
        <f>SUMIF($C$3:$AE$3,AK$3,$C15:$AE15)</f>
        <v/>
      </c>
      <c r="AL15" s="24">
        <f>SUMIF($C$3:$AE$3,AL$3,$C15:$AE15)</f>
        <v/>
      </c>
    </row>
    <row r="17">
      <c r="A17" s="8" t="inlineStr">
        <is>
          <t>Recurring &amp; other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t="inlineStr">
        <is>
          <t>Subscriptions -- LORE Pass Explorer</t>
        </is>
      </c>
      <c r="B18" s="2" t="inlineStr"/>
      <c r="C18" s="4">
        <f>'Subscription Cohorts'!C23</f>
        <v/>
      </c>
      <c r="D18" s="4">
        <f>'Subscription Cohorts'!D23</f>
        <v/>
      </c>
      <c r="E18" s="4">
        <f>'Subscription Cohorts'!E23</f>
        <v/>
      </c>
      <c r="F18" s="4">
        <f>'Subscription Cohorts'!F23</f>
        <v/>
      </c>
      <c r="G18" s="4">
        <f>'Subscription Cohorts'!G23</f>
        <v/>
      </c>
      <c r="H18" s="4">
        <f>'Subscription Cohorts'!H23</f>
        <v/>
      </c>
      <c r="I18" s="4">
        <f>'Subscription Cohorts'!I23</f>
        <v/>
      </c>
      <c r="J18" s="4">
        <f>'Subscription Cohorts'!J23</f>
        <v/>
      </c>
      <c r="K18" s="4">
        <f>'Subscription Cohorts'!K23</f>
        <v/>
      </c>
      <c r="L18" s="4">
        <f>'Subscription Cohorts'!L23</f>
        <v/>
      </c>
      <c r="M18" s="4">
        <f>'Subscription Cohorts'!M23</f>
        <v/>
      </c>
      <c r="N18" s="4">
        <f>'Subscription Cohorts'!N23</f>
        <v/>
      </c>
      <c r="O18" s="4">
        <f>'Subscription Cohorts'!O23</f>
        <v/>
      </c>
      <c r="P18" s="4">
        <f>'Subscription Cohorts'!P23</f>
        <v/>
      </c>
      <c r="Q18" s="4">
        <f>'Subscription Cohorts'!Q23</f>
        <v/>
      </c>
      <c r="R18" s="4">
        <f>'Subscription Cohorts'!R23</f>
        <v/>
      </c>
      <c r="S18" s="4">
        <f>'Subscription Cohorts'!S23</f>
        <v/>
      </c>
      <c r="T18" s="4">
        <f>'Subscription Cohorts'!T23</f>
        <v/>
      </c>
      <c r="U18" s="4">
        <f>'Subscription Cohorts'!U23</f>
        <v/>
      </c>
      <c r="V18" s="4">
        <f>'Subscription Cohorts'!V23</f>
        <v/>
      </c>
      <c r="W18" s="4">
        <f>'Subscription Cohorts'!W23</f>
        <v/>
      </c>
      <c r="X18" s="4">
        <f>'Subscription Cohorts'!X23</f>
        <v/>
      </c>
      <c r="Y18" s="4">
        <f>'Subscription Cohorts'!Y23</f>
        <v/>
      </c>
      <c r="Z18" s="4">
        <f>'Subscription Cohorts'!Z23</f>
        <v/>
      </c>
      <c r="AA18" s="4">
        <f>'Subscription Cohorts'!AA23</f>
        <v/>
      </c>
      <c r="AB18" s="4">
        <f>'Subscription Cohorts'!AB23</f>
        <v/>
      </c>
      <c r="AC18" s="4">
        <f>'Subscription Cohorts'!AC23</f>
        <v/>
      </c>
      <c r="AD18" s="4">
        <f>'Subscription Cohorts'!AD23</f>
        <v/>
      </c>
      <c r="AE18" s="4">
        <f>'Subscription Cohorts'!AE23</f>
        <v/>
      </c>
      <c r="AG18" s="4">
        <f>SUMIF($C$3:$AE$3,AG$3,$C18:$AE18)</f>
        <v/>
      </c>
      <c r="AH18" s="4">
        <f>SUMIF($C$3:$AE$3,AH$3,$C18:$AE18)</f>
        <v/>
      </c>
      <c r="AI18" s="4">
        <f>SUMIF($C$3:$AE$3,AI$3,$C18:$AE18)</f>
        <v/>
      </c>
      <c r="AJ18" s="4">
        <f>SUMIF($C$3:$AE$3,AJ$3,$C18:$AE18)</f>
        <v/>
      </c>
      <c r="AK18" s="4">
        <f>SUMIF($C$3:$AE$3,AK$3,$C18:$AE18)</f>
        <v/>
      </c>
      <c r="AL18" s="4">
        <f>SUMIF($C$3:$AE$3,AL$3,$C18:$AE18)</f>
        <v/>
      </c>
    </row>
    <row r="19">
      <c r="A19" t="inlineStr">
        <is>
          <t>Subscriptions -- Trip Pass</t>
        </is>
      </c>
      <c r="B19" s="2" t="inlineStr"/>
      <c r="C19" s="4">
        <f>'Subscription Cohorts'!C35</f>
        <v/>
      </c>
      <c r="D19" s="4">
        <f>'Subscription Cohorts'!D35</f>
        <v/>
      </c>
      <c r="E19" s="4">
        <f>'Subscription Cohorts'!E35</f>
        <v/>
      </c>
      <c r="F19" s="4">
        <f>'Subscription Cohorts'!F35</f>
        <v/>
      </c>
      <c r="G19" s="4">
        <f>'Subscription Cohorts'!G35</f>
        <v/>
      </c>
      <c r="H19" s="4">
        <f>'Subscription Cohorts'!H35</f>
        <v/>
      </c>
      <c r="I19" s="4">
        <f>'Subscription Cohorts'!I35</f>
        <v/>
      </c>
      <c r="J19" s="4">
        <f>'Subscription Cohorts'!J35</f>
        <v/>
      </c>
      <c r="K19" s="4">
        <f>'Subscription Cohorts'!K35</f>
        <v/>
      </c>
      <c r="L19" s="4">
        <f>'Subscription Cohorts'!L35</f>
        <v/>
      </c>
      <c r="M19" s="4">
        <f>'Subscription Cohorts'!M35</f>
        <v/>
      </c>
      <c r="N19" s="4">
        <f>'Subscription Cohorts'!N35</f>
        <v/>
      </c>
      <c r="O19" s="4">
        <f>'Subscription Cohorts'!O35</f>
        <v/>
      </c>
      <c r="P19" s="4">
        <f>'Subscription Cohorts'!P35</f>
        <v/>
      </c>
      <c r="Q19" s="4">
        <f>'Subscription Cohorts'!Q35</f>
        <v/>
      </c>
      <c r="R19" s="4">
        <f>'Subscription Cohorts'!R35</f>
        <v/>
      </c>
      <c r="S19" s="4">
        <f>'Subscription Cohorts'!S35</f>
        <v/>
      </c>
      <c r="T19" s="4">
        <f>'Subscription Cohorts'!T35</f>
        <v/>
      </c>
      <c r="U19" s="4">
        <f>'Subscription Cohorts'!U35</f>
        <v/>
      </c>
      <c r="V19" s="4">
        <f>'Subscription Cohorts'!V35</f>
        <v/>
      </c>
      <c r="W19" s="4">
        <f>'Subscription Cohorts'!W35</f>
        <v/>
      </c>
      <c r="X19" s="4">
        <f>'Subscription Cohorts'!X35</f>
        <v/>
      </c>
      <c r="Y19" s="4">
        <f>'Subscription Cohorts'!Y35</f>
        <v/>
      </c>
      <c r="Z19" s="4">
        <f>'Subscription Cohorts'!Z35</f>
        <v/>
      </c>
      <c r="AA19" s="4">
        <f>'Subscription Cohorts'!AA35</f>
        <v/>
      </c>
      <c r="AB19" s="4">
        <f>'Subscription Cohorts'!AB35</f>
        <v/>
      </c>
      <c r="AC19" s="4">
        <f>'Subscription Cohorts'!AC35</f>
        <v/>
      </c>
      <c r="AD19" s="4">
        <f>'Subscription Cohorts'!AD35</f>
        <v/>
      </c>
      <c r="AE19" s="4">
        <f>'Subscription Cohorts'!AE35</f>
        <v/>
      </c>
      <c r="AG19" s="4">
        <f>SUMIF($C$3:$AE$3,AG$3,$C19:$AE19)</f>
        <v/>
      </c>
      <c r="AH19" s="4">
        <f>SUMIF($C$3:$AE$3,AH$3,$C19:$AE19)</f>
        <v/>
      </c>
      <c r="AI19" s="4">
        <f>SUMIF($C$3:$AE$3,AI$3,$C19:$AE19)</f>
        <v/>
      </c>
      <c r="AJ19" s="4">
        <f>SUMIF($C$3:$AE$3,AJ$3,$C19:$AE19)</f>
        <v/>
      </c>
      <c r="AK19" s="4">
        <f>SUMIF($C$3:$AE$3,AK$3,$C19:$AE19)</f>
        <v/>
      </c>
      <c r="AL19" s="4">
        <f>SUMIF($C$3:$AE$3,AL$3,$C19:$AE19)</f>
        <v/>
      </c>
    </row>
    <row r="20">
      <c r="A20" t="inlineStr">
        <is>
          <t>Accessories (LORE Kit)</t>
        </is>
      </c>
      <c r="B20" s="2" t="inlineStr"/>
      <c r="C20" s="4">
        <f>'Pricing &amp; Mix'!C40*acc_attach*acc_aov*sc_price</f>
        <v/>
      </c>
      <c r="D20" s="4">
        <f>'Pricing &amp; Mix'!D40*acc_attach*acc_aov*sc_price</f>
        <v/>
      </c>
      <c r="E20" s="4">
        <f>'Pricing &amp; Mix'!E40*acc_attach*acc_aov*sc_price</f>
        <v/>
      </c>
      <c r="F20" s="4">
        <f>'Pricing &amp; Mix'!F40*acc_attach*acc_aov*sc_price</f>
        <v/>
      </c>
      <c r="G20" s="4">
        <f>'Pricing &amp; Mix'!G40*acc_attach*acc_aov*sc_price</f>
        <v/>
      </c>
      <c r="H20" s="4">
        <f>'Pricing &amp; Mix'!H40*acc_attach*acc_aov*sc_price</f>
        <v/>
      </c>
      <c r="I20" s="4">
        <f>'Pricing &amp; Mix'!I40*acc_attach*acc_aov*sc_price</f>
        <v/>
      </c>
      <c r="J20" s="4">
        <f>'Pricing &amp; Mix'!J40*acc_attach*acc_aov*sc_price</f>
        <v/>
      </c>
      <c r="K20" s="4">
        <f>'Pricing &amp; Mix'!K40*acc_attach*acc_aov*sc_price</f>
        <v/>
      </c>
      <c r="L20" s="4">
        <f>'Pricing &amp; Mix'!L40*acc_attach*acc_aov*sc_price</f>
        <v/>
      </c>
      <c r="M20" s="4">
        <f>'Pricing &amp; Mix'!M40*acc_attach*acc_aov*sc_price</f>
        <v/>
      </c>
      <c r="N20" s="4">
        <f>'Pricing &amp; Mix'!N40*acc_attach*acc_aov*sc_price</f>
        <v/>
      </c>
      <c r="O20" s="4">
        <f>'Pricing &amp; Mix'!O40*acc_attach*acc_aov*sc_price</f>
        <v/>
      </c>
      <c r="P20" s="4">
        <f>'Pricing &amp; Mix'!P40*acc_attach*acc_aov*sc_price</f>
        <v/>
      </c>
      <c r="Q20" s="4">
        <f>'Pricing &amp; Mix'!Q40*acc_attach*acc_aov*sc_price</f>
        <v/>
      </c>
      <c r="R20" s="4">
        <f>'Pricing &amp; Mix'!R40*acc_attach*acc_aov*sc_price</f>
        <v/>
      </c>
      <c r="S20" s="4">
        <f>'Pricing &amp; Mix'!S40*acc_attach*acc_aov*sc_price</f>
        <v/>
      </c>
      <c r="T20" s="4">
        <f>'Pricing &amp; Mix'!T40*acc_attach*acc_aov*sc_price</f>
        <v/>
      </c>
      <c r="U20" s="4">
        <f>'Pricing &amp; Mix'!U40*acc_attach*acc_aov*sc_price</f>
        <v/>
      </c>
      <c r="V20" s="4">
        <f>'Pricing &amp; Mix'!V40*acc_attach*acc_aov*sc_price</f>
        <v/>
      </c>
      <c r="W20" s="4">
        <f>'Pricing &amp; Mix'!W40*acc_attach*acc_aov*sc_price</f>
        <v/>
      </c>
      <c r="X20" s="4">
        <f>'Pricing &amp; Mix'!X40*acc_attach*acc_aov*sc_price</f>
        <v/>
      </c>
      <c r="Y20" s="4">
        <f>'Pricing &amp; Mix'!Y40*acc_attach*acc_aov*sc_price</f>
        <v/>
      </c>
      <c r="Z20" s="4">
        <f>'Pricing &amp; Mix'!Z40*acc_attach*acc_aov*sc_price</f>
        <v/>
      </c>
      <c r="AA20" s="4">
        <f>'Pricing &amp; Mix'!AA40*acc_attach*acc_aov*sc_price</f>
        <v/>
      </c>
      <c r="AB20" s="4">
        <f>'Pricing &amp; Mix'!AB40*acc_attach*acc_aov*sc_price</f>
        <v/>
      </c>
      <c r="AC20" s="4">
        <f>'Pricing &amp; Mix'!AC40*acc_attach*acc_aov*sc_price</f>
        <v/>
      </c>
      <c r="AD20" s="4">
        <f>'Pricing &amp; Mix'!AD40*acc_attach*acc_aov*sc_price</f>
        <v/>
      </c>
      <c r="AE20" s="4">
        <f>'Pricing &amp; Mix'!AE40*acc_attach*acc_aov*sc_price</f>
        <v/>
      </c>
      <c r="AG20" s="4">
        <f>SUMIF($C$3:$AE$3,AG$3,$C20:$AE20)</f>
        <v/>
      </c>
      <c r="AH20" s="4">
        <f>SUMIF($C$3:$AE$3,AH$3,$C20:$AE20)</f>
        <v/>
      </c>
      <c r="AI20" s="4">
        <f>SUMIF($C$3:$AE$3,AI$3,$C20:$AE20)</f>
        <v/>
      </c>
      <c r="AJ20" s="4">
        <f>SUMIF($C$3:$AE$3,AJ$3,$C20:$AE20)</f>
        <v/>
      </c>
      <c r="AK20" s="4">
        <f>SUMIF($C$3:$AE$3,AK$3,$C20:$AE20)</f>
        <v/>
      </c>
      <c r="AL20" s="4">
        <f>SUMIF($C$3:$AE$3,AL$3,$C20:$AE20)</f>
        <v/>
      </c>
    </row>
    <row r="21">
      <c r="A21" t="inlineStr">
        <is>
          <t>Affiliate bookings (hotels, tours, restaurants)</t>
        </is>
      </c>
      <c r="B21" s="2" t="inlineStr"/>
      <c r="C21" s="4">
        <f>'Subscription Cohorts'!C31*Assumptions!C108</f>
        <v/>
      </c>
      <c r="D21" s="4">
        <f>'Subscription Cohorts'!D31*Assumptions!D108</f>
        <v/>
      </c>
      <c r="E21" s="4">
        <f>'Subscription Cohorts'!E31*Assumptions!E108</f>
        <v/>
      </c>
      <c r="F21" s="4">
        <f>'Subscription Cohorts'!F31*Assumptions!F108</f>
        <v/>
      </c>
      <c r="G21" s="4">
        <f>'Subscription Cohorts'!G31*Assumptions!G108</f>
        <v/>
      </c>
      <c r="H21" s="4">
        <f>'Subscription Cohorts'!H31*Assumptions!H108</f>
        <v/>
      </c>
      <c r="I21" s="4">
        <f>'Subscription Cohorts'!I31*Assumptions!I108</f>
        <v/>
      </c>
      <c r="J21" s="4">
        <f>'Subscription Cohorts'!J31*Assumptions!J108</f>
        <v/>
      </c>
      <c r="K21" s="4">
        <f>'Subscription Cohorts'!K31*Assumptions!K108</f>
        <v/>
      </c>
      <c r="L21" s="4">
        <f>'Subscription Cohorts'!L31*Assumptions!L108</f>
        <v/>
      </c>
      <c r="M21" s="4">
        <f>'Subscription Cohorts'!M31*Assumptions!M108</f>
        <v/>
      </c>
      <c r="N21" s="4">
        <f>'Subscription Cohorts'!N31*Assumptions!N108</f>
        <v/>
      </c>
      <c r="O21" s="4">
        <f>'Subscription Cohorts'!O31*Assumptions!O108</f>
        <v/>
      </c>
      <c r="P21" s="4">
        <f>'Subscription Cohorts'!P31*Assumptions!P108</f>
        <v/>
      </c>
      <c r="Q21" s="4">
        <f>'Subscription Cohorts'!Q31*Assumptions!Q108</f>
        <v/>
      </c>
      <c r="R21" s="4">
        <f>'Subscription Cohorts'!R31*Assumptions!R108</f>
        <v/>
      </c>
      <c r="S21" s="4">
        <f>'Subscription Cohorts'!S31*Assumptions!S108</f>
        <v/>
      </c>
      <c r="T21" s="4">
        <f>'Subscription Cohorts'!T31*Assumptions!T108</f>
        <v/>
      </c>
      <c r="U21" s="4">
        <f>'Subscription Cohorts'!U31*Assumptions!U108</f>
        <v/>
      </c>
      <c r="V21" s="4">
        <f>'Subscription Cohorts'!V31*Assumptions!V108</f>
        <v/>
      </c>
      <c r="W21" s="4">
        <f>'Subscription Cohorts'!W31*Assumptions!W108</f>
        <v/>
      </c>
      <c r="X21" s="4">
        <f>'Subscription Cohorts'!X31*Assumptions!X108</f>
        <v/>
      </c>
      <c r="Y21" s="4">
        <f>'Subscription Cohorts'!Y31*Assumptions!Y108</f>
        <v/>
      </c>
      <c r="Z21" s="4">
        <f>'Subscription Cohorts'!Z31*Assumptions!Z108</f>
        <v/>
      </c>
      <c r="AA21" s="4">
        <f>'Subscription Cohorts'!AA31*Assumptions!AA108</f>
        <v/>
      </c>
      <c r="AB21" s="4">
        <f>'Subscription Cohorts'!AB31*Assumptions!AB108</f>
        <v/>
      </c>
      <c r="AC21" s="4">
        <f>'Subscription Cohorts'!AC31*Assumptions!AC108</f>
        <v/>
      </c>
      <c r="AD21" s="4">
        <f>'Subscription Cohorts'!AD31*Assumptions!AD108</f>
        <v/>
      </c>
      <c r="AE21" s="4">
        <f>'Subscription Cohorts'!AE31*Assumptions!AE108</f>
        <v/>
      </c>
      <c r="AG21" s="4">
        <f>SUMIF($C$3:$AE$3,AG$3,$C21:$AE21)</f>
        <v/>
      </c>
      <c r="AH21" s="4">
        <f>SUMIF($C$3:$AE$3,AH$3,$C21:$AE21)</f>
        <v/>
      </c>
      <c r="AI21" s="4">
        <f>SUMIF($C$3:$AE$3,AI$3,$C21:$AE21)</f>
        <v/>
      </c>
      <c r="AJ21" s="4">
        <f>SUMIF($C$3:$AE$3,AJ$3,$C21:$AE21)</f>
        <v/>
      </c>
      <c r="AK21" s="4">
        <f>SUMIF($C$3:$AE$3,AK$3,$C21:$AE21)</f>
        <v/>
      </c>
      <c r="AL21" s="4">
        <f>SUMIF($C$3:$AE$3,AL$3,$C21:$AE21)</f>
        <v/>
      </c>
    </row>
    <row r="22">
      <c r="A22" t="inlineStr">
        <is>
          <t>B2B fleet devices -- average deployed</t>
        </is>
      </c>
      <c r="B22" s="2" t="inlineStr">
        <is>
          <t>devices</t>
        </is>
      </c>
      <c r="C22" s="4">
        <f>(Assumptions!C106+0)/2</f>
        <v/>
      </c>
      <c r="D22" s="4">
        <f>(Assumptions!D106+Assumptions!C106)/2</f>
        <v/>
      </c>
      <c r="E22" s="4">
        <f>(Assumptions!E106+Assumptions!D106)/2</f>
        <v/>
      </c>
      <c r="F22" s="4">
        <f>(Assumptions!F106+Assumptions!E106)/2</f>
        <v/>
      </c>
      <c r="G22" s="4">
        <f>(Assumptions!G106+Assumptions!F106)/2</f>
        <v/>
      </c>
      <c r="H22" s="4">
        <f>(Assumptions!H106+Assumptions!G106)/2</f>
        <v/>
      </c>
      <c r="I22" s="4">
        <f>(Assumptions!I106+Assumptions!H106)/2</f>
        <v/>
      </c>
      <c r="J22" s="4">
        <f>(Assumptions!J106+Assumptions!I106)/2</f>
        <v/>
      </c>
      <c r="K22" s="4">
        <f>(Assumptions!K106+Assumptions!J106)/2</f>
        <v/>
      </c>
      <c r="L22" s="4">
        <f>(Assumptions!L106+Assumptions!K106)/2</f>
        <v/>
      </c>
      <c r="M22" s="4">
        <f>(Assumptions!M106+Assumptions!L106)/2</f>
        <v/>
      </c>
      <c r="N22" s="4">
        <f>(Assumptions!N106+Assumptions!M106)/2</f>
        <v/>
      </c>
      <c r="O22" s="4">
        <f>(Assumptions!O106+Assumptions!N106)/2</f>
        <v/>
      </c>
      <c r="P22" s="4">
        <f>(Assumptions!P106+Assumptions!O106)/2</f>
        <v/>
      </c>
      <c r="Q22" s="4">
        <f>(Assumptions!Q106+Assumptions!P106)/2</f>
        <v/>
      </c>
      <c r="R22" s="4">
        <f>(Assumptions!R106+Assumptions!Q106)/2</f>
        <v/>
      </c>
      <c r="S22" s="4">
        <f>(Assumptions!S106+Assumptions!R106)/2</f>
        <v/>
      </c>
      <c r="T22" s="4">
        <f>(Assumptions!T106+Assumptions!S106)/2</f>
        <v/>
      </c>
      <c r="U22" s="4">
        <f>(Assumptions!U106+Assumptions!T106)/2</f>
        <v/>
      </c>
      <c r="V22" s="4">
        <f>(Assumptions!V106+Assumptions!U106)/2</f>
        <v/>
      </c>
      <c r="W22" s="4">
        <f>(Assumptions!W106+Assumptions!V106)/2</f>
        <v/>
      </c>
      <c r="X22" s="4">
        <f>(Assumptions!X106+Assumptions!W106)/2</f>
        <v/>
      </c>
      <c r="Y22" s="4">
        <f>(Assumptions!Y106+Assumptions!X106)/2</f>
        <v/>
      </c>
      <c r="Z22" s="4">
        <f>(Assumptions!Z106+Assumptions!Y106)/2</f>
        <v/>
      </c>
      <c r="AA22" s="4">
        <f>(Assumptions!AA106+Assumptions!Z106)/2</f>
        <v/>
      </c>
      <c r="AB22" s="4">
        <f>(Assumptions!AB106+Assumptions!AA106)/2</f>
        <v/>
      </c>
      <c r="AC22" s="4">
        <f>(Assumptions!AC106+Assumptions!AB106)/2</f>
        <v/>
      </c>
      <c r="AD22" s="4">
        <f>(Assumptions!AD106+Assumptions!AC106)/2</f>
        <v/>
      </c>
      <c r="AE22" s="4">
        <f>(Assumptions!AE106+Assumptions!AD106)/2</f>
        <v/>
      </c>
      <c r="AG22" s="4">
        <f>SUMIF($C$3:$AE$3,AG$3,$C22:$AE22)/COUNTIF($C$3:$AE$3,AG$3)</f>
        <v/>
      </c>
      <c r="AH22" s="4">
        <f>SUMIF($C$3:$AE$3,AH$3,$C22:$AE22)/COUNTIF($C$3:$AE$3,AH$3)</f>
        <v/>
      </c>
      <c r="AI22" s="4">
        <f>SUMIF($C$3:$AE$3,AI$3,$C22:$AE22)/COUNTIF($C$3:$AE$3,AI$3)</f>
        <v/>
      </c>
      <c r="AJ22" s="4">
        <f>SUMIF($C$3:$AE$3,AJ$3,$C22:$AE22)/COUNTIF($C$3:$AE$3,AJ$3)</f>
        <v/>
      </c>
      <c r="AK22" s="4">
        <f>SUMIF($C$3:$AE$3,AK$3,$C22:$AE22)/COUNTIF($C$3:$AE$3,AK$3)</f>
        <v/>
      </c>
      <c r="AL22" s="4">
        <f>SUMIF($C$3:$AE$3,AL$3,$C22:$AE22)/COUNTIF($C$3:$AE$3,AL$3)</f>
        <v/>
      </c>
    </row>
    <row r="23">
      <c r="A23" t="inlineStr">
        <is>
          <t>B2B fleet rental</t>
        </is>
      </c>
      <c r="B23" s="2" t="inlineStr"/>
      <c r="C23" s="4">
        <f>'Revenue Build'!C22*fleet_fee*Timeline!C4</f>
        <v/>
      </c>
      <c r="D23" s="4">
        <f>'Revenue Build'!D22*fleet_fee*Timeline!D4</f>
        <v/>
      </c>
      <c r="E23" s="4">
        <f>'Revenue Build'!E22*fleet_fee*Timeline!E4</f>
        <v/>
      </c>
      <c r="F23" s="4">
        <f>'Revenue Build'!F22*fleet_fee*Timeline!F4</f>
        <v/>
      </c>
      <c r="G23" s="4">
        <f>'Revenue Build'!G22*fleet_fee*Timeline!G4</f>
        <v/>
      </c>
      <c r="H23" s="4">
        <f>'Revenue Build'!H22*fleet_fee*Timeline!H4</f>
        <v/>
      </c>
      <c r="I23" s="4">
        <f>'Revenue Build'!I22*fleet_fee*Timeline!I4</f>
        <v/>
      </c>
      <c r="J23" s="4">
        <f>'Revenue Build'!J22*fleet_fee*Timeline!J4</f>
        <v/>
      </c>
      <c r="K23" s="4">
        <f>'Revenue Build'!K22*fleet_fee*Timeline!K4</f>
        <v/>
      </c>
      <c r="L23" s="4">
        <f>'Revenue Build'!L22*fleet_fee*Timeline!L4</f>
        <v/>
      </c>
      <c r="M23" s="4">
        <f>'Revenue Build'!M22*fleet_fee*Timeline!M4</f>
        <v/>
      </c>
      <c r="N23" s="4">
        <f>'Revenue Build'!N22*fleet_fee*Timeline!N4</f>
        <v/>
      </c>
      <c r="O23" s="4">
        <f>'Revenue Build'!O22*fleet_fee*Timeline!O4</f>
        <v/>
      </c>
      <c r="P23" s="4">
        <f>'Revenue Build'!P22*fleet_fee*Timeline!P4</f>
        <v/>
      </c>
      <c r="Q23" s="4">
        <f>'Revenue Build'!Q22*fleet_fee*Timeline!Q4</f>
        <v/>
      </c>
      <c r="R23" s="4">
        <f>'Revenue Build'!R22*fleet_fee*Timeline!R4</f>
        <v/>
      </c>
      <c r="S23" s="4">
        <f>'Revenue Build'!S22*fleet_fee*Timeline!S4</f>
        <v/>
      </c>
      <c r="T23" s="4">
        <f>'Revenue Build'!T22*fleet_fee*Timeline!T4</f>
        <v/>
      </c>
      <c r="U23" s="4">
        <f>'Revenue Build'!U22*fleet_fee*Timeline!U4</f>
        <v/>
      </c>
      <c r="V23" s="4">
        <f>'Revenue Build'!V22*fleet_fee*Timeline!V4</f>
        <v/>
      </c>
      <c r="W23" s="4">
        <f>'Revenue Build'!W22*fleet_fee*Timeline!W4</f>
        <v/>
      </c>
      <c r="X23" s="4">
        <f>'Revenue Build'!X22*fleet_fee*Timeline!X4</f>
        <v/>
      </c>
      <c r="Y23" s="4">
        <f>'Revenue Build'!Y22*fleet_fee*Timeline!Y4</f>
        <v/>
      </c>
      <c r="Z23" s="4">
        <f>'Revenue Build'!Z22*fleet_fee*Timeline!Z4</f>
        <v/>
      </c>
      <c r="AA23" s="4">
        <f>'Revenue Build'!AA22*fleet_fee*Timeline!AA4</f>
        <v/>
      </c>
      <c r="AB23" s="4">
        <f>'Revenue Build'!AB22*fleet_fee*Timeline!AB4</f>
        <v/>
      </c>
      <c r="AC23" s="4">
        <f>'Revenue Build'!AC22*fleet_fee*Timeline!AC4</f>
        <v/>
      </c>
      <c r="AD23" s="4">
        <f>'Revenue Build'!AD22*fleet_fee*Timeline!AD4</f>
        <v/>
      </c>
      <c r="AE23" s="4">
        <f>'Revenue Build'!AE22*fleet_fee*Timeline!AE4</f>
        <v/>
      </c>
      <c r="AG23" s="4">
        <f>SUMIF($C$3:$AE$3,AG$3,$C23:$AE23)</f>
        <v/>
      </c>
      <c r="AH23" s="4">
        <f>SUMIF($C$3:$AE$3,AH$3,$C23:$AE23)</f>
        <v/>
      </c>
      <c r="AI23" s="4">
        <f>SUMIF($C$3:$AE$3,AI$3,$C23:$AE23)</f>
        <v/>
      </c>
      <c r="AJ23" s="4">
        <f>SUMIF($C$3:$AE$3,AJ$3,$C23:$AE23)</f>
        <v/>
      </c>
      <c r="AK23" s="4">
        <f>SUMIF($C$3:$AE$3,AK$3,$C23:$AE23)</f>
        <v/>
      </c>
      <c r="AL23" s="4">
        <f>SUMIF($C$3:$AE$3,AL$3,$C23:$AE23)</f>
        <v/>
      </c>
    </row>
    <row r="24">
      <c r="A24" s="13" t="inlineStr">
        <is>
          <t>TOTAL REVENUE</t>
        </is>
      </c>
      <c r="B24" s="2" t="inlineStr"/>
      <c r="C24" s="24">
        <f>'Revenue Build'!C15+'Revenue Build'!C18+'Revenue Build'!C19+'Revenue Build'!C20+'Revenue Build'!C21+'Revenue Build'!C23</f>
        <v/>
      </c>
      <c r="D24" s="24">
        <f>'Revenue Build'!D15+'Revenue Build'!D18+'Revenue Build'!D19+'Revenue Build'!D20+'Revenue Build'!D21+'Revenue Build'!D23</f>
        <v/>
      </c>
      <c r="E24" s="24">
        <f>'Revenue Build'!E15+'Revenue Build'!E18+'Revenue Build'!E19+'Revenue Build'!E20+'Revenue Build'!E21+'Revenue Build'!E23</f>
        <v/>
      </c>
      <c r="F24" s="24">
        <f>'Revenue Build'!F15+'Revenue Build'!F18+'Revenue Build'!F19+'Revenue Build'!F20+'Revenue Build'!F21+'Revenue Build'!F23</f>
        <v/>
      </c>
      <c r="G24" s="24">
        <f>'Revenue Build'!G15+'Revenue Build'!G18+'Revenue Build'!G19+'Revenue Build'!G20+'Revenue Build'!G21+'Revenue Build'!G23</f>
        <v/>
      </c>
      <c r="H24" s="24">
        <f>'Revenue Build'!H15+'Revenue Build'!H18+'Revenue Build'!H19+'Revenue Build'!H20+'Revenue Build'!H21+'Revenue Build'!H23</f>
        <v/>
      </c>
      <c r="I24" s="24">
        <f>'Revenue Build'!I15+'Revenue Build'!I18+'Revenue Build'!I19+'Revenue Build'!I20+'Revenue Build'!I21+'Revenue Build'!I23</f>
        <v/>
      </c>
      <c r="J24" s="24">
        <f>'Revenue Build'!J15+'Revenue Build'!J18+'Revenue Build'!J19+'Revenue Build'!J20+'Revenue Build'!J21+'Revenue Build'!J23</f>
        <v/>
      </c>
      <c r="K24" s="24">
        <f>'Revenue Build'!K15+'Revenue Build'!K18+'Revenue Build'!K19+'Revenue Build'!K20+'Revenue Build'!K21+'Revenue Build'!K23</f>
        <v/>
      </c>
      <c r="L24" s="24">
        <f>'Revenue Build'!L15+'Revenue Build'!L18+'Revenue Build'!L19+'Revenue Build'!L20+'Revenue Build'!L21+'Revenue Build'!L23</f>
        <v/>
      </c>
      <c r="M24" s="24">
        <f>'Revenue Build'!M15+'Revenue Build'!M18+'Revenue Build'!M19+'Revenue Build'!M20+'Revenue Build'!M21+'Revenue Build'!M23</f>
        <v/>
      </c>
      <c r="N24" s="24">
        <f>'Revenue Build'!N15+'Revenue Build'!N18+'Revenue Build'!N19+'Revenue Build'!N20+'Revenue Build'!N21+'Revenue Build'!N23</f>
        <v/>
      </c>
      <c r="O24" s="24">
        <f>'Revenue Build'!O15+'Revenue Build'!O18+'Revenue Build'!O19+'Revenue Build'!O20+'Revenue Build'!O21+'Revenue Build'!O23</f>
        <v/>
      </c>
      <c r="P24" s="24">
        <f>'Revenue Build'!P15+'Revenue Build'!P18+'Revenue Build'!P19+'Revenue Build'!P20+'Revenue Build'!P21+'Revenue Build'!P23</f>
        <v/>
      </c>
      <c r="Q24" s="24">
        <f>'Revenue Build'!Q15+'Revenue Build'!Q18+'Revenue Build'!Q19+'Revenue Build'!Q20+'Revenue Build'!Q21+'Revenue Build'!Q23</f>
        <v/>
      </c>
      <c r="R24" s="24">
        <f>'Revenue Build'!R15+'Revenue Build'!R18+'Revenue Build'!R19+'Revenue Build'!R20+'Revenue Build'!R21+'Revenue Build'!R23</f>
        <v/>
      </c>
      <c r="S24" s="24">
        <f>'Revenue Build'!S15+'Revenue Build'!S18+'Revenue Build'!S19+'Revenue Build'!S20+'Revenue Build'!S21+'Revenue Build'!S23</f>
        <v/>
      </c>
      <c r="T24" s="24">
        <f>'Revenue Build'!T15+'Revenue Build'!T18+'Revenue Build'!T19+'Revenue Build'!T20+'Revenue Build'!T21+'Revenue Build'!T23</f>
        <v/>
      </c>
      <c r="U24" s="24">
        <f>'Revenue Build'!U15+'Revenue Build'!U18+'Revenue Build'!U19+'Revenue Build'!U20+'Revenue Build'!U21+'Revenue Build'!U23</f>
        <v/>
      </c>
      <c r="V24" s="24">
        <f>'Revenue Build'!V15+'Revenue Build'!V18+'Revenue Build'!V19+'Revenue Build'!V20+'Revenue Build'!V21+'Revenue Build'!V23</f>
        <v/>
      </c>
      <c r="W24" s="24">
        <f>'Revenue Build'!W15+'Revenue Build'!W18+'Revenue Build'!W19+'Revenue Build'!W20+'Revenue Build'!W21+'Revenue Build'!W23</f>
        <v/>
      </c>
      <c r="X24" s="24">
        <f>'Revenue Build'!X15+'Revenue Build'!X18+'Revenue Build'!X19+'Revenue Build'!X20+'Revenue Build'!X21+'Revenue Build'!X23</f>
        <v/>
      </c>
      <c r="Y24" s="24">
        <f>'Revenue Build'!Y15+'Revenue Build'!Y18+'Revenue Build'!Y19+'Revenue Build'!Y20+'Revenue Build'!Y21+'Revenue Build'!Y23</f>
        <v/>
      </c>
      <c r="Z24" s="24">
        <f>'Revenue Build'!Z15+'Revenue Build'!Z18+'Revenue Build'!Z19+'Revenue Build'!Z20+'Revenue Build'!Z21+'Revenue Build'!Z23</f>
        <v/>
      </c>
      <c r="AA24" s="24">
        <f>'Revenue Build'!AA15+'Revenue Build'!AA18+'Revenue Build'!AA19+'Revenue Build'!AA20+'Revenue Build'!AA21+'Revenue Build'!AA23</f>
        <v/>
      </c>
      <c r="AB24" s="24">
        <f>'Revenue Build'!AB15+'Revenue Build'!AB18+'Revenue Build'!AB19+'Revenue Build'!AB20+'Revenue Build'!AB21+'Revenue Build'!AB23</f>
        <v/>
      </c>
      <c r="AC24" s="24">
        <f>'Revenue Build'!AC15+'Revenue Build'!AC18+'Revenue Build'!AC19+'Revenue Build'!AC20+'Revenue Build'!AC21+'Revenue Build'!AC23</f>
        <v/>
      </c>
      <c r="AD24" s="24">
        <f>'Revenue Build'!AD15+'Revenue Build'!AD18+'Revenue Build'!AD19+'Revenue Build'!AD20+'Revenue Build'!AD21+'Revenue Build'!AD23</f>
        <v/>
      </c>
      <c r="AE24" s="24">
        <f>'Revenue Build'!AE15+'Revenue Build'!AE18+'Revenue Build'!AE19+'Revenue Build'!AE20+'Revenue Build'!AE21+'Revenue Build'!AE23</f>
        <v/>
      </c>
      <c r="AG24" s="24">
        <f>SUMIF($C$3:$AE$3,AG$3,$C24:$AE24)</f>
        <v/>
      </c>
      <c r="AH24" s="24">
        <f>SUMIF($C$3:$AE$3,AH$3,$C24:$AE24)</f>
        <v/>
      </c>
      <c r="AI24" s="24">
        <f>SUMIF($C$3:$AE$3,AI$3,$C24:$AE24)</f>
        <v/>
      </c>
      <c r="AJ24" s="24">
        <f>SUMIF($C$3:$AE$3,AJ$3,$C24:$AE24)</f>
        <v/>
      </c>
      <c r="AK24" s="24">
        <f>SUMIF($C$3:$AE$3,AK$3,$C24:$AE24)</f>
        <v/>
      </c>
      <c r="AL24" s="24">
        <f>SUMIF($C$3:$AE$3,AL$3,$C24:$AE24)</f>
        <v/>
      </c>
    </row>
    <row r="25">
      <c r="A25" t="inlineStr">
        <is>
          <t>Recurring revenue (subs + trip + fleet)</t>
        </is>
      </c>
      <c r="B25" s="2" t="inlineStr"/>
      <c r="C25" s="4">
        <f>'Revenue Build'!C18+'Revenue Build'!C19+'Revenue Build'!C23</f>
        <v/>
      </c>
      <c r="D25" s="4">
        <f>'Revenue Build'!D18+'Revenue Build'!D19+'Revenue Build'!D23</f>
        <v/>
      </c>
      <c r="E25" s="4">
        <f>'Revenue Build'!E18+'Revenue Build'!E19+'Revenue Build'!E23</f>
        <v/>
      </c>
      <c r="F25" s="4">
        <f>'Revenue Build'!F18+'Revenue Build'!F19+'Revenue Build'!F23</f>
        <v/>
      </c>
      <c r="G25" s="4">
        <f>'Revenue Build'!G18+'Revenue Build'!G19+'Revenue Build'!G23</f>
        <v/>
      </c>
      <c r="H25" s="4">
        <f>'Revenue Build'!H18+'Revenue Build'!H19+'Revenue Build'!H23</f>
        <v/>
      </c>
      <c r="I25" s="4">
        <f>'Revenue Build'!I18+'Revenue Build'!I19+'Revenue Build'!I23</f>
        <v/>
      </c>
      <c r="J25" s="4">
        <f>'Revenue Build'!J18+'Revenue Build'!J19+'Revenue Build'!J23</f>
        <v/>
      </c>
      <c r="K25" s="4">
        <f>'Revenue Build'!K18+'Revenue Build'!K19+'Revenue Build'!K23</f>
        <v/>
      </c>
      <c r="L25" s="4">
        <f>'Revenue Build'!L18+'Revenue Build'!L19+'Revenue Build'!L23</f>
        <v/>
      </c>
      <c r="M25" s="4">
        <f>'Revenue Build'!M18+'Revenue Build'!M19+'Revenue Build'!M23</f>
        <v/>
      </c>
      <c r="N25" s="4">
        <f>'Revenue Build'!N18+'Revenue Build'!N19+'Revenue Build'!N23</f>
        <v/>
      </c>
      <c r="O25" s="4">
        <f>'Revenue Build'!O18+'Revenue Build'!O19+'Revenue Build'!O23</f>
        <v/>
      </c>
      <c r="P25" s="4">
        <f>'Revenue Build'!P18+'Revenue Build'!P19+'Revenue Build'!P23</f>
        <v/>
      </c>
      <c r="Q25" s="4">
        <f>'Revenue Build'!Q18+'Revenue Build'!Q19+'Revenue Build'!Q23</f>
        <v/>
      </c>
      <c r="R25" s="4">
        <f>'Revenue Build'!R18+'Revenue Build'!R19+'Revenue Build'!R23</f>
        <v/>
      </c>
      <c r="S25" s="4">
        <f>'Revenue Build'!S18+'Revenue Build'!S19+'Revenue Build'!S23</f>
        <v/>
      </c>
      <c r="T25" s="4">
        <f>'Revenue Build'!T18+'Revenue Build'!T19+'Revenue Build'!T23</f>
        <v/>
      </c>
      <c r="U25" s="4">
        <f>'Revenue Build'!U18+'Revenue Build'!U19+'Revenue Build'!U23</f>
        <v/>
      </c>
      <c r="V25" s="4">
        <f>'Revenue Build'!V18+'Revenue Build'!V19+'Revenue Build'!V23</f>
        <v/>
      </c>
      <c r="W25" s="4">
        <f>'Revenue Build'!W18+'Revenue Build'!W19+'Revenue Build'!W23</f>
        <v/>
      </c>
      <c r="X25" s="4">
        <f>'Revenue Build'!X18+'Revenue Build'!X19+'Revenue Build'!X23</f>
        <v/>
      </c>
      <c r="Y25" s="4">
        <f>'Revenue Build'!Y18+'Revenue Build'!Y19+'Revenue Build'!Y23</f>
        <v/>
      </c>
      <c r="Z25" s="4">
        <f>'Revenue Build'!Z18+'Revenue Build'!Z19+'Revenue Build'!Z23</f>
        <v/>
      </c>
      <c r="AA25" s="4">
        <f>'Revenue Build'!AA18+'Revenue Build'!AA19+'Revenue Build'!AA23</f>
        <v/>
      </c>
      <c r="AB25" s="4">
        <f>'Revenue Build'!AB18+'Revenue Build'!AB19+'Revenue Build'!AB23</f>
        <v/>
      </c>
      <c r="AC25" s="4">
        <f>'Revenue Build'!AC18+'Revenue Build'!AC19+'Revenue Build'!AC23</f>
        <v/>
      </c>
      <c r="AD25" s="4">
        <f>'Revenue Build'!AD18+'Revenue Build'!AD19+'Revenue Build'!AD23</f>
        <v/>
      </c>
      <c r="AE25" s="4">
        <f>'Revenue Build'!AE18+'Revenue Build'!AE19+'Revenue Build'!AE23</f>
        <v/>
      </c>
      <c r="AG25" s="4">
        <f>SUMIF($C$3:$AE$3,AG$3,$C25:$AE25)</f>
        <v/>
      </c>
      <c r="AH25" s="4">
        <f>SUMIF($C$3:$AE$3,AH$3,$C25:$AE25)</f>
        <v/>
      </c>
      <c r="AI25" s="4">
        <f>SUMIF($C$3:$AE$3,AI$3,$C25:$AE25)</f>
        <v/>
      </c>
      <c r="AJ25" s="4">
        <f>SUMIF($C$3:$AE$3,AJ$3,$C25:$AE25)</f>
        <v/>
      </c>
      <c r="AK25" s="4">
        <f>SUMIF($C$3:$AE$3,AK$3,$C25:$AE25)</f>
        <v/>
      </c>
      <c r="AL25" s="4">
        <f>SUMIF($C$3:$AE$3,AL$3,$C25:$AE25)</f>
        <v/>
      </c>
    </row>
    <row r="26">
      <c r="A26" t="inlineStr">
        <is>
          <t>Recurring share of revenue</t>
        </is>
      </c>
      <c r="B26" s="2" t="inlineStr">
        <is>
          <t>%</t>
        </is>
      </c>
      <c r="C26" s="5">
        <f>IF('Revenue Build'!C24&gt;0,'Revenue Build'!C25/'Revenue Build'!C24,0)</f>
        <v/>
      </c>
      <c r="D26" s="5">
        <f>IF('Revenue Build'!D24&gt;0,'Revenue Build'!D25/'Revenue Build'!D24,0)</f>
        <v/>
      </c>
      <c r="E26" s="5">
        <f>IF('Revenue Build'!E24&gt;0,'Revenue Build'!E25/'Revenue Build'!E24,0)</f>
        <v/>
      </c>
      <c r="F26" s="5">
        <f>IF('Revenue Build'!F24&gt;0,'Revenue Build'!F25/'Revenue Build'!F24,0)</f>
        <v/>
      </c>
      <c r="G26" s="5">
        <f>IF('Revenue Build'!G24&gt;0,'Revenue Build'!G25/'Revenue Build'!G24,0)</f>
        <v/>
      </c>
      <c r="H26" s="5">
        <f>IF('Revenue Build'!H24&gt;0,'Revenue Build'!H25/'Revenue Build'!H24,0)</f>
        <v/>
      </c>
      <c r="I26" s="5">
        <f>IF('Revenue Build'!I24&gt;0,'Revenue Build'!I25/'Revenue Build'!I24,0)</f>
        <v/>
      </c>
      <c r="J26" s="5">
        <f>IF('Revenue Build'!J24&gt;0,'Revenue Build'!J25/'Revenue Build'!J24,0)</f>
        <v/>
      </c>
      <c r="K26" s="5">
        <f>IF('Revenue Build'!K24&gt;0,'Revenue Build'!K25/'Revenue Build'!K24,0)</f>
        <v/>
      </c>
      <c r="L26" s="5">
        <f>IF('Revenue Build'!L24&gt;0,'Revenue Build'!L25/'Revenue Build'!L24,0)</f>
        <v/>
      </c>
      <c r="M26" s="5">
        <f>IF('Revenue Build'!M24&gt;0,'Revenue Build'!M25/'Revenue Build'!M24,0)</f>
        <v/>
      </c>
      <c r="N26" s="5">
        <f>IF('Revenue Build'!N24&gt;0,'Revenue Build'!N25/'Revenue Build'!N24,0)</f>
        <v/>
      </c>
      <c r="O26" s="5">
        <f>IF('Revenue Build'!O24&gt;0,'Revenue Build'!O25/'Revenue Build'!O24,0)</f>
        <v/>
      </c>
      <c r="P26" s="5">
        <f>IF('Revenue Build'!P24&gt;0,'Revenue Build'!P25/'Revenue Build'!P24,0)</f>
        <v/>
      </c>
      <c r="Q26" s="5">
        <f>IF('Revenue Build'!Q24&gt;0,'Revenue Build'!Q25/'Revenue Build'!Q24,0)</f>
        <v/>
      </c>
      <c r="R26" s="5">
        <f>IF('Revenue Build'!R24&gt;0,'Revenue Build'!R25/'Revenue Build'!R24,0)</f>
        <v/>
      </c>
      <c r="S26" s="5">
        <f>IF('Revenue Build'!S24&gt;0,'Revenue Build'!S25/'Revenue Build'!S24,0)</f>
        <v/>
      </c>
      <c r="T26" s="5">
        <f>IF('Revenue Build'!T24&gt;0,'Revenue Build'!T25/'Revenue Build'!T24,0)</f>
        <v/>
      </c>
      <c r="U26" s="5">
        <f>IF('Revenue Build'!U24&gt;0,'Revenue Build'!U25/'Revenue Build'!U24,0)</f>
        <v/>
      </c>
      <c r="V26" s="5">
        <f>IF('Revenue Build'!V24&gt;0,'Revenue Build'!V25/'Revenue Build'!V24,0)</f>
        <v/>
      </c>
      <c r="W26" s="5">
        <f>IF('Revenue Build'!W24&gt;0,'Revenue Build'!W25/'Revenue Build'!W24,0)</f>
        <v/>
      </c>
      <c r="X26" s="5">
        <f>IF('Revenue Build'!X24&gt;0,'Revenue Build'!X25/'Revenue Build'!X24,0)</f>
        <v/>
      </c>
      <c r="Y26" s="5">
        <f>IF('Revenue Build'!Y24&gt;0,'Revenue Build'!Y25/'Revenue Build'!Y24,0)</f>
        <v/>
      </c>
      <c r="Z26" s="5">
        <f>IF('Revenue Build'!Z24&gt;0,'Revenue Build'!Z25/'Revenue Build'!Z24,0)</f>
        <v/>
      </c>
      <c r="AA26" s="5">
        <f>IF('Revenue Build'!AA24&gt;0,'Revenue Build'!AA25/'Revenue Build'!AA24,0)</f>
        <v/>
      </c>
      <c r="AB26" s="5">
        <f>IF('Revenue Build'!AB24&gt;0,'Revenue Build'!AB25/'Revenue Build'!AB24,0)</f>
        <v/>
      </c>
      <c r="AC26" s="5">
        <f>IF('Revenue Build'!AC24&gt;0,'Revenue Build'!AC25/'Revenue Build'!AC24,0)</f>
        <v/>
      </c>
      <c r="AD26" s="5">
        <f>IF('Revenue Build'!AD24&gt;0,'Revenue Build'!AD25/'Revenue Build'!AD24,0)</f>
        <v/>
      </c>
      <c r="AE26" s="5">
        <f>IF('Revenue Build'!AE24&gt;0,'Revenue Build'!AE25/'Revenue Build'!AE24,0)</f>
        <v/>
      </c>
      <c r="AG26" s="5">
        <f>IF(AG24&gt;0,AG25/AG24,0)</f>
        <v/>
      </c>
      <c r="AH26" s="5">
        <f>IF(AH24&gt;0,AH25/AH24,0)</f>
        <v/>
      </c>
      <c r="AI26" s="5">
        <f>IF(AI24&gt;0,AI25/AI24,0)</f>
        <v/>
      </c>
      <c r="AJ26" s="5">
        <f>IF(AJ24&gt;0,AJ25/AJ24,0)</f>
        <v/>
      </c>
      <c r="AK26" s="5">
        <f>IF(AK24&gt;0,AK25/AK24,0)</f>
        <v/>
      </c>
      <c r="AL26" s="5">
        <f>IF(AL24&gt;0,AL25/AL24,0)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17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Hardware &amp; accessory COGS (landed) + fulfilment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8">
      <c r="A8" t="inlineStr">
        <is>
          <t>Landed cost per unit -- Pebble</t>
        </is>
      </c>
      <c r="B8" s="2" t="inlineStr">
        <is>
          <t>$</t>
        </is>
      </c>
      <c r="C8" s="23">
        <f>(bom_peb+asm_peb+pkg_peb)*(1+freight_duty)*Assumptions!C107*sc_cogs</f>
        <v/>
      </c>
      <c r="D8" s="23">
        <f>(bom_peb+asm_peb+pkg_peb)*(1+freight_duty)*Assumptions!D107*sc_cogs</f>
        <v/>
      </c>
      <c r="E8" s="23">
        <f>(bom_peb+asm_peb+pkg_peb)*(1+freight_duty)*Assumptions!E107*sc_cogs</f>
        <v/>
      </c>
      <c r="F8" s="23">
        <f>(bom_peb+asm_peb+pkg_peb)*(1+freight_duty)*Assumptions!F107*sc_cogs</f>
        <v/>
      </c>
      <c r="G8" s="23">
        <f>(bom_peb+asm_peb+pkg_peb)*(1+freight_duty)*Assumptions!G107*sc_cogs</f>
        <v/>
      </c>
      <c r="H8" s="23">
        <f>(bom_peb+asm_peb+pkg_peb)*(1+freight_duty)*Assumptions!H107*sc_cogs</f>
        <v/>
      </c>
      <c r="I8" s="23">
        <f>(bom_peb+asm_peb+pkg_peb)*(1+freight_duty)*Assumptions!I107*sc_cogs</f>
        <v/>
      </c>
      <c r="J8" s="23">
        <f>(bom_peb+asm_peb+pkg_peb)*(1+freight_duty)*Assumptions!J107*sc_cogs</f>
        <v/>
      </c>
      <c r="K8" s="23">
        <f>(bom_peb+asm_peb+pkg_peb)*(1+freight_duty)*Assumptions!K107*sc_cogs</f>
        <v/>
      </c>
      <c r="L8" s="23">
        <f>(bom_peb+asm_peb+pkg_peb)*(1+freight_duty)*Assumptions!L107*sc_cogs</f>
        <v/>
      </c>
      <c r="M8" s="23">
        <f>(bom_peb+asm_peb+pkg_peb)*(1+freight_duty)*Assumptions!M107*sc_cogs</f>
        <v/>
      </c>
      <c r="N8" s="23">
        <f>(bom_peb+asm_peb+pkg_peb)*(1+freight_duty)*Assumptions!N107*sc_cogs</f>
        <v/>
      </c>
      <c r="O8" s="23">
        <f>(bom_peb+asm_peb+pkg_peb)*(1+freight_duty)*Assumptions!O107*sc_cogs</f>
        <v/>
      </c>
      <c r="P8" s="23">
        <f>(bom_peb+asm_peb+pkg_peb)*(1+freight_duty)*Assumptions!P107*sc_cogs</f>
        <v/>
      </c>
      <c r="Q8" s="23">
        <f>(bom_peb+asm_peb+pkg_peb)*(1+freight_duty)*Assumptions!Q107*sc_cogs</f>
        <v/>
      </c>
      <c r="R8" s="23">
        <f>(bom_peb+asm_peb+pkg_peb)*(1+freight_duty)*Assumptions!R107*sc_cogs</f>
        <v/>
      </c>
      <c r="S8" s="23">
        <f>(bom_peb+asm_peb+pkg_peb)*(1+freight_duty)*Assumptions!S107*sc_cogs</f>
        <v/>
      </c>
      <c r="T8" s="23">
        <f>(bom_peb+asm_peb+pkg_peb)*(1+freight_duty)*Assumptions!T107*sc_cogs</f>
        <v/>
      </c>
      <c r="U8" s="23">
        <f>(bom_peb+asm_peb+pkg_peb)*(1+freight_duty)*Assumptions!U107*sc_cogs</f>
        <v/>
      </c>
      <c r="V8" s="23">
        <f>(bom_peb+asm_peb+pkg_peb)*(1+freight_duty)*Assumptions!V107*sc_cogs</f>
        <v/>
      </c>
      <c r="W8" s="23">
        <f>(bom_peb+asm_peb+pkg_peb)*(1+freight_duty)*Assumptions!W107*sc_cogs</f>
        <v/>
      </c>
      <c r="X8" s="23">
        <f>(bom_peb+asm_peb+pkg_peb)*(1+freight_duty)*Assumptions!X107*sc_cogs</f>
        <v/>
      </c>
      <c r="Y8" s="23">
        <f>(bom_peb+asm_peb+pkg_peb)*(1+freight_duty)*Assumptions!Y107*sc_cogs</f>
        <v/>
      </c>
      <c r="Z8" s="23">
        <f>(bom_peb+asm_peb+pkg_peb)*(1+freight_duty)*Assumptions!Z107*sc_cogs</f>
        <v/>
      </c>
      <c r="AA8" s="23">
        <f>(bom_peb+asm_peb+pkg_peb)*(1+freight_duty)*Assumptions!AA107*sc_cogs</f>
        <v/>
      </c>
      <c r="AB8" s="23">
        <f>(bom_peb+asm_peb+pkg_peb)*(1+freight_duty)*Assumptions!AB107*sc_cogs</f>
        <v/>
      </c>
      <c r="AC8" s="23">
        <f>(bom_peb+asm_peb+pkg_peb)*(1+freight_duty)*Assumptions!AC107*sc_cogs</f>
        <v/>
      </c>
      <c r="AD8" s="23">
        <f>(bom_peb+asm_peb+pkg_peb)*(1+freight_duty)*Assumptions!AD107*sc_cogs</f>
        <v/>
      </c>
      <c r="AE8" s="23">
        <f>(bom_peb+asm_peb+pkg_peb)*(1+freight_duty)*Assumptions!AE107*sc_cogs</f>
        <v/>
      </c>
    </row>
    <row r="9">
      <c r="A9" t="inlineStr">
        <is>
          <t>Landed cost per unit -- Square</t>
        </is>
      </c>
      <c r="B9" s="2" t="inlineStr">
        <is>
          <t>$</t>
        </is>
      </c>
      <c r="C9" s="23">
        <f>(bom_sq+asm_sq+pkg_sq)*(1+freight_duty)*Assumptions!C107*sc_cogs</f>
        <v/>
      </c>
      <c r="D9" s="23">
        <f>(bom_sq+asm_sq+pkg_sq)*(1+freight_duty)*Assumptions!D107*sc_cogs</f>
        <v/>
      </c>
      <c r="E9" s="23">
        <f>(bom_sq+asm_sq+pkg_sq)*(1+freight_duty)*Assumptions!E107*sc_cogs</f>
        <v/>
      </c>
      <c r="F9" s="23">
        <f>(bom_sq+asm_sq+pkg_sq)*(1+freight_duty)*Assumptions!F107*sc_cogs</f>
        <v/>
      </c>
      <c r="G9" s="23">
        <f>(bom_sq+asm_sq+pkg_sq)*(1+freight_duty)*Assumptions!G107*sc_cogs</f>
        <v/>
      </c>
      <c r="H9" s="23">
        <f>(bom_sq+asm_sq+pkg_sq)*(1+freight_duty)*Assumptions!H107*sc_cogs</f>
        <v/>
      </c>
      <c r="I9" s="23">
        <f>(bom_sq+asm_sq+pkg_sq)*(1+freight_duty)*Assumptions!I107*sc_cogs</f>
        <v/>
      </c>
      <c r="J9" s="23">
        <f>(bom_sq+asm_sq+pkg_sq)*(1+freight_duty)*Assumptions!J107*sc_cogs</f>
        <v/>
      </c>
      <c r="K9" s="23">
        <f>(bom_sq+asm_sq+pkg_sq)*(1+freight_duty)*Assumptions!K107*sc_cogs</f>
        <v/>
      </c>
      <c r="L9" s="23">
        <f>(bom_sq+asm_sq+pkg_sq)*(1+freight_duty)*Assumptions!L107*sc_cogs</f>
        <v/>
      </c>
      <c r="M9" s="23">
        <f>(bom_sq+asm_sq+pkg_sq)*(1+freight_duty)*Assumptions!M107*sc_cogs</f>
        <v/>
      </c>
      <c r="N9" s="23">
        <f>(bom_sq+asm_sq+pkg_sq)*(1+freight_duty)*Assumptions!N107*sc_cogs</f>
        <v/>
      </c>
      <c r="O9" s="23">
        <f>(bom_sq+asm_sq+pkg_sq)*(1+freight_duty)*Assumptions!O107*sc_cogs</f>
        <v/>
      </c>
      <c r="P9" s="23">
        <f>(bom_sq+asm_sq+pkg_sq)*(1+freight_duty)*Assumptions!P107*sc_cogs</f>
        <v/>
      </c>
      <c r="Q9" s="23">
        <f>(bom_sq+asm_sq+pkg_sq)*(1+freight_duty)*Assumptions!Q107*sc_cogs</f>
        <v/>
      </c>
      <c r="R9" s="23">
        <f>(bom_sq+asm_sq+pkg_sq)*(1+freight_duty)*Assumptions!R107*sc_cogs</f>
        <v/>
      </c>
      <c r="S9" s="23">
        <f>(bom_sq+asm_sq+pkg_sq)*(1+freight_duty)*Assumptions!S107*sc_cogs</f>
        <v/>
      </c>
      <c r="T9" s="23">
        <f>(bom_sq+asm_sq+pkg_sq)*(1+freight_duty)*Assumptions!T107*sc_cogs</f>
        <v/>
      </c>
      <c r="U9" s="23">
        <f>(bom_sq+asm_sq+pkg_sq)*(1+freight_duty)*Assumptions!U107*sc_cogs</f>
        <v/>
      </c>
      <c r="V9" s="23">
        <f>(bom_sq+asm_sq+pkg_sq)*(1+freight_duty)*Assumptions!V107*sc_cogs</f>
        <v/>
      </c>
      <c r="W9" s="23">
        <f>(bom_sq+asm_sq+pkg_sq)*(1+freight_duty)*Assumptions!W107*sc_cogs</f>
        <v/>
      </c>
      <c r="X9" s="23">
        <f>(bom_sq+asm_sq+pkg_sq)*(1+freight_duty)*Assumptions!X107*sc_cogs</f>
        <v/>
      </c>
      <c r="Y9" s="23">
        <f>(bom_sq+asm_sq+pkg_sq)*(1+freight_duty)*Assumptions!Y107*sc_cogs</f>
        <v/>
      </c>
      <c r="Z9" s="23">
        <f>(bom_sq+asm_sq+pkg_sq)*(1+freight_duty)*Assumptions!Z107*sc_cogs</f>
        <v/>
      </c>
      <c r="AA9" s="23">
        <f>(bom_sq+asm_sq+pkg_sq)*(1+freight_duty)*Assumptions!AA107*sc_cogs</f>
        <v/>
      </c>
      <c r="AB9" s="23">
        <f>(bom_sq+asm_sq+pkg_sq)*(1+freight_duty)*Assumptions!AB107*sc_cogs</f>
        <v/>
      </c>
      <c r="AC9" s="23">
        <f>(bom_sq+asm_sq+pkg_sq)*(1+freight_duty)*Assumptions!AC107*sc_cogs</f>
        <v/>
      </c>
      <c r="AD9" s="23">
        <f>(bom_sq+asm_sq+pkg_sq)*(1+freight_duty)*Assumptions!AD107*sc_cogs</f>
        <v/>
      </c>
      <c r="AE9" s="23">
        <f>(bom_sq+asm_sq+pkg_sq)*(1+freight_duty)*Assumptions!AE107*sc_cogs</f>
        <v/>
      </c>
    </row>
    <row r="10">
      <c r="A10" t="inlineStr">
        <is>
          <t>Landed cost per unit -- Atlas</t>
        </is>
      </c>
      <c r="B10" s="2" t="inlineStr">
        <is>
          <t>$</t>
        </is>
      </c>
      <c r="C10" s="23">
        <f>(bom_atl+asm_atl+pkg_atl)*(1+freight_duty)*Assumptions!C107*sc_cogs</f>
        <v/>
      </c>
      <c r="D10" s="23">
        <f>(bom_atl+asm_atl+pkg_atl)*(1+freight_duty)*Assumptions!D107*sc_cogs</f>
        <v/>
      </c>
      <c r="E10" s="23">
        <f>(bom_atl+asm_atl+pkg_atl)*(1+freight_duty)*Assumptions!E107*sc_cogs</f>
        <v/>
      </c>
      <c r="F10" s="23">
        <f>(bom_atl+asm_atl+pkg_atl)*(1+freight_duty)*Assumptions!F107*sc_cogs</f>
        <v/>
      </c>
      <c r="G10" s="23">
        <f>(bom_atl+asm_atl+pkg_atl)*(1+freight_duty)*Assumptions!G107*sc_cogs</f>
        <v/>
      </c>
      <c r="H10" s="23">
        <f>(bom_atl+asm_atl+pkg_atl)*(1+freight_duty)*Assumptions!H107*sc_cogs</f>
        <v/>
      </c>
      <c r="I10" s="23">
        <f>(bom_atl+asm_atl+pkg_atl)*(1+freight_duty)*Assumptions!I107*sc_cogs</f>
        <v/>
      </c>
      <c r="J10" s="23">
        <f>(bom_atl+asm_atl+pkg_atl)*(1+freight_duty)*Assumptions!J107*sc_cogs</f>
        <v/>
      </c>
      <c r="K10" s="23">
        <f>(bom_atl+asm_atl+pkg_atl)*(1+freight_duty)*Assumptions!K107*sc_cogs</f>
        <v/>
      </c>
      <c r="L10" s="23">
        <f>(bom_atl+asm_atl+pkg_atl)*(1+freight_duty)*Assumptions!L107*sc_cogs</f>
        <v/>
      </c>
      <c r="M10" s="23">
        <f>(bom_atl+asm_atl+pkg_atl)*(1+freight_duty)*Assumptions!M107*sc_cogs</f>
        <v/>
      </c>
      <c r="N10" s="23">
        <f>(bom_atl+asm_atl+pkg_atl)*(1+freight_duty)*Assumptions!N107*sc_cogs</f>
        <v/>
      </c>
      <c r="O10" s="23">
        <f>(bom_atl+asm_atl+pkg_atl)*(1+freight_duty)*Assumptions!O107*sc_cogs</f>
        <v/>
      </c>
      <c r="P10" s="23">
        <f>(bom_atl+asm_atl+pkg_atl)*(1+freight_duty)*Assumptions!P107*sc_cogs</f>
        <v/>
      </c>
      <c r="Q10" s="23">
        <f>(bom_atl+asm_atl+pkg_atl)*(1+freight_duty)*Assumptions!Q107*sc_cogs</f>
        <v/>
      </c>
      <c r="R10" s="23">
        <f>(bom_atl+asm_atl+pkg_atl)*(1+freight_duty)*Assumptions!R107*sc_cogs</f>
        <v/>
      </c>
      <c r="S10" s="23">
        <f>(bom_atl+asm_atl+pkg_atl)*(1+freight_duty)*Assumptions!S107*sc_cogs</f>
        <v/>
      </c>
      <c r="T10" s="23">
        <f>(bom_atl+asm_atl+pkg_atl)*(1+freight_duty)*Assumptions!T107*sc_cogs</f>
        <v/>
      </c>
      <c r="U10" s="23">
        <f>(bom_atl+asm_atl+pkg_atl)*(1+freight_duty)*Assumptions!U107*sc_cogs</f>
        <v/>
      </c>
      <c r="V10" s="23">
        <f>(bom_atl+asm_atl+pkg_atl)*(1+freight_duty)*Assumptions!V107*sc_cogs</f>
        <v/>
      </c>
      <c r="W10" s="23">
        <f>(bom_atl+asm_atl+pkg_atl)*(1+freight_duty)*Assumptions!W107*sc_cogs</f>
        <v/>
      </c>
      <c r="X10" s="23">
        <f>(bom_atl+asm_atl+pkg_atl)*(1+freight_duty)*Assumptions!X107*sc_cogs</f>
        <v/>
      </c>
      <c r="Y10" s="23">
        <f>(bom_atl+asm_atl+pkg_atl)*(1+freight_duty)*Assumptions!Y107*sc_cogs</f>
        <v/>
      </c>
      <c r="Z10" s="23">
        <f>(bom_atl+asm_atl+pkg_atl)*(1+freight_duty)*Assumptions!Z107*sc_cogs</f>
        <v/>
      </c>
      <c r="AA10" s="23">
        <f>(bom_atl+asm_atl+pkg_atl)*(1+freight_duty)*Assumptions!AA107*sc_cogs</f>
        <v/>
      </c>
      <c r="AB10" s="23">
        <f>(bom_atl+asm_atl+pkg_atl)*(1+freight_duty)*Assumptions!AB107*sc_cogs</f>
        <v/>
      </c>
      <c r="AC10" s="23">
        <f>(bom_atl+asm_atl+pkg_atl)*(1+freight_duty)*Assumptions!AC107*sc_cogs</f>
        <v/>
      </c>
      <c r="AD10" s="23">
        <f>(bom_atl+asm_atl+pkg_atl)*(1+freight_duty)*Assumptions!AD107*sc_cogs</f>
        <v/>
      </c>
      <c r="AE10" s="23">
        <f>(bom_atl+asm_atl+pkg_atl)*(1+freight_duty)*Assumptions!AE107*sc_cogs</f>
        <v/>
      </c>
    </row>
    <row r="11">
      <c r="A11" t="inlineStr">
        <is>
          <t>Product landed cost (units x landed)</t>
        </is>
      </c>
      <c r="B11" s="2" t="inlineStr"/>
      <c r="C11" s="4">
        <f>'Pricing &amp; Mix'!C37*'Hardware COGS'!C8+'Pricing &amp; Mix'!C38*'Hardware COGS'!C9+'Pricing &amp; Mix'!C39*'Hardware COGS'!C10</f>
        <v/>
      </c>
      <c r="D11" s="4">
        <f>'Pricing &amp; Mix'!D37*'Hardware COGS'!D8+'Pricing &amp; Mix'!D38*'Hardware COGS'!D9+'Pricing &amp; Mix'!D39*'Hardware COGS'!D10</f>
        <v/>
      </c>
      <c r="E11" s="4">
        <f>'Pricing &amp; Mix'!E37*'Hardware COGS'!E8+'Pricing &amp; Mix'!E38*'Hardware COGS'!E9+'Pricing &amp; Mix'!E39*'Hardware COGS'!E10</f>
        <v/>
      </c>
      <c r="F11" s="4">
        <f>'Pricing &amp; Mix'!F37*'Hardware COGS'!F8+'Pricing &amp; Mix'!F38*'Hardware COGS'!F9+'Pricing &amp; Mix'!F39*'Hardware COGS'!F10</f>
        <v/>
      </c>
      <c r="G11" s="4">
        <f>'Pricing &amp; Mix'!G37*'Hardware COGS'!G8+'Pricing &amp; Mix'!G38*'Hardware COGS'!G9+'Pricing &amp; Mix'!G39*'Hardware COGS'!G10</f>
        <v/>
      </c>
      <c r="H11" s="4">
        <f>'Pricing &amp; Mix'!H37*'Hardware COGS'!H8+'Pricing &amp; Mix'!H38*'Hardware COGS'!H9+'Pricing &amp; Mix'!H39*'Hardware COGS'!H10</f>
        <v/>
      </c>
      <c r="I11" s="4">
        <f>'Pricing &amp; Mix'!I37*'Hardware COGS'!I8+'Pricing &amp; Mix'!I38*'Hardware COGS'!I9+'Pricing &amp; Mix'!I39*'Hardware COGS'!I10</f>
        <v/>
      </c>
      <c r="J11" s="4">
        <f>'Pricing &amp; Mix'!J37*'Hardware COGS'!J8+'Pricing &amp; Mix'!J38*'Hardware COGS'!J9+'Pricing &amp; Mix'!J39*'Hardware COGS'!J10</f>
        <v/>
      </c>
      <c r="K11" s="4">
        <f>'Pricing &amp; Mix'!K37*'Hardware COGS'!K8+'Pricing &amp; Mix'!K38*'Hardware COGS'!K9+'Pricing &amp; Mix'!K39*'Hardware COGS'!K10</f>
        <v/>
      </c>
      <c r="L11" s="4">
        <f>'Pricing &amp; Mix'!L37*'Hardware COGS'!L8+'Pricing &amp; Mix'!L38*'Hardware COGS'!L9+'Pricing &amp; Mix'!L39*'Hardware COGS'!L10</f>
        <v/>
      </c>
      <c r="M11" s="4">
        <f>'Pricing &amp; Mix'!M37*'Hardware COGS'!M8+'Pricing &amp; Mix'!M38*'Hardware COGS'!M9+'Pricing &amp; Mix'!M39*'Hardware COGS'!M10</f>
        <v/>
      </c>
      <c r="N11" s="4">
        <f>'Pricing &amp; Mix'!N37*'Hardware COGS'!N8+'Pricing &amp; Mix'!N38*'Hardware COGS'!N9+'Pricing &amp; Mix'!N39*'Hardware COGS'!N10</f>
        <v/>
      </c>
      <c r="O11" s="4">
        <f>'Pricing &amp; Mix'!O37*'Hardware COGS'!O8+'Pricing &amp; Mix'!O38*'Hardware COGS'!O9+'Pricing &amp; Mix'!O39*'Hardware COGS'!O10</f>
        <v/>
      </c>
      <c r="P11" s="4">
        <f>'Pricing &amp; Mix'!P37*'Hardware COGS'!P8+'Pricing &amp; Mix'!P38*'Hardware COGS'!P9+'Pricing &amp; Mix'!P39*'Hardware COGS'!P10</f>
        <v/>
      </c>
      <c r="Q11" s="4">
        <f>'Pricing &amp; Mix'!Q37*'Hardware COGS'!Q8+'Pricing &amp; Mix'!Q38*'Hardware COGS'!Q9+'Pricing &amp; Mix'!Q39*'Hardware COGS'!Q10</f>
        <v/>
      </c>
      <c r="R11" s="4">
        <f>'Pricing &amp; Mix'!R37*'Hardware COGS'!R8+'Pricing &amp; Mix'!R38*'Hardware COGS'!R9+'Pricing &amp; Mix'!R39*'Hardware COGS'!R10</f>
        <v/>
      </c>
      <c r="S11" s="4">
        <f>'Pricing &amp; Mix'!S37*'Hardware COGS'!S8+'Pricing &amp; Mix'!S38*'Hardware COGS'!S9+'Pricing &amp; Mix'!S39*'Hardware COGS'!S10</f>
        <v/>
      </c>
      <c r="T11" s="4">
        <f>'Pricing &amp; Mix'!T37*'Hardware COGS'!T8+'Pricing &amp; Mix'!T38*'Hardware COGS'!T9+'Pricing &amp; Mix'!T39*'Hardware COGS'!T10</f>
        <v/>
      </c>
      <c r="U11" s="4">
        <f>'Pricing &amp; Mix'!U37*'Hardware COGS'!U8+'Pricing &amp; Mix'!U38*'Hardware COGS'!U9+'Pricing &amp; Mix'!U39*'Hardware COGS'!U10</f>
        <v/>
      </c>
      <c r="V11" s="4">
        <f>'Pricing &amp; Mix'!V37*'Hardware COGS'!V8+'Pricing &amp; Mix'!V38*'Hardware COGS'!V9+'Pricing &amp; Mix'!V39*'Hardware COGS'!V10</f>
        <v/>
      </c>
      <c r="W11" s="4">
        <f>'Pricing &amp; Mix'!W37*'Hardware COGS'!W8+'Pricing &amp; Mix'!W38*'Hardware COGS'!W9+'Pricing &amp; Mix'!W39*'Hardware COGS'!W10</f>
        <v/>
      </c>
      <c r="X11" s="4">
        <f>'Pricing &amp; Mix'!X37*'Hardware COGS'!X8+'Pricing &amp; Mix'!X38*'Hardware COGS'!X9+'Pricing &amp; Mix'!X39*'Hardware COGS'!X10</f>
        <v/>
      </c>
      <c r="Y11" s="4">
        <f>'Pricing &amp; Mix'!Y37*'Hardware COGS'!Y8+'Pricing &amp; Mix'!Y38*'Hardware COGS'!Y9+'Pricing &amp; Mix'!Y39*'Hardware COGS'!Y10</f>
        <v/>
      </c>
      <c r="Z11" s="4">
        <f>'Pricing &amp; Mix'!Z37*'Hardware COGS'!Z8+'Pricing &amp; Mix'!Z38*'Hardware COGS'!Z9+'Pricing &amp; Mix'!Z39*'Hardware COGS'!Z10</f>
        <v/>
      </c>
      <c r="AA11" s="4">
        <f>'Pricing &amp; Mix'!AA37*'Hardware COGS'!AA8+'Pricing &amp; Mix'!AA38*'Hardware COGS'!AA9+'Pricing &amp; Mix'!AA39*'Hardware COGS'!AA10</f>
        <v/>
      </c>
      <c r="AB11" s="4">
        <f>'Pricing &amp; Mix'!AB37*'Hardware COGS'!AB8+'Pricing &amp; Mix'!AB38*'Hardware COGS'!AB9+'Pricing &amp; Mix'!AB39*'Hardware COGS'!AB10</f>
        <v/>
      </c>
      <c r="AC11" s="4">
        <f>'Pricing &amp; Mix'!AC37*'Hardware COGS'!AC8+'Pricing &amp; Mix'!AC38*'Hardware COGS'!AC9+'Pricing &amp; Mix'!AC39*'Hardware COGS'!AC10</f>
        <v/>
      </c>
      <c r="AD11" s="4">
        <f>'Pricing &amp; Mix'!AD37*'Hardware COGS'!AD8+'Pricing &amp; Mix'!AD38*'Hardware COGS'!AD9+'Pricing &amp; Mix'!AD39*'Hardware COGS'!AD10</f>
        <v/>
      </c>
      <c r="AE11" s="4">
        <f>'Pricing &amp; Mix'!AE37*'Hardware COGS'!AE8+'Pricing &amp; Mix'!AE38*'Hardware COGS'!AE9+'Pricing &amp; Mix'!AE39*'Hardware COGS'!AE10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Fulfilment &amp; outbound logistics</t>
        </is>
      </c>
      <c r="B12" s="2" t="inlineStr"/>
      <c r="C12" s="4">
        <f>'Pricing &amp; Mix'!C41*dtc_ship+'Pricing &amp; Mix'!C42*retail_dist+'Pricing &amp; Mix'!C34*ks_fulfil_net</f>
        <v/>
      </c>
      <c r="D12" s="4">
        <f>'Pricing &amp; Mix'!D41*dtc_ship+'Pricing &amp; Mix'!D42*retail_dist+'Pricing &amp; Mix'!D34*ks_fulfil_net</f>
        <v/>
      </c>
      <c r="E12" s="4">
        <f>'Pricing &amp; Mix'!E41*dtc_ship+'Pricing &amp; Mix'!E42*retail_dist+'Pricing &amp; Mix'!E34*ks_fulfil_net</f>
        <v/>
      </c>
      <c r="F12" s="4">
        <f>'Pricing &amp; Mix'!F41*dtc_ship+'Pricing &amp; Mix'!F42*retail_dist+'Pricing &amp; Mix'!F34*ks_fulfil_net</f>
        <v/>
      </c>
      <c r="G12" s="4">
        <f>'Pricing &amp; Mix'!G41*dtc_ship+'Pricing &amp; Mix'!G42*retail_dist+'Pricing &amp; Mix'!G34*ks_fulfil_net</f>
        <v/>
      </c>
      <c r="H12" s="4">
        <f>'Pricing &amp; Mix'!H41*dtc_ship+'Pricing &amp; Mix'!H42*retail_dist+'Pricing &amp; Mix'!H34*ks_fulfil_net</f>
        <v/>
      </c>
      <c r="I12" s="4">
        <f>'Pricing &amp; Mix'!I41*dtc_ship+'Pricing &amp; Mix'!I42*retail_dist+'Pricing &amp; Mix'!I34*ks_fulfil_net</f>
        <v/>
      </c>
      <c r="J12" s="4">
        <f>'Pricing &amp; Mix'!J41*dtc_ship+'Pricing &amp; Mix'!J42*retail_dist+'Pricing &amp; Mix'!J34*ks_fulfil_net</f>
        <v/>
      </c>
      <c r="K12" s="4">
        <f>'Pricing &amp; Mix'!K41*dtc_ship+'Pricing &amp; Mix'!K42*retail_dist+'Pricing &amp; Mix'!K34*ks_fulfil_net</f>
        <v/>
      </c>
      <c r="L12" s="4">
        <f>'Pricing &amp; Mix'!L41*dtc_ship+'Pricing &amp; Mix'!L42*retail_dist+'Pricing &amp; Mix'!L34*ks_fulfil_net</f>
        <v/>
      </c>
      <c r="M12" s="4">
        <f>'Pricing &amp; Mix'!M41*dtc_ship+'Pricing &amp; Mix'!M42*retail_dist+'Pricing &amp; Mix'!M34*ks_fulfil_net</f>
        <v/>
      </c>
      <c r="N12" s="4">
        <f>'Pricing &amp; Mix'!N41*dtc_ship+'Pricing &amp; Mix'!N42*retail_dist+'Pricing &amp; Mix'!N34*ks_fulfil_net</f>
        <v/>
      </c>
      <c r="O12" s="4">
        <f>'Pricing &amp; Mix'!O41*dtc_ship+'Pricing &amp; Mix'!O42*retail_dist+'Pricing &amp; Mix'!O34*ks_fulfil_net</f>
        <v/>
      </c>
      <c r="P12" s="4">
        <f>'Pricing &amp; Mix'!P41*dtc_ship+'Pricing &amp; Mix'!P42*retail_dist+'Pricing &amp; Mix'!P34*ks_fulfil_net</f>
        <v/>
      </c>
      <c r="Q12" s="4">
        <f>'Pricing &amp; Mix'!Q41*dtc_ship+'Pricing &amp; Mix'!Q42*retail_dist+'Pricing &amp; Mix'!Q34*ks_fulfil_net</f>
        <v/>
      </c>
      <c r="R12" s="4">
        <f>'Pricing &amp; Mix'!R41*dtc_ship+'Pricing &amp; Mix'!R42*retail_dist+'Pricing &amp; Mix'!R34*ks_fulfil_net</f>
        <v/>
      </c>
      <c r="S12" s="4">
        <f>'Pricing &amp; Mix'!S41*dtc_ship+'Pricing &amp; Mix'!S42*retail_dist+'Pricing &amp; Mix'!S34*ks_fulfil_net</f>
        <v/>
      </c>
      <c r="T12" s="4">
        <f>'Pricing &amp; Mix'!T41*dtc_ship+'Pricing &amp; Mix'!T42*retail_dist+'Pricing &amp; Mix'!T34*ks_fulfil_net</f>
        <v/>
      </c>
      <c r="U12" s="4">
        <f>'Pricing &amp; Mix'!U41*dtc_ship+'Pricing &amp; Mix'!U42*retail_dist+'Pricing &amp; Mix'!U34*ks_fulfil_net</f>
        <v/>
      </c>
      <c r="V12" s="4">
        <f>'Pricing &amp; Mix'!V41*dtc_ship+'Pricing &amp; Mix'!V42*retail_dist+'Pricing &amp; Mix'!V34*ks_fulfil_net</f>
        <v/>
      </c>
      <c r="W12" s="4">
        <f>'Pricing &amp; Mix'!W41*dtc_ship+'Pricing &amp; Mix'!W42*retail_dist+'Pricing &amp; Mix'!W34*ks_fulfil_net</f>
        <v/>
      </c>
      <c r="X12" s="4">
        <f>'Pricing &amp; Mix'!X41*dtc_ship+'Pricing &amp; Mix'!X42*retail_dist+'Pricing &amp; Mix'!X34*ks_fulfil_net</f>
        <v/>
      </c>
      <c r="Y12" s="4">
        <f>'Pricing &amp; Mix'!Y41*dtc_ship+'Pricing &amp; Mix'!Y42*retail_dist+'Pricing &amp; Mix'!Y34*ks_fulfil_net</f>
        <v/>
      </c>
      <c r="Z12" s="4">
        <f>'Pricing &amp; Mix'!Z41*dtc_ship+'Pricing &amp; Mix'!Z42*retail_dist+'Pricing &amp; Mix'!Z34*ks_fulfil_net</f>
        <v/>
      </c>
      <c r="AA12" s="4">
        <f>'Pricing &amp; Mix'!AA41*dtc_ship+'Pricing &amp; Mix'!AA42*retail_dist+'Pricing &amp; Mix'!AA34*ks_fulfil_net</f>
        <v/>
      </c>
      <c r="AB12" s="4">
        <f>'Pricing &amp; Mix'!AB41*dtc_ship+'Pricing &amp; Mix'!AB42*retail_dist+'Pricing &amp; Mix'!AB34*ks_fulfil_net</f>
        <v/>
      </c>
      <c r="AC12" s="4">
        <f>'Pricing &amp; Mix'!AC41*dtc_ship+'Pricing &amp; Mix'!AC42*retail_dist+'Pricing &amp; Mix'!AC34*ks_fulfil_net</f>
        <v/>
      </c>
      <c r="AD12" s="4">
        <f>'Pricing &amp; Mix'!AD41*dtc_ship+'Pricing &amp; Mix'!AD42*retail_dist+'Pricing &amp; Mix'!AD34*ks_fulfil_net</f>
        <v/>
      </c>
      <c r="AE12" s="4">
        <f>'Pricing &amp; Mix'!AE41*dtc_ship+'Pricing &amp; Mix'!AE42*retail_dist+'Pricing &amp; Mix'!AE34*ks_fulfil_net</f>
        <v/>
      </c>
      <c r="AG12" s="4">
        <f>SUMIF($C$3:$AE$3,AG$3,$C12:$AE12)</f>
        <v/>
      </c>
      <c r="AH12" s="4">
        <f>SUMIF($C$3:$AE$3,AH$3,$C12:$AE12)</f>
        <v/>
      </c>
      <c r="AI12" s="4">
        <f>SUMIF($C$3:$AE$3,AI$3,$C12:$AE12)</f>
        <v/>
      </c>
      <c r="AJ12" s="4">
        <f>SUMIF($C$3:$AE$3,AJ$3,$C12:$AE12)</f>
        <v/>
      </c>
      <c r="AK12" s="4">
        <f>SUMIF($C$3:$AE$3,AK$3,$C12:$AE12)</f>
        <v/>
      </c>
      <c r="AL12" s="4">
        <f>SUMIF($C$3:$AE$3,AL$3,$C12:$AE12)</f>
        <v/>
      </c>
    </row>
    <row r="13">
      <c r="A13" t="inlineStr">
        <is>
          <t>DTC card processing</t>
        </is>
      </c>
      <c r="B13" s="2" t="inlineStr"/>
      <c r="C13" s="4">
        <f>'Revenue Build'!C10*pay_pct+'Pricing &amp; Mix'!C41*pay_fixed</f>
        <v/>
      </c>
      <c r="D13" s="4">
        <f>'Revenue Build'!D10*pay_pct+'Pricing &amp; Mix'!D41*pay_fixed</f>
        <v/>
      </c>
      <c r="E13" s="4">
        <f>'Revenue Build'!E10*pay_pct+'Pricing &amp; Mix'!E41*pay_fixed</f>
        <v/>
      </c>
      <c r="F13" s="4">
        <f>'Revenue Build'!F10*pay_pct+'Pricing &amp; Mix'!F41*pay_fixed</f>
        <v/>
      </c>
      <c r="G13" s="4">
        <f>'Revenue Build'!G10*pay_pct+'Pricing &amp; Mix'!G41*pay_fixed</f>
        <v/>
      </c>
      <c r="H13" s="4">
        <f>'Revenue Build'!H10*pay_pct+'Pricing &amp; Mix'!H41*pay_fixed</f>
        <v/>
      </c>
      <c r="I13" s="4">
        <f>'Revenue Build'!I10*pay_pct+'Pricing &amp; Mix'!I41*pay_fixed</f>
        <v/>
      </c>
      <c r="J13" s="4">
        <f>'Revenue Build'!J10*pay_pct+'Pricing &amp; Mix'!J41*pay_fixed</f>
        <v/>
      </c>
      <c r="K13" s="4">
        <f>'Revenue Build'!K10*pay_pct+'Pricing &amp; Mix'!K41*pay_fixed</f>
        <v/>
      </c>
      <c r="L13" s="4">
        <f>'Revenue Build'!L10*pay_pct+'Pricing &amp; Mix'!L41*pay_fixed</f>
        <v/>
      </c>
      <c r="M13" s="4">
        <f>'Revenue Build'!M10*pay_pct+'Pricing &amp; Mix'!M41*pay_fixed</f>
        <v/>
      </c>
      <c r="N13" s="4">
        <f>'Revenue Build'!N10*pay_pct+'Pricing &amp; Mix'!N41*pay_fixed</f>
        <v/>
      </c>
      <c r="O13" s="4">
        <f>'Revenue Build'!O10*pay_pct+'Pricing &amp; Mix'!O41*pay_fixed</f>
        <v/>
      </c>
      <c r="P13" s="4">
        <f>'Revenue Build'!P10*pay_pct+'Pricing &amp; Mix'!P41*pay_fixed</f>
        <v/>
      </c>
      <c r="Q13" s="4">
        <f>'Revenue Build'!Q10*pay_pct+'Pricing &amp; Mix'!Q41*pay_fixed</f>
        <v/>
      </c>
      <c r="R13" s="4">
        <f>'Revenue Build'!R10*pay_pct+'Pricing &amp; Mix'!R41*pay_fixed</f>
        <v/>
      </c>
      <c r="S13" s="4">
        <f>'Revenue Build'!S10*pay_pct+'Pricing &amp; Mix'!S41*pay_fixed</f>
        <v/>
      </c>
      <c r="T13" s="4">
        <f>'Revenue Build'!T10*pay_pct+'Pricing &amp; Mix'!T41*pay_fixed</f>
        <v/>
      </c>
      <c r="U13" s="4">
        <f>'Revenue Build'!U10*pay_pct+'Pricing &amp; Mix'!U41*pay_fixed</f>
        <v/>
      </c>
      <c r="V13" s="4">
        <f>'Revenue Build'!V10*pay_pct+'Pricing &amp; Mix'!V41*pay_fixed</f>
        <v/>
      </c>
      <c r="W13" s="4">
        <f>'Revenue Build'!W10*pay_pct+'Pricing &amp; Mix'!W41*pay_fixed</f>
        <v/>
      </c>
      <c r="X13" s="4">
        <f>'Revenue Build'!X10*pay_pct+'Pricing &amp; Mix'!X41*pay_fixed</f>
        <v/>
      </c>
      <c r="Y13" s="4">
        <f>'Revenue Build'!Y10*pay_pct+'Pricing &amp; Mix'!Y41*pay_fixed</f>
        <v/>
      </c>
      <c r="Z13" s="4">
        <f>'Revenue Build'!Z10*pay_pct+'Pricing &amp; Mix'!Z41*pay_fixed</f>
        <v/>
      </c>
      <c r="AA13" s="4">
        <f>'Revenue Build'!AA10*pay_pct+'Pricing &amp; Mix'!AA41*pay_fixed</f>
        <v/>
      </c>
      <c r="AB13" s="4">
        <f>'Revenue Build'!AB10*pay_pct+'Pricing &amp; Mix'!AB41*pay_fixed</f>
        <v/>
      </c>
      <c r="AC13" s="4">
        <f>'Revenue Build'!AC10*pay_pct+'Pricing &amp; Mix'!AC41*pay_fixed</f>
        <v/>
      </c>
      <c r="AD13" s="4">
        <f>'Revenue Build'!AD10*pay_pct+'Pricing &amp; Mix'!AD41*pay_fixed</f>
        <v/>
      </c>
      <c r="AE13" s="4">
        <f>'Revenue Build'!AE10*pay_pct+'Pricing &amp; Mix'!AE41*pay_fixed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Warranty reserve</t>
        </is>
      </c>
      <c r="B14" s="2" t="inlineStr"/>
      <c r="C14" s="4">
        <f>'Revenue Build'!C13*warranty_pct</f>
        <v/>
      </c>
      <c r="D14" s="4">
        <f>'Revenue Build'!D13*warranty_pct</f>
        <v/>
      </c>
      <c r="E14" s="4">
        <f>'Revenue Build'!E13*warranty_pct</f>
        <v/>
      </c>
      <c r="F14" s="4">
        <f>'Revenue Build'!F13*warranty_pct</f>
        <v/>
      </c>
      <c r="G14" s="4">
        <f>'Revenue Build'!G13*warranty_pct</f>
        <v/>
      </c>
      <c r="H14" s="4">
        <f>'Revenue Build'!H13*warranty_pct</f>
        <v/>
      </c>
      <c r="I14" s="4">
        <f>'Revenue Build'!I13*warranty_pct</f>
        <v/>
      </c>
      <c r="J14" s="4">
        <f>'Revenue Build'!J13*warranty_pct</f>
        <v/>
      </c>
      <c r="K14" s="4">
        <f>'Revenue Build'!K13*warranty_pct</f>
        <v/>
      </c>
      <c r="L14" s="4">
        <f>'Revenue Build'!L13*warranty_pct</f>
        <v/>
      </c>
      <c r="M14" s="4">
        <f>'Revenue Build'!M13*warranty_pct</f>
        <v/>
      </c>
      <c r="N14" s="4">
        <f>'Revenue Build'!N13*warranty_pct</f>
        <v/>
      </c>
      <c r="O14" s="4">
        <f>'Revenue Build'!O13*warranty_pct</f>
        <v/>
      </c>
      <c r="P14" s="4">
        <f>'Revenue Build'!P13*warranty_pct</f>
        <v/>
      </c>
      <c r="Q14" s="4">
        <f>'Revenue Build'!Q13*warranty_pct</f>
        <v/>
      </c>
      <c r="R14" s="4">
        <f>'Revenue Build'!R13*warranty_pct</f>
        <v/>
      </c>
      <c r="S14" s="4">
        <f>'Revenue Build'!S13*warranty_pct</f>
        <v/>
      </c>
      <c r="T14" s="4">
        <f>'Revenue Build'!T13*warranty_pct</f>
        <v/>
      </c>
      <c r="U14" s="4">
        <f>'Revenue Build'!U13*warranty_pct</f>
        <v/>
      </c>
      <c r="V14" s="4">
        <f>'Revenue Build'!V13*warranty_pct</f>
        <v/>
      </c>
      <c r="W14" s="4">
        <f>'Revenue Build'!W13*warranty_pct</f>
        <v/>
      </c>
      <c r="X14" s="4">
        <f>'Revenue Build'!X13*warranty_pct</f>
        <v/>
      </c>
      <c r="Y14" s="4">
        <f>'Revenue Build'!Y13*warranty_pct</f>
        <v/>
      </c>
      <c r="Z14" s="4">
        <f>'Revenue Build'!Z13*warranty_pct</f>
        <v/>
      </c>
      <c r="AA14" s="4">
        <f>'Revenue Build'!AA13*warranty_pct</f>
        <v/>
      </c>
      <c r="AB14" s="4">
        <f>'Revenue Build'!AB13*warranty_pct</f>
        <v/>
      </c>
      <c r="AC14" s="4">
        <f>'Revenue Build'!AC13*warranty_pct</f>
        <v/>
      </c>
      <c r="AD14" s="4">
        <f>'Revenue Build'!AD13*warranty_pct</f>
        <v/>
      </c>
      <c r="AE14" s="4">
        <f>'Revenue Build'!AE13*warranty_pct</f>
        <v/>
      </c>
      <c r="AG14" s="4">
        <f>SUMIF($C$3:$AE$3,AG$3,$C14:$AE14)</f>
        <v/>
      </c>
      <c r="AH14" s="4">
        <f>SUMIF($C$3:$AE$3,AH$3,$C14:$AE14)</f>
        <v/>
      </c>
      <c r="AI14" s="4">
        <f>SUMIF($C$3:$AE$3,AI$3,$C14:$AE14)</f>
        <v/>
      </c>
      <c r="AJ14" s="4">
        <f>SUMIF($C$3:$AE$3,AJ$3,$C14:$AE14)</f>
        <v/>
      </c>
      <c r="AK14" s="4">
        <f>SUMIF($C$3:$AE$3,AK$3,$C14:$AE14)</f>
        <v/>
      </c>
      <c r="AL14" s="4">
        <f>SUMIF($C$3:$AE$3,AL$3,$C14:$AE14)</f>
        <v/>
      </c>
    </row>
    <row r="15">
      <c r="A15" s="13" t="inlineStr">
        <is>
          <t>HARDWARE COGS</t>
        </is>
      </c>
      <c r="B15" s="2" t="inlineStr"/>
      <c r="C15" s="24">
        <f>'Hardware COGS'!C11+'Hardware COGS'!C12+'Hardware COGS'!C13+'Hardware COGS'!C14</f>
        <v/>
      </c>
      <c r="D15" s="24">
        <f>'Hardware COGS'!D11+'Hardware COGS'!D12+'Hardware COGS'!D13+'Hardware COGS'!D14</f>
        <v/>
      </c>
      <c r="E15" s="24">
        <f>'Hardware COGS'!E11+'Hardware COGS'!E12+'Hardware COGS'!E13+'Hardware COGS'!E14</f>
        <v/>
      </c>
      <c r="F15" s="24">
        <f>'Hardware COGS'!F11+'Hardware COGS'!F12+'Hardware COGS'!F13+'Hardware COGS'!F14</f>
        <v/>
      </c>
      <c r="G15" s="24">
        <f>'Hardware COGS'!G11+'Hardware COGS'!G12+'Hardware COGS'!G13+'Hardware COGS'!G14</f>
        <v/>
      </c>
      <c r="H15" s="24">
        <f>'Hardware COGS'!H11+'Hardware COGS'!H12+'Hardware COGS'!H13+'Hardware COGS'!H14</f>
        <v/>
      </c>
      <c r="I15" s="24">
        <f>'Hardware COGS'!I11+'Hardware COGS'!I12+'Hardware COGS'!I13+'Hardware COGS'!I14</f>
        <v/>
      </c>
      <c r="J15" s="24">
        <f>'Hardware COGS'!J11+'Hardware COGS'!J12+'Hardware COGS'!J13+'Hardware COGS'!J14</f>
        <v/>
      </c>
      <c r="K15" s="24">
        <f>'Hardware COGS'!K11+'Hardware COGS'!K12+'Hardware COGS'!K13+'Hardware COGS'!K14</f>
        <v/>
      </c>
      <c r="L15" s="24">
        <f>'Hardware COGS'!L11+'Hardware COGS'!L12+'Hardware COGS'!L13+'Hardware COGS'!L14</f>
        <v/>
      </c>
      <c r="M15" s="24">
        <f>'Hardware COGS'!M11+'Hardware COGS'!M12+'Hardware COGS'!M13+'Hardware COGS'!M14</f>
        <v/>
      </c>
      <c r="N15" s="24">
        <f>'Hardware COGS'!N11+'Hardware COGS'!N12+'Hardware COGS'!N13+'Hardware COGS'!N14</f>
        <v/>
      </c>
      <c r="O15" s="24">
        <f>'Hardware COGS'!O11+'Hardware COGS'!O12+'Hardware COGS'!O13+'Hardware COGS'!O14</f>
        <v/>
      </c>
      <c r="P15" s="24">
        <f>'Hardware COGS'!P11+'Hardware COGS'!P12+'Hardware COGS'!P13+'Hardware COGS'!P14</f>
        <v/>
      </c>
      <c r="Q15" s="24">
        <f>'Hardware COGS'!Q11+'Hardware COGS'!Q12+'Hardware COGS'!Q13+'Hardware COGS'!Q14</f>
        <v/>
      </c>
      <c r="R15" s="24">
        <f>'Hardware COGS'!R11+'Hardware COGS'!R12+'Hardware COGS'!R13+'Hardware COGS'!R14</f>
        <v/>
      </c>
      <c r="S15" s="24">
        <f>'Hardware COGS'!S11+'Hardware COGS'!S12+'Hardware COGS'!S13+'Hardware COGS'!S14</f>
        <v/>
      </c>
      <c r="T15" s="24">
        <f>'Hardware COGS'!T11+'Hardware COGS'!T12+'Hardware COGS'!T13+'Hardware COGS'!T14</f>
        <v/>
      </c>
      <c r="U15" s="24">
        <f>'Hardware COGS'!U11+'Hardware COGS'!U12+'Hardware COGS'!U13+'Hardware COGS'!U14</f>
        <v/>
      </c>
      <c r="V15" s="24">
        <f>'Hardware COGS'!V11+'Hardware COGS'!V12+'Hardware COGS'!V13+'Hardware COGS'!V14</f>
        <v/>
      </c>
      <c r="W15" s="24">
        <f>'Hardware COGS'!W11+'Hardware COGS'!W12+'Hardware COGS'!W13+'Hardware COGS'!W14</f>
        <v/>
      </c>
      <c r="X15" s="24">
        <f>'Hardware COGS'!X11+'Hardware COGS'!X12+'Hardware COGS'!X13+'Hardware COGS'!X14</f>
        <v/>
      </c>
      <c r="Y15" s="24">
        <f>'Hardware COGS'!Y11+'Hardware COGS'!Y12+'Hardware COGS'!Y13+'Hardware COGS'!Y14</f>
        <v/>
      </c>
      <c r="Z15" s="24">
        <f>'Hardware COGS'!Z11+'Hardware COGS'!Z12+'Hardware COGS'!Z13+'Hardware COGS'!Z14</f>
        <v/>
      </c>
      <c r="AA15" s="24">
        <f>'Hardware COGS'!AA11+'Hardware COGS'!AA12+'Hardware COGS'!AA13+'Hardware COGS'!AA14</f>
        <v/>
      </c>
      <c r="AB15" s="24">
        <f>'Hardware COGS'!AB11+'Hardware COGS'!AB12+'Hardware COGS'!AB13+'Hardware COGS'!AB14</f>
        <v/>
      </c>
      <c r="AC15" s="24">
        <f>'Hardware COGS'!AC11+'Hardware COGS'!AC12+'Hardware COGS'!AC13+'Hardware COGS'!AC14</f>
        <v/>
      </c>
      <c r="AD15" s="24">
        <f>'Hardware COGS'!AD11+'Hardware COGS'!AD12+'Hardware COGS'!AD13+'Hardware COGS'!AD14</f>
        <v/>
      </c>
      <c r="AE15" s="24">
        <f>'Hardware COGS'!AE11+'Hardware COGS'!AE12+'Hardware COGS'!AE13+'Hardware COGS'!AE14</f>
        <v/>
      </c>
      <c r="AG15" s="24">
        <f>SUMIF($C$3:$AE$3,AG$3,$C15:$AE15)</f>
        <v/>
      </c>
      <c r="AH15" s="24">
        <f>SUMIF($C$3:$AE$3,AH$3,$C15:$AE15)</f>
        <v/>
      </c>
      <c r="AI15" s="24">
        <f>SUMIF($C$3:$AE$3,AI$3,$C15:$AE15)</f>
        <v/>
      </c>
      <c r="AJ15" s="24">
        <f>SUMIF($C$3:$AE$3,AJ$3,$C15:$AE15)</f>
        <v/>
      </c>
      <c r="AK15" s="24">
        <f>SUMIF($C$3:$AE$3,AK$3,$C15:$AE15)</f>
        <v/>
      </c>
      <c r="AL15" s="24">
        <f>SUMIF($C$3:$AE$3,AL$3,$C15:$AE15)</f>
        <v/>
      </c>
    </row>
    <row r="16">
      <c r="A16" t="inlineStr">
        <is>
          <t>Accessories COGS</t>
        </is>
      </c>
      <c r="B16" s="2" t="inlineStr"/>
      <c r="C16" s="4">
        <f>'Revenue Build'!C20*acc_cogs_pct</f>
        <v/>
      </c>
      <c r="D16" s="4">
        <f>'Revenue Build'!D20*acc_cogs_pct</f>
        <v/>
      </c>
      <c r="E16" s="4">
        <f>'Revenue Build'!E20*acc_cogs_pct</f>
        <v/>
      </c>
      <c r="F16" s="4">
        <f>'Revenue Build'!F20*acc_cogs_pct</f>
        <v/>
      </c>
      <c r="G16" s="4">
        <f>'Revenue Build'!G20*acc_cogs_pct</f>
        <v/>
      </c>
      <c r="H16" s="4">
        <f>'Revenue Build'!H20*acc_cogs_pct</f>
        <v/>
      </c>
      <c r="I16" s="4">
        <f>'Revenue Build'!I20*acc_cogs_pct</f>
        <v/>
      </c>
      <c r="J16" s="4">
        <f>'Revenue Build'!J20*acc_cogs_pct</f>
        <v/>
      </c>
      <c r="K16" s="4">
        <f>'Revenue Build'!K20*acc_cogs_pct</f>
        <v/>
      </c>
      <c r="L16" s="4">
        <f>'Revenue Build'!L20*acc_cogs_pct</f>
        <v/>
      </c>
      <c r="M16" s="4">
        <f>'Revenue Build'!M20*acc_cogs_pct</f>
        <v/>
      </c>
      <c r="N16" s="4">
        <f>'Revenue Build'!N20*acc_cogs_pct</f>
        <v/>
      </c>
      <c r="O16" s="4">
        <f>'Revenue Build'!O20*acc_cogs_pct</f>
        <v/>
      </c>
      <c r="P16" s="4">
        <f>'Revenue Build'!P20*acc_cogs_pct</f>
        <v/>
      </c>
      <c r="Q16" s="4">
        <f>'Revenue Build'!Q20*acc_cogs_pct</f>
        <v/>
      </c>
      <c r="R16" s="4">
        <f>'Revenue Build'!R20*acc_cogs_pct</f>
        <v/>
      </c>
      <c r="S16" s="4">
        <f>'Revenue Build'!S20*acc_cogs_pct</f>
        <v/>
      </c>
      <c r="T16" s="4">
        <f>'Revenue Build'!T20*acc_cogs_pct</f>
        <v/>
      </c>
      <c r="U16" s="4">
        <f>'Revenue Build'!U20*acc_cogs_pct</f>
        <v/>
      </c>
      <c r="V16" s="4">
        <f>'Revenue Build'!V20*acc_cogs_pct</f>
        <v/>
      </c>
      <c r="W16" s="4">
        <f>'Revenue Build'!W20*acc_cogs_pct</f>
        <v/>
      </c>
      <c r="X16" s="4">
        <f>'Revenue Build'!X20*acc_cogs_pct</f>
        <v/>
      </c>
      <c r="Y16" s="4">
        <f>'Revenue Build'!Y20*acc_cogs_pct</f>
        <v/>
      </c>
      <c r="Z16" s="4">
        <f>'Revenue Build'!Z20*acc_cogs_pct</f>
        <v/>
      </c>
      <c r="AA16" s="4">
        <f>'Revenue Build'!AA20*acc_cogs_pct</f>
        <v/>
      </c>
      <c r="AB16" s="4">
        <f>'Revenue Build'!AB20*acc_cogs_pct</f>
        <v/>
      </c>
      <c r="AC16" s="4">
        <f>'Revenue Build'!AC20*acc_cogs_pct</f>
        <v/>
      </c>
      <c r="AD16" s="4">
        <f>'Revenue Build'!AD20*acc_cogs_pct</f>
        <v/>
      </c>
      <c r="AE16" s="4">
        <f>'Revenue Build'!AE20*acc_cogs_pct</f>
        <v/>
      </c>
      <c r="AG16" s="4">
        <f>SUMIF($C$3:$AE$3,AG$3,$C16:$AE16)</f>
        <v/>
      </c>
      <c r="AH16" s="4">
        <f>SUMIF($C$3:$AE$3,AH$3,$C16:$AE16)</f>
        <v/>
      </c>
      <c r="AI16" s="4">
        <f>SUMIF($C$3:$AE$3,AI$3,$C16:$AE16)</f>
        <v/>
      </c>
      <c r="AJ16" s="4">
        <f>SUMIF($C$3:$AE$3,AJ$3,$C16:$AE16)</f>
        <v/>
      </c>
      <c r="AK16" s="4">
        <f>SUMIF($C$3:$AE$3,AK$3,$C16:$AE16)</f>
        <v/>
      </c>
      <c r="AL16" s="4">
        <f>SUMIF($C$3:$AE$3,AL$3,$C16:$AE16)</f>
        <v/>
      </c>
    </row>
    <row r="17">
      <c r="A17" t="inlineStr">
        <is>
          <t>Hardware gross margin %</t>
        </is>
      </c>
      <c r="B17" s="2" t="inlineStr">
        <is>
          <t>%</t>
        </is>
      </c>
      <c r="C17" s="5">
        <f>IF('Revenue Build'!C15&gt;0,1-'Hardware COGS'!C15/'Revenue Build'!C15,0)</f>
        <v/>
      </c>
      <c r="D17" s="5">
        <f>IF('Revenue Build'!D15&gt;0,1-'Hardware COGS'!D15/'Revenue Build'!D15,0)</f>
        <v/>
      </c>
      <c r="E17" s="5">
        <f>IF('Revenue Build'!E15&gt;0,1-'Hardware COGS'!E15/'Revenue Build'!E15,0)</f>
        <v/>
      </c>
      <c r="F17" s="5">
        <f>IF('Revenue Build'!F15&gt;0,1-'Hardware COGS'!F15/'Revenue Build'!F15,0)</f>
        <v/>
      </c>
      <c r="G17" s="5">
        <f>IF('Revenue Build'!G15&gt;0,1-'Hardware COGS'!G15/'Revenue Build'!G15,0)</f>
        <v/>
      </c>
      <c r="H17" s="5">
        <f>IF('Revenue Build'!H15&gt;0,1-'Hardware COGS'!H15/'Revenue Build'!H15,0)</f>
        <v/>
      </c>
      <c r="I17" s="5">
        <f>IF('Revenue Build'!I15&gt;0,1-'Hardware COGS'!I15/'Revenue Build'!I15,0)</f>
        <v/>
      </c>
      <c r="J17" s="5">
        <f>IF('Revenue Build'!J15&gt;0,1-'Hardware COGS'!J15/'Revenue Build'!J15,0)</f>
        <v/>
      </c>
      <c r="K17" s="5">
        <f>IF('Revenue Build'!K15&gt;0,1-'Hardware COGS'!K15/'Revenue Build'!K15,0)</f>
        <v/>
      </c>
      <c r="L17" s="5">
        <f>IF('Revenue Build'!L15&gt;0,1-'Hardware COGS'!L15/'Revenue Build'!L15,0)</f>
        <v/>
      </c>
      <c r="M17" s="5">
        <f>IF('Revenue Build'!M15&gt;0,1-'Hardware COGS'!M15/'Revenue Build'!M15,0)</f>
        <v/>
      </c>
      <c r="N17" s="5">
        <f>IF('Revenue Build'!N15&gt;0,1-'Hardware COGS'!N15/'Revenue Build'!N15,0)</f>
        <v/>
      </c>
      <c r="O17" s="5">
        <f>IF('Revenue Build'!O15&gt;0,1-'Hardware COGS'!O15/'Revenue Build'!O15,0)</f>
        <v/>
      </c>
      <c r="P17" s="5">
        <f>IF('Revenue Build'!P15&gt;0,1-'Hardware COGS'!P15/'Revenue Build'!P15,0)</f>
        <v/>
      </c>
      <c r="Q17" s="5">
        <f>IF('Revenue Build'!Q15&gt;0,1-'Hardware COGS'!Q15/'Revenue Build'!Q15,0)</f>
        <v/>
      </c>
      <c r="R17" s="5">
        <f>IF('Revenue Build'!R15&gt;0,1-'Hardware COGS'!R15/'Revenue Build'!R15,0)</f>
        <v/>
      </c>
      <c r="S17" s="5">
        <f>IF('Revenue Build'!S15&gt;0,1-'Hardware COGS'!S15/'Revenue Build'!S15,0)</f>
        <v/>
      </c>
      <c r="T17" s="5">
        <f>IF('Revenue Build'!T15&gt;0,1-'Hardware COGS'!T15/'Revenue Build'!T15,0)</f>
        <v/>
      </c>
      <c r="U17" s="5">
        <f>IF('Revenue Build'!U15&gt;0,1-'Hardware COGS'!U15/'Revenue Build'!U15,0)</f>
        <v/>
      </c>
      <c r="V17" s="5">
        <f>IF('Revenue Build'!V15&gt;0,1-'Hardware COGS'!V15/'Revenue Build'!V15,0)</f>
        <v/>
      </c>
      <c r="W17" s="5">
        <f>IF('Revenue Build'!W15&gt;0,1-'Hardware COGS'!W15/'Revenue Build'!W15,0)</f>
        <v/>
      </c>
      <c r="X17" s="5">
        <f>IF('Revenue Build'!X15&gt;0,1-'Hardware COGS'!X15/'Revenue Build'!X15,0)</f>
        <v/>
      </c>
      <c r="Y17" s="5">
        <f>IF('Revenue Build'!Y15&gt;0,1-'Hardware COGS'!Y15/'Revenue Build'!Y15,0)</f>
        <v/>
      </c>
      <c r="Z17" s="5">
        <f>IF('Revenue Build'!Z15&gt;0,1-'Hardware COGS'!Z15/'Revenue Build'!Z15,0)</f>
        <v/>
      </c>
      <c r="AA17" s="5">
        <f>IF('Revenue Build'!AA15&gt;0,1-'Hardware COGS'!AA15/'Revenue Build'!AA15,0)</f>
        <v/>
      </c>
      <c r="AB17" s="5">
        <f>IF('Revenue Build'!AB15&gt;0,1-'Hardware COGS'!AB15/'Revenue Build'!AB15,0)</f>
        <v/>
      </c>
      <c r="AC17" s="5">
        <f>IF('Revenue Build'!AC15&gt;0,1-'Hardware COGS'!AC15/'Revenue Build'!AC15,0)</f>
        <v/>
      </c>
      <c r="AD17" s="5">
        <f>IF('Revenue Build'!AD15&gt;0,1-'Hardware COGS'!AD15/'Revenue Build'!AD15,0)</f>
        <v/>
      </c>
      <c r="AE17" s="5">
        <f>IF('Revenue Build'!AE15&gt;0,1-'Hardware COGS'!AE15/'Revenue Build'!AE15,0)</f>
        <v/>
      </c>
      <c r="AG17" s="5">
        <f>IF('Revenue Build'!AG15&gt;0,1-AG15/'Revenue Build'!AG15,0)</f>
        <v/>
      </c>
      <c r="AH17" s="5">
        <f>IF('Revenue Build'!AH15&gt;0,1-AH15/'Revenue Build'!AH15,0)</f>
        <v/>
      </c>
      <c r="AI17" s="5">
        <f>IF('Revenue Build'!AI15&gt;0,1-AI15/'Revenue Build'!AI15,0)</f>
        <v/>
      </c>
      <c r="AJ17" s="5">
        <f>IF('Revenue Build'!AJ15&gt;0,1-AJ15/'Revenue Build'!AJ15,0)</f>
        <v/>
      </c>
      <c r="AK17" s="5">
        <f>IF('Revenue Build'!AK15&gt;0,1-AK15/'Revenue Build'!AK15,0)</f>
        <v/>
      </c>
      <c r="AL17" s="5">
        <f>IF('Revenue Build'!AL15&gt;0,1-AL15/'Revenue Build'!AL15,0)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Cloud / AI / data COGS per active user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8">
      <c r="A8" t="inlineStr">
        <is>
          <t>AI unit-cost index</t>
        </is>
      </c>
      <c r="B8" s="2" t="inlineStr"/>
      <c r="C8" s="32">
        <f>1</f>
        <v/>
      </c>
      <c r="D8" s="32">
        <f>1</f>
        <v/>
      </c>
      <c r="E8" s="32">
        <f>1</f>
        <v/>
      </c>
      <c r="F8" s="32">
        <f>1</f>
        <v/>
      </c>
      <c r="G8" s="32">
        <f>1</f>
        <v/>
      </c>
      <c r="H8" s="32">
        <f>1</f>
        <v/>
      </c>
      <c r="I8" s="32">
        <f>1</f>
        <v/>
      </c>
      <c r="J8" s="32">
        <f>1</f>
        <v/>
      </c>
      <c r="K8" s="32">
        <f>1</f>
        <v/>
      </c>
      <c r="L8" s="32">
        <f>1</f>
        <v/>
      </c>
      <c r="M8" s="32">
        <f>1</f>
        <v/>
      </c>
      <c r="N8" s="32">
        <f>1</f>
        <v/>
      </c>
      <c r="O8" s="32">
        <f>1</f>
        <v/>
      </c>
      <c r="P8" s="32">
        <f>1</f>
        <v/>
      </c>
      <c r="Q8" s="32">
        <f>1</f>
        <v/>
      </c>
      <c r="R8" s="32">
        <f>1</f>
        <v/>
      </c>
      <c r="S8" s="32">
        <f>1</f>
        <v/>
      </c>
      <c r="T8" s="32">
        <f>1</f>
        <v/>
      </c>
      <c r="U8" s="32">
        <f>1</f>
        <v/>
      </c>
      <c r="V8" s="32">
        <f>1</f>
        <v/>
      </c>
      <c r="W8" s="32">
        <f>1</f>
        <v/>
      </c>
      <c r="X8" s="32">
        <f>1</f>
        <v/>
      </c>
      <c r="Y8" s="32">
        <f>1</f>
        <v/>
      </c>
      <c r="Z8" s="32">
        <f>1</f>
        <v/>
      </c>
      <c r="AA8" s="32">
        <f>1</f>
        <v/>
      </c>
      <c r="AB8" s="32">
        <f>1</f>
        <v/>
      </c>
      <c r="AC8" s="32">
        <f>(1-ai_defl)^(2029-2028)</f>
        <v/>
      </c>
      <c r="AD8" s="32">
        <f>(1-ai_defl)^(2030-2028)</f>
        <v/>
      </c>
      <c r="AE8" s="32">
        <f>(1-ai_defl)^(2031-2028)</f>
        <v/>
      </c>
    </row>
    <row r="9">
      <c r="A9" t="inlineStr">
        <is>
          <t>Data unit-cost index</t>
        </is>
      </c>
      <c r="B9" s="2" t="inlineStr"/>
      <c r="C9" s="32">
        <f>1</f>
        <v/>
      </c>
      <c r="D9" s="32">
        <f>1</f>
        <v/>
      </c>
      <c r="E9" s="32">
        <f>1</f>
        <v/>
      </c>
      <c r="F9" s="32">
        <f>1</f>
        <v/>
      </c>
      <c r="G9" s="32">
        <f>1</f>
        <v/>
      </c>
      <c r="H9" s="32">
        <f>1</f>
        <v/>
      </c>
      <c r="I9" s="32">
        <f>1</f>
        <v/>
      </c>
      <c r="J9" s="32">
        <f>1</f>
        <v/>
      </c>
      <c r="K9" s="32">
        <f>1</f>
        <v/>
      </c>
      <c r="L9" s="32">
        <f>1</f>
        <v/>
      </c>
      <c r="M9" s="32">
        <f>1</f>
        <v/>
      </c>
      <c r="N9" s="32">
        <f>1</f>
        <v/>
      </c>
      <c r="O9" s="32">
        <f>1</f>
        <v/>
      </c>
      <c r="P9" s="32">
        <f>1</f>
        <v/>
      </c>
      <c r="Q9" s="32">
        <f>1</f>
        <v/>
      </c>
      <c r="R9" s="32">
        <f>1</f>
        <v/>
      </c>
      <c r="S9" s="32">
        <f>1</f>
        <v/>
      </c>
      <c r="T9" s="32">
        <f>1</f>
        <v/>
      </c>
      <c r="U9" s="32">
        <f>1</f>
        <v/>
      </c>
      <c r="V9" s="32">
        <f>1</f>
        <v/>
      </c>
      <c r="W9" s="32">
        <f>1</f>
        <v/>
      </c>
      <c r="X9" s="32">
        <f>1</f>
        <v/>
      </c>
      <c r="Y9" s="32">
        <f>1</f>
        <v/>
      </c>
      <c r="Z9" s="32">
        <f>1</f>
        <v/>
      </c>
      <c r="AA9" s="32">
        <f>1</f>
        <v/>
      </c>
      <c r="AB9" s="32">
        <f>1</f>
        <v/>
      </c>
      <c r="AC9" s="32">
        <f>(1-data_defl)^(2029-2028)</f>
        <v/>
      </c>
      <c r="AD9" s="32">
        <f>(1-data_defl)^(2030-2028)</f>
        <v/>
      </c>
      <c r="AE9" s="32">
        <f>(1-data_defl)^(2031-2028)</f>
        <v/>
      </c>
    </row>
    <row r="10">
      <c r="A10" t="inlineStr">
        <is>
          <t>Cost per paid (or trial) user-month</t>
        </is>
      </c>
      <c r="B10" s="2" t="inlineStr">
        <is>
          <t>$</t>
        </is>
      </c>
      <c r="C10" s="23">
        <f>(llm_cost+stt_cost+tts_cost)*'Cloud &amp; AI COGS'!C8+infra_cost+data_gb_used*data_cost_gb*'Cloud &amp; AI COGS'!C9*'Subscription Cohorts'!C32</f>
        <v/>
      </c>
      <c r="D10" s="23">
        <f>(llm_cost+stt_cost+tts_cost)*'Cloud &amp; AI COGS'!D8+infra_cost+data_gb_used*data_cost_gb*'Cloud &amp; AI COGS'!D9*'Subscription Cohorts'!D32</f>
        <v/>
      </c>
      <c r="E10" s="23">
        <f>(llm_cost+stt_cost+tts_cost)*'Cloud &amp; AI COGS'!E8+infra_cost+data_gb_used*data_cost_gb*'Cloud &amp; AI COGS'!E9*'Subscription Cohorts'!E32</f>
        <v/>
      </c>
      <c r="F10" s="23">
        <f>(llm_cost+stt_cost+tts_cost)*'Cloud &amp; AI COGS'!F8+infra_cost+data_gb_used*data_cost_gb*'Cloud &amp; AI COGS'!F9*'Subscription Cohorts'!F32</f>
        <v/>
      </c>
      <c r="G10" s="23">
        <f>(llm_cost+stt_cost+tts_cost)*'Cloud &amp; AI COGS'!G8+infra_cost+data_gb_used*data_cost_gb*'Cloud &amp; AI COGS'!G9*'Subscription Cohorts'!G32</f>
        <v/>
      </c>
      <c r="H10" s="23">
        <f>(llm_cost+stt_cost+tts_cost)*'Cloud &amp; AI COGS'!H8+infra_cost+data_gb_used*data_cost_gb*'Cloud &amp; AI COGS'!H9*'Subscription Cohorts'!H32</f>
        <v/>
      </c>
      <c r="I10" s="23">
        <f>(llm_cost+stt_cost+tts_cost)*'Cloud &amp; AI COGS'!I8+infra_cost+data_gb_used*data_cost_gb*'Cloud &amp; AI COGS'!I9*'Subscription Cohorts'!I32</f>
        <v/>
      </c>
      <c r="J10" s="23">
        <f>(llm_cost+stt_cost+tts_cost)*'Cloud &amp; AI COGS'!J8+infra_cost+data_gb_used*data_cost_gb*'Cloud &amp; AI COGS'!J9*'Subscription Cohorts'!J32</f>
        <v/>
      </c>
      <c r="K10" s="23">
        <f>(llm_cost+stt_cost+tts_cost)*'Cloud &amp; AI COGS'!K8+infra_cost+data_gb_used*data_cost_gb*'Cloud &amp; AI COGS'!K9*'Subscription Cohorts'!K32</f>
        <v/>
      </c>
      <c r="L10" s="23">
        <f>(llm_cost+stt_cost+tts_cost)*'Cloud &amp; AI COGS'!L8+infra_cost+data_gb_used*data_cost_gb*'Cloud &amp; AI COGS'!L9*'Subscription Cohorts'!L32</f>
        <v/>
      </c>
      <c r="M10" s="23">
        <f>(llm_cost+stt_cost+tts_cost)*'Cloud &amp; AI COGS'!M8+infra_cost+data_gb_used*data_cost_gb*'Cloud &amp; AI COGS'!M9*'Subscription Cohorts'!M32</f>
        <v/>
      </c>
      <c r="N10" s="23">
        <f>(llm_cost+stt_cost+tts_cost)*'Cloud &amp; AI COGS'!N8+infra_cost+data_gb_used*data_cost_gb*'Cloud &amp; AI COGS'!N9*'Subscription Cohorts'!N32</f>
        <v/>
      </c>
      <c r="O10" s="23">
        <f>(llm_cost+stt_cost+tts_cost)*'Cloud &amp; AI COGS'!O8+infra_cost+data_gb_used*data_cost_gb*'Cloud &amp; AI COGS'!O9*'Subscription Cohorts'!O32</f>
        <v/>
      </c>
      <c r="P10" s="23">
        <f>(llm_cost+stt_cost+tts_cost)*'Cloud &amp; AI COGS'!P8+infra_cost+data_gb_used*data_cost_gb*'Cloud &amp; AI COGS'!P9*'Subscription Cohorts'!P32</f>
        <v/>
      </c>
      <c r="Q10" s="23">
        <f>(llm_cost+stt_cost+tts_cost)*'Cloud &amp; AI COGS'!Q8+infra_cost+data_gb_used*data_cost_gb*'Cloud &amp; AI COGS'!Q9*'Subscription Cohorts'!Q32</f>
        <v/>
      </c>
      <c r="R10" s="23">
        <f>(llm_cost+stt_cost+tts_cost)*'Cloud &amp; AI COGS'!R8+infra_cost+data_gb_used*data_cost_gb*'Cloud &amp; AI COGS'!R9*'Subscription Cohorts'!R32</f>
        <v/>
      </c>
      <c r="S10" s="23">
        <f>(llm_cost+stt_cost+tts_cost)*'Cloud &amp; AI COGS'!S8+infra_cost+data_gb_used*data_cost_gb*'Cloud &amp; AI COGS'!S9*'Subscription Cohorts'!S32</f>
        <v/>
      </c>
      <c r="T10" s="23">
        <f>(llm_cost+stt_cost+tts_cost)*'Cloud &amp; AI COGS'!T8+infra_cost+data_gb_used*data_cost_gb*'Cloud &amp; AI COGS'!T9*'Subscription Cohorts'!T32</f>
        <v/>
      </c>
      <c r="U10" s="23">
        <f>(llm_cost+stt_cost+tts_cost)*'Cloud &amp; AI COGS'!U8+infra_cost+data_gb_used*data_cost_gb*'Cloud &amp; AI COGS'!U9*'Subscription Cohorts'!U32</f>
        <v/>
      </c>
      <c r="V10" s="23">
        <f>(llm_cost+stt_cost+tts_cost)*'Cloud &amp; AI COGS'!V8+infra_cost+data_gb_used*data_cost_gb*'Cloud &amp; AI COGS'!V9*'Subscription Cohorts'!V32</f>
        <v/>
      </c>
      <c r="W10" s="23">
        <f>(llm_cost+stt_cost+tts_cost)*'Cloud &amp; AI COGS'!W8+infra_cost+data_gb_used*data_cost_gb*'Cloud &amp; AI COGS'!W9*'Subscription Cohorts'!W32</f>
        <v/>
      </c>
      <c r="X10" s="23">
        <f>(llm_cost+stt_cost+tts_cost)*'Cloud &amp; AI COGS'!X8+infra_cost+data_gb_used*data_cost_gb*'Cloud &amp; AI COGS'!X9*'Subscription Cohorts'!X32</f>
        <v/>
      </c>
      <c r="Y10" s="23">
        <f>(llm_cost+stt_cost+tts_cost)*'Cloud &amp; AI COGS'!Y8+infra_cost+data_gb_used*data_cost_gb*'Cloud &amp; AI COGS'!Y9*'Subscription Cohorts'!Y32</f>
        <v/>
      </c>
      <c r="Z10" s="23">
        <f>(llm_cost+stt_cost+tts_cost)*'Cloud &amp; AI COGS'!Z8+infra_cost+data_gb_used*data_cost_gb*'Cloud &amp; AI COGS'!Z9*'Subscription Cohorts'!Z32</f>
        <v/>
      </c>
      <c r="AA10" s="23">
        <f>(llm_cost+stt_cost+tts_cost)*'Cloud &amp; AI COGS'!AA8+infra_cost+data_gb_used*data_cost_gb*'Cloud &amp; AI COGS'!AA9*'Subscription Cohorts'!AA32</f>
        <v/>
      </c>
      <c r="AB10" s="23">
        <f>(llm_cost+stt_cost+tts_cost)*'Cloud &amp; AI COGS'!AB8+infra_cost+data_gb_used*data_cost_gb*'Cloud &amp; AI COGS'!AB9*'Subscription Cohorts'!AB32</f>
        <v/>
      </c>
      <c r="AC10" s="23">
        <f>(llm_cost+stt_cost+tts_cost)*'Cloud &amp; AI COGS'!AC8+infra_cost+data_gb_used*data_cost_gb*'Cloud &amp; AI COGS'!AC9*'Subscription Cohorts'!AC32</f>
        <v/>
      </c>
      <c r="AD10" s="23">
        <f>(llm_cost+stt_cost+tts_cost)*'Cloud &amp; AI COGS'!AD8+infra_cost+data_gb_used*data_cost_gb*'Cloud &amp; AI COGS'!AD9*'Subscription Cohorts'!AD32</f>
        <v/>
      </c>
      <c r="AE10" s="23">
        <f>(llm_cost+stt_cost+tts_cost)*'Cloud &amp; AI COGS'!AE8+infra_cost+data_gb_used*data_cost_gb*'Cloud &amp; AI COGS'!AE9*'Subscription Cohorts'!AE32</f>
        <v/>
      </c>
    </row>
    <row r="11">
      <c r="A11" t="inlineStr">
        <is>
          <t>Cost per Trip Pass</t>
        </is>
      </c>
      <c r="B11" s="2" t="inlineStr">
        <is>
          <t>$</t>
        </is>
      </c>
      <c r="C11" s="23">
        <f>trip_data_gb*data_cost_gb*'Cloud &amp; AI COGS'!C9+trip_ai*'Cloud &amp; AI COGS'!C8+sub_pay_fee*trip_price*sc_price</f>
        <v/>
      </c>
      <c r="D11" s="23">
        <f>trip_data_gb*data_cost_gb*'Cloud &amp; AI COGS'!D9+trip_ai*'Cloud &amp; AI COGS'!D8+sub_pay_fee*trip_price*sc_price</f>
        <v/>
      </c>
      <c r="E11" s="23">
        <f>trip_data_gb*data_cost_gb*'Cloud &amp; AI COGS'!E9+trip_ai*'Cloud &amp; AI COGS'!E8+sub_pay_fee*trip_price*sc_price</f>
        <v/>
      </c>
      <c r="F11" s="23">
        <f>trip_data_gb*data_cost_gb*'Cloud &amp; AI COGS'!F9+trip_ai*'Cloud &amp; AI COGS'!F8+sub_pay_fee*trip_price*sc_price</f>
        <v/>
      </c>
      <c r="G11" s="23">
        <f>trip_data_gb*data_cost_gb*'Cloud &amp; AI COGS'!G9+trip_ai*'Cloud &amp; AI COGS'!G8+sub_pay_fee*trip_price*sc_price</f>
        <v/>
      </c>
      <c r="H11" s="23">
        <f>trip_data_gb*data_cost_gb*'Cloud &amp; AI COGS'!H9+trip_ai*'Cloud &amp; AI COGS'!H8+sub_pay_fee*trip_price*sc_price</f>
        <v/>
      </c>
      <c r="I11" s="23">
        <f>trip_data_gb*data_cost_gb*'Cloud &amp; AI COGS'!I9+trip_ai*'Cloud &amp; AI COGS'!I8+sub_pay_fee*trip_price*sc_price</f>
        <v/>
      </c>
      <c r="J11" s="23">
        <f>trip_data_gb*data_cost_gb*'Cloud &amp; AI COGS'!J9+trip_ai*'Cloud &amp; AI COGS'!J8+sub_pay_fee*trip_price*sc_price</f>
        <v/>
      </c>
      <c r="K11" s="23">
        <f>trip_data_gb*data_cost_gb*'Cloud &amp; AI COGS'!K9+trip_ai*'Cloud &amp; AI COGS'!K8+sub_pay_fee*trip_price*sc_price</f>
        <v/>
      </c>
      <c r="L11" s="23">
        <f>trip_data_gb*data_cost_gb*'Cloud &amp; AI COGS'!L9+trip_ai*'Cloud &amp; AI COGS'!L8+sub_pay_fee*trip_price*sc_price</f>
        <v/>
      </c>
      <c r="M11" s="23">
        <f>trip_data_gb*data_cost_gb*'Cloud &amp; AI COGS'!M9+trip_ai*'Cloud &amp; AI COGS'!M8+sub_pay_fee*trip_price*sc_price</f>
        <v/>
      </c>
      <c r="N11" s="23">
        <f>trip_data_gb*data_cost_gb*'Cloud &amp; AI COGS'!N9+trip_ai*'Cloud &amp; AI COGS'!N8+sub_pay_fee*trip_price*sc_price</f>
        <v/>
      </c>
      <c r="O11" s="23">
        <f>trip_data_gb*data_cost_gb*'Cloud &amp; AI COGS'!O9+trip_ai*'Cloud &amp; AI COGS'!O8+sub_pay_fee*trip_price*sc_price</f>
        <v/>
      </c>
      <c r="P11" s="23">
        <f>trip_data_gb*data_cost_gb*'Cloud &amp; AI COGS'!P9+trip_ai*'Cloud &amp; AI COGS'!P8+sub_pay_fee*trip_price*sc_price</f>
        <v/>
      </c>
      <c r="Q11" s="23">
        <f>trip_data_gb*data_cost_gb*'Cloud &amp; AI COGS'!Q9+trip_ai*'Cloud &amp; AI COGS'!Q8+sub_pay_fee*trip_price*sc_price</f>
        <v/>
      </c>
      <c r="R11" s="23">
        <f>trip_data_gb*data_cost_gb*'Cloud &amp; AI COGS'!R9+trip_ai*'Cloud &amp; AI COGS'!R8+sub_pay_fee*trip_price*sc_price</f>
        <v/>
      </c>
      <c r="S11" s="23">
        <f>trip_data_gb*data_cost_gb*'Cloud &amp; AI COGS'!S9+trip_ai*'Cloud &amp; AI COGS'!S8+sub_pay_fee*trip_price*sc_price</f>
        <v/>
      </c>
      <c r="T11" s="23">
        <f>trip_data_gb*data_cost_gb*'Cloud &amp; AI COGS'!T9+trip_ai*'Cloud &amp; AI COGS'!T8+sub_pay_fee*trip_price*sc_price</f>
        <v/>
      </c>
      <c r="U11" s="23">
        <f>trip_data_gb*data_cost_gb*'Cloud &amp; AI COGS'!U9+trip_ai*'Cloud &amp; AI COGS'!U8+sub_pay_fee*trip_price*sc_price</f>
        <v/>
      </c>
      <c r="V11" s="23">
        <f>trip_data_gb*data_cost_gb*'Cloud &amp; AI COGS'!V9+trip_ai*'Cloud &amp; AI COGS'!V8+sub_pay_fee*trip_price*sc_price</f>
        <v/>
      </c>
      <c r="W11" s="23">
        <f>trip_data_gb*data_cost_gb*'Cloud &amp; AI COGS'!W9+trip_ai*'Cloud &amp; AI COGS'!W8+sub_pay_fee*trip_price*sc_price</f>
        <v/>
      </c>
      <c r="X11" s="23">
        <f>trip_data_gb*data_cost_gb*'Cloud &amp; AI COGS'!X9+trip_ai*'Cloud &amp; AI COGS'!X8+sub_pay_fee*trip_price*sc_price</f>
        <v/>
      </c>
      <c r="Y11" s="23">
        <f>trip_data_gb*data_cost_gb*'Cloud &amp; AI COGS'!Y9+trip_ai*'Cloud &amp; AI COGS'!Y8+sub_pay_fee*trip_price*sc_price</f>
        <v/>
      </c>
      <c r="Z11" s="23">
        <f>trip_data_gb*data_cost_gb*'Cloud &amp; AI COGS'!Z9+trip_ai*'Cloud &amp; AI COGS'!Z8+sub_pay_fee*trip_price*sc_price</f>
        <v/>
      </c>
      <c r="AA11" s="23">
        <f>trip_data_gb*data_cost_gb*'Cloud &amp; AI COGS'!AA9+trip_ai*'Cloud &amp; AI COGS'!AA8+sub_pay_fee*trip_price*sc_price</f>
        <v/>
      </c>
      <c r="AB11" s="23">
        <f>trip_data_gb*data_cost_gb*'Cloud &amp; AI COGS'!AB9+trip_ai*'Cloud &amp; AI COGS'!AB8+sub_pay_fee*trip_price*sc_price</f>
        <v/>
      </c>
      <c r="AC11" s="23">
        <f>trip_data_gb*data_cost_gb*'Cloud &amp; AI COGS'!AC9+trip_ai*'Cloud &amp; AI COGS'!AC8+sub_pay_fee*trip_price*sc_price</f>
        <v/>
      </c>
      <c r="AD11" s="23">
        <f>trip_data_gb*data_cost_gb*'Cloud &amp; AI COGS'!AD9+trip_ai*'Cloud &amp; AI COGS'!AD8+sub_pay_fee*trip_price*sc_price</f>
        <v/>
      </c>
      <c r="AE11" s="23">
        <f>trip_data_gb*data_cost_gb*'Cloud &amp; AI COGS'!AE9+trip_ai*'Cloud &amp; AI COGS'!AE8+sub_pay_fee*trip_price*sc_price</f>
        <v/>
      </c>
    </row>
    <row r="12">
      <c r="A12" t="inlineStr">
        <is>
          <t>Paid subscribers: AI + data + infra</t>
        </is>
      </c>
      <c r="B12" s="2" t="inlineStr"/>
      <c r="C12" s="4">
        <f>'Subscription Cohorts'!C21*'Cloud &amp; AI COGS'!C10</f>
        <v/>
      </c>
      <c r="D12" s="4">
        <f>'Subscription Cohorts'!D21*'Cloud &amp; AI COGS'!D10</f>
        <v/>
      </c>
      <c r="E12" s="4">
        <f>'Subscription Cohorts'!E21*'Cloud &amp; AI COGS'!E10</f>
        <v/>
      </c>
      <c r="F12" s="4">
        <f>'Subscription Cohorts'!F21*'Cloud &amp; AI COGS'!F10</f>
        <v/>
      </c>
      <c r="G12" s="4">
        <f>'Subscription Cohorts'!G21*'Cloud &amp; AI COGS'!G10</f>
        <v/>
      </c>
      <c r="H12" s="4">
        <f>'Subscription Cohorts'!H21*'Cloud &amp; AI COGS'!H10</f>
        <v/>
      </c>
      <c r="I12" s="4">
        <f>'Subscription Cohorts'!I21*'Cloud &amp; AI COGS'!I10</f>
        <v/>
      </c>
      <c r="J12" s="4">
        <f>'Subscription Cohorts'!J21*'Cloud &amp; AI COGS'!J10</f>
        <v/>
      </c>
      <c r="K12" s="4">
        <f>'Subscription Cohorts'!K21*'Cloud &amp; AI COGS'!K10</f>
        <v/>
      </c>
      <c r="L12" s="4">
        <f>'Subscription Cohorts'!L21*'Cloud &amp; AI COGS'!L10</f>
        <v/>
      </c>
      <c r="M12" s="4">
        <f>'Subscription Cohorts'!M21*'Cloud &amp; AI COGS'!M10</f>
        <v/>
      </c>
      <c r="N12" s="4">
        <f>'Subscription Cohorts'!N21*'Cloud &amp; AI COGS'!N10</f>
        <v/>
      </c>
      <c r="O12" s="4">
        <f>'Subscription Cohorts'!O21*'Cloud &amp; AI COGS'!O10</f>
        <v/>
      </c>
      <c r="P12" s="4">
        <f>'Subscription Cohorts'!P21*'Cloud &amp; AI COGS'!P10</f>
        <v/>
      </c>
      <c r="Q12" s="4">
        <f>'Subscription Cohorts'!Q21*'Cloud &amp; AI COGS'!Q10</f>
        <v/>
      </c>
      <c r="R12" s="4">
        <f>'Subscription Cohorts'!R21*'Cloud &amp; AI COGS'!R10</f>
        <v/>
      </c>
      <c r="S12" s="4">
        <f>'Subscription Cohorts'!S21*'Cloud &amp; AI COGS'!S10</f>
        <v/>
      </c>
      <c r="T12" s="4">
        <f>'Subscription Cohorts'!T21*'Cloud &amp; AI COGS'!T10</f>
        <v/>
      </c>
      <c r="U12" s="4">
        <f>'Subscription Cohorts'!U21*'Cloud &amp; AI COGS'!U10</f>
        <v/>
      </c>
      <c r="V12" s="4">
        <f>'Subscription Cohorts'!V21*'Cloud &amp; AI COGS'!V10</f>
        <v/>
      </c>
      <c r="W12" s="4">
        <f>'Subscription Cohorts'!W21*'Cloud &amp; AI COGS'!W10</f>
        <v/>
      </c>
      <c r="X12" s="4">
        <f>'Subscription Cohorts'!X21*'Cloud &amp; AI COGS'!X10</f>
        <v/>
      </c>
      <c r="Y12" s="4">
        <f>'Subscription Cohorts'!Y21*'Cloud &amp; AI COGS'!Y10</f>
        <v/>
      </c>
      <c r="Z12" s="4">
        <f>'Subscription Cohorts'!Z21*'Cloud &amp; AI COGS'!Z10</f>
        <v/>
      </c>
      <c r="AA12" s="4">
        <f>'Subscription Cohorts'!AA21*'Cloud &amp; AI COGS'!AA10</f>
        <v/>
      </c>
      <c r="AB12" s="4">
        <f>'Subscription Cohorts'!AB21*'Cloud &amp; AI COGS'!AB10</f>
        <v/>
      </c>
      <c r="AC12" s="4">
        <f>'Subscription Cohorts'!AC21*'Cloud &amp; AI COGS'!AC10</f>
        <v/>
      </c>
      <c r="AD12" s="4">
        <f>'Subscription Cohorts'!AD21*'Cloud &amp; AI COGS'!AD10</f>
        <v/>
      </c>
      <c r="AE12" s="4">
        <f>'Subscription Cohorts'!AE21*'Cloud &amp; AI COGS'!AE10</f>
        <v/>
      </c>
      <c r="AG12" s="4">
        <f>SUMIF($C$3:$AE$3,AG$3,$C12:$AE12)</f>
        <v/>
      </c>
      <c r="AH12" s="4">
        <f>SUMIF($C$3:$AE$3,AH$3,$C12:$AE12)</f>
        <v/>
      </c>
      <c r="AI12" s="4">
        <f>SUMIF($C$3:$AE$3,AI$3,$C12:$AE12)</f>
        <v/>
      </c>
      <c r="AJ12" s="4">
        <f>SUMIF($C$3:$AE$3,AJ$3,$C12:$AE12)</f>
        <v/>
      </c>
      <c r="AK12" s="4">
        <f>SUMIF($C$3:$AE$3,AK$3,$C12:$AE12)</f>
        <v/>
      </c>
      <c r="AL12" s="4">
        <f>SUMIF($C$3:$AE$3,AL$3,$C12:$AE12)</f>
        <v/>
      </c>
    </row>
    <row r="13">
      <c r="A13" t="inlineStr">
        <is>
          <t>Subscription billing fees</t>
        </is>
      </c>
      <c r="B13" s="2" t="inlineStr"/>
      <c r="C13" s="4">
        <f>'Subscription Cohorts'!C23*sub_pay_fee</f>
        <v/>
      </c>
      <c r="D13" s="4">
        <f>'Subscription Cohorts'!D23*sub_pay_fee</f>
        <v/>
      </c>
      <c r="E13" s="4">
        <f>'Subscription Cohorts'!E23*sub_pay_fee</f>
        <v/>
      </c>
      <c r="F13" s="4">
        <f>'Subscription Cohorts'!F23*sub_pay_fee</f>
        <v/>
      </c>
      <c r="G13" s="4">
        <f>'Subscription Cohorts'!G23*sub_pay_fee</f>
        <v/>
      </c>
      <c r="H13" s="4">
        <f>'Subscription Cohorts'!H23*sub_pay_fee</f>
        <v/>
      </c>
      <c r="I13" s="4">
        <f>'Subscription Cohorts'!I23*sub_pay_fee</f>
        <v/>
      </c>
      <c r="J13" s="4">
        <f>'Subscription Cohorts'!J23*sub_pay_fee</f>
        <v/>
      </c>
      <c r="K13" s="4">
        <f>'Subscription Cohorts'!K23*sub_pay_fee</f>
        <v/>
      </c>
      <c r="L13" s="4">
        <f>'Subscription Cohorts'!L23*sub_pay_fee</f>
        <v/>
      </c>
      <c r="M13" s="4">
        <f>'Subscription Cohorts'!M23*sub_pay_fee</f>
        <v/>
      </c>
      <c r="N13" s="4">
        <f>'Subscription Cohorts'!N23*sub_pay_fee</f>
        <v/>
      </c>
      <c r="O13" s="4">
        <f>'Subscription Cohorts'!O23*sub_pay_fee</f>
        <v/>
      </c>
      <c r="P13" s="4">
        <f>'Subscription Cohorts'!P23*sub_pay_fee</f>
        <v/>
      </c>
      <c r="Q13" s="4">
        <f>'Subscription Cohorts'!Q23*sub_pay_fee</f>
        <v/>
      </c>
      <c r="R13" s="4">
        <f>'Subscription Cohorts'!R23*sub_pay_fee</f>
        <v/>
      </c>
      <c r="S13" s="4">
        <f>'Subscription Cohorts'!S23*sub_pay_fee</f>
        <v/>
      </c>
      <c r="T13" s="4">
        <f>'Subscription Cohorts'!T23*sub_pay_fee</f>
        <v/>
      </c>
      <c r="U13" s="4">
        <f>'Subscription Cohorts'!U23*sub_pay_fee</f>
        <v/>
      </c>
      <c r="V13" s="4">
        <f>'Subscription Cohorts'!V23*sub_pay_fee</f>
        <v/>
      </c>
      <c r="W13" s="4">
        <f>'Subscription Cohorts'!W23*sub_pay_fee</f>
        <v/>
      </c>
      <c r="X13" s="4">
        <f>'Subscription Cohorts'!X23*sub_pay_fee</f>
        <v/>
      </c>
      <c r="Y13" s="4">
        <f>'Subscription Cohorts'!Y23*sub_pay_fee</f>
        <v/>
      </c>
      <c r="Z13" s="4">
        <f>'Subscription Cohorts'!Z23*sub_pay_fee</f>
        <v/>
      </c>
      <c r="AA13" s="4">
        <f>'Subscription Cohorts'!AA23*sub_pay_fee</f>
        <v/>
      </c>
      <c r="AB13" s="4">
        <f>'Subscription Cohorts'!AB23*sub_pay_fee</f>
        <v/>
      </c>
      <c r="AC13" s="4">
        <f>'Subscription Cohorts'!AC23*sub_pay_fee</f>
        <v/>
      </c>
      <c r="AD13" s="4">
        <f>'Subscription Cohorts'!AD23*sub_pay_fee</f>
        <v/>
      </c>
      <c r="AE13" s="4">
        <f>'Subscription Cohorts'!AE23*sub_pay_fee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Trial users (3 free months)</t>
        </is>
      </c>
      <c r="B14" s="2" t="inlineStr"/>
      <c r="C14" s="4">
        <f>'Subscription Cohorts'!C27*'Cloud &amp; AI COGS'!C10</f>
        <v/>
      </c>
      <c r="D14" s="4">
        <f>'Subscription Cohorts'!D27*'Cloud &amp; AI COGS'!D10</f>
        <v/>
      </c>
      <c r="E14" s="4">
        <f>'Subscription Cohorts'!E27*'Cloud &amp; AI COGS'!E10</f>
        <v/>
      </c>
      <c r="F14" s="4">
        <f>'Subscription Cohorts'!F27*'Cloud &amp; AI COGS'!F10</f>
        <v/>
      </c>
      <c r="G14" s="4">
        <f>'Subscription Cohorts'!G27*'Cloud &amp; AI COGS'!G10</f>
        <v/>
      </c>
      <c r="H14" s="4">
        <f>'Subscription Cohorts'!H27*'Cloud &amp; AI COGS'!H10</f>
        <v/>
      </c>
      <c r="I14" s="4">
        <f>'Subscription Cohorts'!I27*'Cloud &amp; AI COGS'!I10</f>
        <v/>
      </c>
      <c r="J14" s="4">
        <f>'Subscription Cohorts'!J27*'Cloud &amp; AI COGS'!J10</f>
        <v/>
      </c>
      <c r="K14" s="4">
        <f>'Subscription Cohorts'!K27*'Cloud &amp; AI COGS'!K10</f>
        <v/>
      </c>
      <c r="L14" s="4">
        <f>'Subscription Cohorts'!L27*'Cloud &amp; AI COGS'!L10</f>
        <v/>
      </c>
      <c r="M14" s="4">
        <f>'Subscription Cohorts'!M27*'Cloud &amp; AI COGS'!M10</f>
        <v/>
      </c>
      <c r="N14" s="4">
        <f>'Subscription Cohorts'!N27*'Cloud &amp; AI COGS'!N10</f>
        <v/>
      </c>
      <c r="O14" s="4">
        <f>'Subscription Cohorts'!O27*'Cloud &amp; AI COGS'!O10</f>
        <v/>
      </c>
      <c r="P14" s="4">
        <f>'Subscription Cohorts'!P27*'Cloud &amp; AI COGS'!P10</f>
        <v/>
      </c>
      <c r="Q14" s="4">
        <f>'Subscription Cohorts'!Q27*'Cloud &amp; AI COGS'!Q10</f>
        <v/>
      </c>
      <c r="R14" s="4">
        <f>'Subscription Cohorts'!R27*'Cloud &amp; AI COGS'!R10</f>
        <v/>
      </c>
      <c r="S14" s="4">
        <f>'Subscription Cohorts'!S27*'Cloud &amp; AI COGS'!S10</f>
        <v/>
      </c>
      <c r="T14" s="4">
        <f>'Subscription Cohorts'!T27*'Cloud &amp; AI COGS'!T10</f>
        <v/>
      </c>
      <c r="U14" s="4">
        <f>'Subscription Cohorts'!U27*'Cloud &amp; AI COGS'!U10</f>
        <v/>
      </c>
      <c r="V14" s="4">
        <f>'Subscription Cohorts'!V27*'Cloud &amp; AI COGS'!V10</f>
        <v/>
      </c>
      <c r="W14" s="4">
        <f>'Subscription Cohorts'!W27*'Cloud &amp; AI COGS'!W10</f>
        <v/>
      </c>
      <c r="X14" s="4">
        <f>'Subscription Cohorts'!X27*'Cloud &amp; AI COGS'!X10</f>
        <v/>
      </c>
      <c r="Y14" s="4">
        <f>'Subscription Cohorts'!Y27*'Cloud &amp; AI COGS'!Y10</f>
        <v/>
      </c>
      <c r="Z14" s="4">
        <f>'Subscription Cohorts'!Z27*'Cloud &amp; AI COGS'!Z10</f>
        <v/>
      </c>
      <c r="AA14" s="4">
        <f>'Subscription Cohorts'!AA27*'Cloud &amp; AI COGS'!AA10</f>
        <v/>
      </c>
      <c r="AB14" s="4">
        <f>'Subscription Cohorts'!AB27*'Cloud &amp; AI COGS'!AB10</f>
        <v/>
      </c>
      <c r="AC14" s="4">
        <f>'Subscription Cohorts'!AC27*'Cloud &amp; AI COGS'!AC10</f>
        <v/>
      </c>
      <c r="AD14" s="4">
        <f>'Subscription Cohorts'!AD27*'Cloud &amp; AI COGS'!AD10</f>
        <v/>
      </c>
      <c r="AE14" s="4">
        <f>'Subscription Cohorts'!AE27*'Cloud &amp; AI COGS'!AE10</f>
        <v/>
      </c>
      <c r="AG14" s="4">
        <f>SUMIF($C$3:$AE$3,AG$3,$C14:$AE14)</f>
        <v/>
      </c>
      <c r="AH14" s="4">
        <f>SUMIF($C$3:$AE$3,AH$3,$C14:$AE14)</f>
        <v/>
      </c>
      <c r="AI14" s="4">
        <f>SUMIF($C$3:$AE$3,AI$3,$C14:$AE14)</f>
        <v/>
      </c>
      <c r="AJ14" s="4">
        <f>SUMIF($C$3:$AE$3,AJ$3,$C14:$AE14)</f>
        <v/>
      </c>
      <c r="AK14" s="4">
        <f>SUMIF($C$3:$AE$3,AK$3,$C14:$AE14)</f>
        <v/>
      </c>
      <c r="AL14" s="4">
        <f>SUMIF($C$3:$AE$3,AL$3,$C14:$AE14)</f>
        <v/>
      </c>
    </row>
    <row r="15">
      <c r="A15" t="inlineStr">
        <is>
          <t>Free-tier devices</t>
        </is>
      </c>
      <c r="B15" s="2" t="inlineStr"/>
      <c r="C15" s="4">
        <f>'Subscription Cohorts'!C33*free_cost</f>
        <v/>
      </c>
      <c r="D15" s="4">
        <f>'Subscription Cohorts'!D33*free_cost</f>
        <v/>
      </c>
      <c r="E15" s="4">
        <f>'Subscription Cohorts'!E33*free_cost</f>
        <v/>
      </c>
      <c r="F15" s="4">
        <f>'Subscription Cohorts'!F33*free_cost</f>
        <v/>
      </c>
      <c r="G15" s="4">
        <f>'Subscription Cohorts'!G33*free_cost</f>
        <v/>
      </c>
      <c r="H15" s="4">
        <f>'Subscription Cohorts'!H33*free_cost</f>
        <v/>
      </c>
      <c r="I15" s="4">
        <f>'Subscription Cohorts'!I33*free_cost</f>
        <v/>
      </c>
      <c r="J15" s="4">
        <f>'Subscription Cohorts'!J33*free_cost</f>
        <v/>
      </c>
      <c r="K15" s="4">
        <f>'Subscription Cohorts'!K33*free_cost</f>
        <v/>
      </c>
      <c r="L15" s="4">
        <f>'Subscription Cohorts'!L33*free_cost</f>
        <v/>
      </c>
      <c r="M15" s="4">
        <f>'Subscription Cohorts'!M33*free_cost</f>
        <v/>
      </c>
      <c r="N15" s="4">
        <f>'Subscription Cohorts'!N33*free_cost</f>
        <v/>
      </c>
      <c r="O15" s="4">
        <f>'Subscription Cohorts'!O33*free_cost</f>
        <v/>
      </c>
      <c r="P15" s="4">
        <f>'Subscription Cohorts'!P33*free_cost</f>
        <v/>
      </c>
      <c r="Q15" s="4">
        <f>'Subscription Cohorts'!Q33*free_cost</f>
        <v/>
      </c>
      <c r="R15" s="4">
        <f>'Subscription Cohorts'!R33*free_cost</f>
        <v/>
      </c>
      <c r="S15" s="4">
        <f>'Subscription Cohorts'!S33*free_cost</f>
        <v/>
      </c>
      <c r="T15" s="4">
        <f>'Subscription Cohorts'!T33*free_cost</f>
        <v/>
      </c>
      <c r="U15" s="4">
        <f>'Subscription Cohorts'!U33*free_cost</f>
        <v/>
      </c>
      <c r="V15" s="4">
        <f>'Subscription Cohorts'!V33*free_cost</f>
        <v/>
      </c>
      <c r="W15" s="4">
        <f>'Subscription Cohorts'!W33*free_cost</f>
        <v/>
      </c>
      <c r="X15" s="4">
        <f>'Subscription Cohorts'!X33*free_cost</f>
        <v/>
      </c>
      <c r="Y15" s="4">
        <f>'Subscription Cohorts'!Y33*free_cost</f>
        <v/>
      </c>
      <c r="Z15" s="4">
        <f>'Subscription Cohorts'!Z33*free_cost</f>
        <v/>
      </c>
      <c r="AA15" s="4">
        <f>'Subscription Cohorts'!AA33*free_cost</f>
        <v/>
      </c>
      <c r="AB15" s="4">
        <f>'Subscription Cohorts'!AB33*free_cost</f>
        <v/>
      </c>
      <c r="AC15" s="4">
        <f>'Subscription Cohorts'!AC33*free_cost</f>
        <v/>
      </c>
      <c r="AD15" s="4">
        <f>'Subscription Cohorts'!AD33*free_cost</f>
        <v/>
      </c>
      <c r="AE15" s="4">
        <f>'Subscription Cohorts'!AE33*free_cost</f>
        <v/>
      </c>
      <c r="AG15" s="4">
        <f>SUMIF($C$3:$AE$3,AG$3,$C15:$AE15)</f>
        <v/>
      </c>
      <c r="AH15" s="4">
        <f>SUMIF($C$3:$AE$3,AH$3,$C15:$AE15)</f>
        <v/>
      </c>
      <c r="AI15" s="4">
        <f>SUMIF($C$3:$AE$3,AI$3,$C15:$AE15)</f>
        <v/>
      </c>
      <c r="AJ15" s="4">
        <f>SUMIF($C$3:$AE$3,AJ$3,$C15:$AE15)</f>
        <v/>
      </c>
      <c r="AK15" s="4">
        <f>SUMIF($C$3:$AE$3,AK$3,$C15:$AE15)</f>
        <v/>
      </c>
      <c r="AL15" s="4">
        <f>SUMIF($C$3:$AE$3,AL$3,$C15:$AE15)</f>
        <v/>
      </c>
    </row>
    <row r="16">
      <c r="A16" t="inlineStr">
        <is>
          <t>Trip Passes</t>
        </is>
      </c>
      <c r="B16" s="2" t="inlineStr"/>
      <c r="C16" s="4">
        <f>'Subscription Cohorts'!C34*'Cloud &amp; AI COGS'!C11</f>
        <v/>
      </c>
      <c r="D16" s="4">
        <f>'Subscription Cohorts'!D34*'Cloud &amp; AI COGS'!D11</f>
        <v/>
      </c>
      <c r="E16" s="4">
        <f>'Subscription Cohorts'!E34*'Cloud &amp; AI COGS'!E11</f>
        <v/>
      </c>
      <c r="F16" s="4">
        <f>'Subscription Cohorts'!F34*'Cloud &amp; AI COGS'!F11</f>
        <v/>
      </c>
      <c r="G16" s="4">
        <f>'Subscription Cohorts'!G34*'Cloud &amp; AI COGS'!G11</f>
        <v/>
      </c>
      <c r="H16" s="4">
        <f>'Subscription Cohorts'!H34*'Cloud &amp; AI COGS'!H11</f>
        <v/>
      </c>
      <c r="I16" s="4">
        <f>'Subscription Cohorts'!I34*'Cloud &amp; AI COGS'!I11</f>
        <v/>
      </c>
      <c r="J16" s="4">
        <f>'Subscription Cohorts'!J34*'Cloud &amp; AI COGS'!J11</f>
        <v/>
      </c>
      <c r="K16" s="4">
        <f>'Subscription Cohorts'!K34*'Cloud &amp; AI COGS'!K11</f>
        <v/>
      </c>
      <c r="L16" s="4">
        <f>'Subscription Cohorts'!L34*'Cloud &amp; AI COGS'!L11</f>
        <v/>
      </c>
      <c r="M16" s="4">
        <f>'Subscription Cohorts'!M34*'Cloud &amp; AI COGS'!M11</f>
        <v/>
      </c>
      <c r="N16" s="4">
        <f>'Subscription Cohorts'!N34*'Cloud &amp; AI COGS'!N11</f>
        <v/>
      </c>
      <c r="O16" s="4">
        <f>'Subscription Cohorts'!O34*'Cloud &amp; AI COGS'!O11</f>
        <v/>
      </c>
      <c r="P16" s="4">
        <f>'Subscription Cohorts'!P34*'Cloud &amp; AI COGS'!P11</f>
        <v/>
      </c>
      <c r="Q16" s="4">
        <f>'Subscription Cohorts'!Q34*'Cloud &amp; AI COGS'!Q11</f>
        <v/>
      </c>
      <c r="R16" s="4">
        <f>'Subscription Cohorts'!R34*'Cloud &amp; AI COGS'!R11</f>
        <v/>
      </c>
      <c r="S16" s="4">
        <f>'Subscription Cohorts'!S34*'Cloud &amp; AI COGS'!S11</f>
        <v/>
      </c>
      <c r="T16" s="4">
        <f>'Subscription Cohorts'!T34*'Cloud &amp; AI COGS'!T11</f>
        <v/>
      </c>
      <c r="U16" s="4">
        <f>'Subscription Cohorts'!U34*'Cloud &amp; AI COGS'!U11</f>
        <v/>
      </c>
      <c r="V16" s="4">
        <f>'Subscription Cohorts'!V34*'Cloud &amp; AI COGS'!V11</f>
        <v/>
      </c>
      <c r="W16" s="4">
        <f>'Subscription Cohorts'!W34*'Cloud &amp; AI COGS'!W11</f>
        <v/>
      </c>
      <c r="X16" s="4">
        <f>'Subscription Cohorts'!X34*'Cloud &amp; AI COGS'!X11</f>
        <v/>
      </c>
      <c r="Y16" s="4">
        <f>'Subscription Cohorts'!Y34*'Cloud &amp; AI COGS'!Y11</f>
        <v/>
      </c>
      <c r="Z16" s="4">
        <f>'Subscription Cohorts'!Z34*'Cloud &amp; AI COGS'!Z11</f>
        <v/>
      </c>
      <c r="AA16" s="4">
        <f>'Subscription Cohorts'!AA34*'Cloud &amp; AI COGS'!AA11</f>
        <v/>
      </c>
      <c r="AB16" s="4">
        <f>'Subscription Cohorts'!AB34*'Cloud &amp; AI COGS'!AB11</f>
        <v/>
      </c>
      <c r="AC16" s="4">
        <f>'Subscription Cohorts'!AC34*'Cloud &amp; AI COGS'!AC11</f>
        <v/>
      </c>
      <c r="AD16" s="4">
        <f>'Subscription Cohorts'!AD34*'Cloud &amp; AI COGS'!AD11</f>
        <v/>
      </c>
      <c r="AE16" s="4">
        <f>'Subscription Cohorts'!AE34*'Cloud &amp; AI COGS'!AE11</f>
        <v/>
      </c>
      <c r="AG16" s="4">
        <f>SUMIF($C$3:$AE$3,AG$3,$C16:$AE16)</f>
        <v/>
      </c>
      <c r="AH16" s="4">
        <f>SUMIF($C$3:$AE$3,AH$3,$C16:$AE16)</f>
        <v/>
      </c>
      <c r="AI16" s="4">
        <f>SUMIF($C$3:$AE$3,AI$3,$C16:$AE16)</f>
        <v/>
      </c>
      <c r="AJ16" s="4">
        <f>SUMIF($C$3:$AE$3,AJ$3,$C16:$AE16)</f>
        <v/>
      </c>
      <c r="AK16" s="4">
        <f>SUMIF($C$3:$AE$3,AK$3,$C16:$AE16)</f>
        <v/>
      </c>
      <c r="AL16" s="4">
        <f>SUMIF($C$3:$AE$3,AL$3,$C16:$AE16)</f>
        <v/>
      </c>
    </row>
    <row r="17">
      <c r="A17" t="inlineStr">
        <is>
          <t>B2B fleet devices</t>
        </is>
      </c>
      <c r="B17" s="2" t="inlineStr"/>
      <c r="C17" s="4">
        <f>'Revenue Build'!C22*fleet_cloud*Timeline!C4</f>
        <v/>
      </c>
      <c r="D17" s="4">
        <f>'Revenue Build'!D22*fleet_cloud*Timeline!D4</f>
        <v/>
      </c>
      <c r="E17" s="4">
        <f>'Revenue Build'!E22*fleet_cloud*Timeline!E4</f>
        <v/>
      </c>
      <c r="F17" s="4">
        <f>'Revenue Build'!F22*fleet_cloud*Timeline!F4</f>
        <v/>
      </c>
      <c r="G17" s="4">
        <f>'Revenue Build'!G22*fleet_cloud*Timeline!G4</f>
        <v/>
      </c>
      <c r="H17" s="4">
        <f>'Revenue Build'!H22*fleet_cloud*Timeline!H4</f>
        <v/>
      </c>
      <c r="I17" s="4">
        <f>'Revenue Build'!I22*fleet_cloud*Timeline!I4</f>
        <v/>
      </c>
      <c r="J17" s="4">
        <f>'Revenue Build'!J22*fleet_cloud*Timeline!J4</f>
        <v/>
      </c>
      <c r="K17" s="4">
        <f>'Revenue Build'!K22*fleet_cloud*Timeline!K4</f>
        <v/>
      </c>
      <c r="L17" s="4">
        <f>'Revenue Build'!L22*fleet_cloud*Timeline!L4</f>
        <v/>
      </c>
      <c r="M17" s="4">
        <f>'Revenue Build'!M22*fleet_cloud*Timeline!M4</f>
        <v/>
      </c>
      <c r="N17" s="4">
        <f>'Revenue Build'!N22*fleet_cloud*Timeline!N4</f>
        <v/>
      </c>
      <c r="O17" s="4">
        <f>'Revenue Build'!O22*fleet_cloud*Timeline!O4</f>
        <v/>
      </c>
      <c r="P17" s="4">
        <f>'Revenue Build'!P22*fleet_cloud*Timeline!P4</f>
        <v/>
      </c>
      <c r="Q17" s="4">
        <f>'Revenue Build'!Q22*fleet_cloud*Timeline!Q4</f>
        <v/>
      </c>
      <c r="R17" s="4">
        <f>'Revenue Build'!R22*fleet_cloud*Timeline!R4</f>
        <v/>
      </c>
      <c r="S17" s="4">
        <f>'Revenue Build'!S22*fleet_cloud*Timeline!S4</f>
        <v/>
      </c>
      <c r="T17" s="4">
        <f>'Revenue Build'!T22*fleet_cloud*Timeline!T4</f>
        <v/>
      </c>
      <c r="U17" s="4">
        <f>'Revenue Build'!U22*fleet_cloud*Timeline!U4</f>
        <v/>
      </c>
      <c r="V17" s="4">
        <f>'Revenue Build'!V22*fleet_cloud*Timeline!V4</f>
        <v/>
      </c>
      <c r="W17" s="4">
        <f>'Revenue Build'!W22*fleet_cloud*Timeline!W4</f>
        <v/>
      </c>
      <c r="X17" s="4">
        <f>'Revenue Build'!X22*fleet_cloud*Timeline!X4</f>
        <v/>
      </c>
      <c r="Y17" s="4">
        <f>'Revenue Build'!Y22*fleet_cloud*Timeline!Y4</f>
        <v/>
      </c>
      <c r="Z17" s="4">
        <f>'Revenue Build'!Z22*fleet_cloud*Timeline!Z4</f>
        <v/>
      </c>
      <c r="AA17" s="4">
        <f>'Revenue Build'!AA22*fleet_cloud*Timeline!AA4</f>
        <v/>
      </c>
      <c r="AB17" s="4">
        <f>'Revenue Build'!AB22*fleet_cloud*Timeline!AB4</f>
        <v/>
      </c>
      <c r="AC17" s="4">
        <f>'Revenue Build'!AC22*fleet_cloud*Timeline!AC4</f>
        <v/>
      </c>
      <c r="AD17" s="4">
        <f>'Revenue Build'!AD22*fleet_cloud*Timeline!AD4</f>
        <v/>
      </c>
      <c r="AE17" s="4">
        <f>'Revenue Build'!AE22*fleet_cloud*Timeline!AE4</f>
        <v/>
      </c>
      <c r="AG17" s="4">
        <f>SUMIF($C$3:$AE$3,AG$3,$C17:$AE17)</f>
        <v/>
      </c>
      <c r="AH17" s="4">
        <f>SUMIF($C$3:$AE$3,AH$3,$C17:$AE17)</f>
        <v/>
      </c>
      <c r="AI17" s="4">
        <f>SUMIF($C$3:$AE$3,AI$3,$C17:$AE17)</f>
        <v/>
      </c>
      <c r="AJ17" s="4">
        <f>SUMIF($C$3:$AE$3,AJ$3,$C17:$AE17)</f>
        <v/>
      </c>
      <c r="AK17" s="4">
        <f>SUMIF($C$3:$AE$3,AK$3,$C17:$AE17)</f>
        <v/>
      </c>
      <c r="AL17" s="4">
        <f>SUMIF($C$3:$AE$3,AL$3,$C17:$AE17)</f>
        <v/>
      </c>
    </row>
    <row r="18">
      <c r="A18" s="13" t="inlineStr">
        <is>
          <t>TOTAL CLOUD / AI / DATA COGS</t>
        </is>
      </c>
      <c r="B18" s="2" t="inlineStr"/>
      <c r="C18" s="24">
        <f>'Cloud &amp; AI COGS'!C12+'Cloud &amp; AI COGS'!C13+'Cloud &amp; AI COGS'!C14+'Cloud &amp; AI COGS'!C15+'Cloud &amp; AI COGS'!C16+'Cloud &amp; AI COGS'!C17</f>
        <v/>
      </c>
      <c r="D18" s="24">
        <f>'Cloud &amp; AI COGS'!D12+'Cloud &amp; AI COGS'!D13+'Cloud &amp; AI COGS'!D14+'Cloud &amp; AI COGS'!D15+'Cloud &amp; AI COGS'!D16+'Cloud &amp; AI COGS'!D17</f>
        <v/>
      </c>
      <c r="E18" s="24">
        <f>'Cloud &amp; AI COGS'!E12+'Cloud &amp; AI COGS'!E13+'Cloud &amp; AI COGS'!E14+'Cloud &amp; AI COGS'!E15+'Cloud &amp; AI COGS'!E16+'Cloud &amp; AI COGS'!E17</f>
        <v/>
      </c>
      <c r="F18" s="24">
        <f>'Cloud &amp; AI COGS'!F12+'Cloud &amp; AI COGS'!F13+'Cloud &amp; AI COGS'!F14+'Cloud &amp; AI COGS'!F15+'Cloud &amp; AI COGS'!F16+'Cloud &amp; AI COGS'!F17</f>
        <v/>
      </c>
      <c r="G18" s="24">
        <f>'Cloud &amp; AI COGS'!G12+'Cloud &amp; AI COGS'!G13+'Cloud &amp; AI COGS'!G14+'Cloud &amp; AI COGS'!G15+'Cloud &amp; AI COGS'!G16+'Cloud &amp; AI COGS'!G17</f>
        <v/>
      </c>
      <c r="H18" s="24">
        <f>'Cloud &amp; AI COGS'!H12+'Cloud &amp; AI COGS'!H13+'Cloud &amp; AI COGS'!H14+'Cloud &amp; AI COGS'!H15+'Cloud &amp; AI COGS'!H16+'Cloud &amp; AI COGS'!H17</f>
        <v/>
      </c>
      <c r="I18" s="24">
        <f>'Cloud &amp; AI COGS'!I12+'Cloud &amp; AI COGS'!I13+'Cloud &amp; AI COGS'!I14+'Cloud &amp; AI COGS'!I15+'Cloud &amp; AI COGS'!I16+'Cloud &amp; AI COGS'!I17</f>
        <v/>
      </c>
      <c r="J18" s="24">
        <f>'Cloud &amp; AI COGS'!J12+'Cloud &amp; AI COGS'!J13+'Cloud &amp; AI COGS'!J14+'Cloud &amp; AI COGS'!J15+'Cloud &amp; AI COGS'!J16+'Cloud &amp; AI COGS'!J17</f>
        <v/>
      </c>
      <c r="K18" s="24">
        <f>'Cloud &amp; AI COGS'!K12+'Cloud &amp; AI COGS'!K13+'Cloud &amp; AI COGS'!K14+'Cloud &amp; AI COGS'!K15+'Cloud &amp; AI COGS'!K16+'Cloud &amp; AI COGS'!K17</f>
        <v/>
      </c>
      <c r="L18" s="24">
        <f>'Cloud &amp; AI COGS'!L12+'Cloud &amp; AI COGS'!L13+'Cloud &amp; AI COGS'!L14+'Cloud &amp; AI COGS'!L15+'Cloud &amp; AI COGS'!L16+'Cloud &amp; AI COGS'!L17</f>
        <v/>
      </c>
      <c r="M18" s="24">
        <f>'Cloud &amp; AI COGS'!M12+'Cloud &amp; AI COGS'!M13+'Cloud &amp; AI COGS'!M14+'Cloud &amp; AI COGS'!M15+'Cloud &amp; AI COGS'!M16+'Cloud &amp; AI COGS'!M17</f>
        <v/>
      </c>
      <c r="N18" s="24">
        <f>'Cloud &amp; AI COGS'!N12+'Cloud &amp; AI COGS'!N13+'Cloud &amp; AI COGS'!N14+'Cloud &amp; AI COGS'!N15+'Cloud &amp; AI COGS'!N16+'Cloud &amp; AI COGS'!N17</f>
        <v/>
      </c>
      <c r="O18" s="24">
        <f>'Cloud &amp; AI COGS'!O12+'Cloud &amp; AI COGS'!O13+'Cloud &amp; AI COGS'!O14+'Cloud &amp; AI COGS'!O15+'Cloud &amp; AI COGS'!O16+'Cloud &amp; AI COGS'!O17</f>
        <v/>
      </c>
      <c r="P18" s="24">
        <f>'Cloud &amp; AI COGS'!P12+'Cloud &amp; AI COGS'!P13+'Cloud &amp; AI COGS'!P14+'Cloud &amp; AI COGS'!P15+'Cloud &amp; AI COGS'!P16+'Cloud &amp; AI COGS'!P17</f>
        <v/>
      </c>
      <c r="Q18" s="24">
        <f>'Cloud &amp; AI COGS'!Q12+'Cloud &amp; AI COGS'!Q13+'Cloud &amp; AI COGS'!Q14+'Cloud &amp; AI COGS'!Q15+'Cloud &amp; AI COGS'!Q16+'Cloud &amp; AI COGS'!Q17</f>
        <v/>
      </c>
      <c r="R18" s="24">
        <f>'Cloud &amp; AI COGS'!R12+'Cloud &amp; AI COGS'!R13+'Cloud &amp; AI COGS'!R14+'Cloud &amp; AI COGS'!R15+'Cloud &amp; AI COGS'!R16+'Cloud &amp; AI COGS'!R17</f>
        <v/>
      </c>
      <c r="S18" s="24">
        <f>'Cloud &amp; AI COGS'!S12+'Cloud &amp; AI COGS'!S13+'Cloud &amp; AI COGS'!S14+'Cloud &amp; AI COGS'!S15+'Cloud &amp; AI COGS'!S16+'Cloud &amp; AI COGS'!S17</f>
        <v/>
      </c>
      <c r="T18" s="24">
        <f>'Cloud &amp; AI COGS'!T12+'Cloud &amp; AI COGS'!T13+'Cloud &amp; AI COGS'!T14+'Cloud &amp; AI COGS'!T15+'Cloud &amp; AI COGS'!T16+'Cloud &amp; AI COGS'!T17</f>
        <v/>
      </c>
      <c r="U18" s="24">
        <f>'Cloud &amp; AI COGS'!U12+'Cloud &amp; AI COGS'!U13+'Cloud &amp; AI COGS'!U14+'Cloud &amp; AI COGS'!U15+'Cloud &amp; AI COGS'!U16+'Cloud &amp; AI COGS'!U17</f>
        <v/>
      </c>
      <c r="V18" s="24">
        <f>'Cloud &amp; AI COGS'!V12+'Cloud &amp; AI COGS'!V13+'Cloud &amp; AI COGS'!V14+'Cloud &amp; AI COGS'!V15+'Cloud &amp; AI COGS'!V16+'Cloud &amp; AI COGS'!V17</f>
        <v/>
      </c>
      <c r="W18" s="24">
        <f>'Cloud &amp; AI COGS'!W12+'Cloud &amp; AI COGS'!W13+'Cloud &amp; AI COGS'!W14+'Cloud &amp; AI COGS'!W15+'Cloud &amp; AI COGS'!W16+'Cloud &amp; AI COGS'!W17</f>
        <v/>
      </c>
      <c r="X18" s="24">
        <f>'Cloud &amp; AI COGS'!X12+'Cloud &amp; AI COGS'!X13+'Cloud &amp; AI COGS'!X14+'Cloud &amp; AI COGS'!X15+'Cloud &amp; AI COGS'!X16+'Cloud &amp; AI COGS'!X17</f>
        <v/>
      </c>
      <c r="Y18" s="24">
        <f>'Cloud &amp; AI COGS'!Y12+'Cloud &amp; AI COGS'!Y13+'Cloud &amp; AI COGS'!Y14+'Cloud &amp; AI COGS'!Y15+'Cloud &amp; AI COGS'!Y16+'Cloud &amp; AI COGS'!Y17</f>
        <v/>
      </c>
      <c r="Z18" s="24">
        <f>'Cloud &amp; AI COGS'!Z12+'Cloud &amp; AI COGS'!Z13+'Cloud &amp; AI COGS'!Z14+'Cloud &amp; AI COGS'!Z15+'Cloud &amp; AI COGS'!Z16+'Cloud &amp; AI COGS'!Z17</f>
        <v/>
      </c>
      <c r="AA18" s="24">
        <f>'Cloud &amp; AI COGS'!AA12+'Cloud &amp; AI COGS'!AA13+'Cloud &amp; AI COGS'!AA14+'Cloud &amp; AI COGS'!AA15+'Cloud &amp; AI COGS'!AA16+'Cloud &amp; AI COGS'!AA17</f>
        <v/>
      </c>
      <c r="AB18" s="24">
        <f>'Cloud &amp; AI COGS'!AB12+'Cloud &amp; AI COGS'!AB13+'Cloud &amp; AI COGS'!AB14+'Cloud &amp; AI COGS'!AB15+'Cloud &amp; AI COGS'!AB16+'Cloud &amp; AI COGS'!AB17</f>
        <v/>
      </c>
      <c r="AC18" s="24">
        <f>'Cloud &amp; AI COGS'!AC12+'Cloud &amp; AI COGS'!AC13+'Cloud &amp; AI COGS'!AC14+'Cloud &amp; AI COGS'!AC15+'Cloud &amp; AI COGS'!AC16+'Cloud &amp; AI COGS'!AC17</f>
        <v/>
      </c>
      <c r="AD18" s="24">
        <f>'Cloud &amp; AI COGS'!AD12+'Cloud &amp; AI COGS'!AD13+'Cloud &amp; AI COGS'!AD14+'Cloud &amp; AI COGS'!AD15+'Cloud &amp; AI COGS'!AD16+'Cloud &amp; AI COGS'!AD17</f>
        <v/>
      </c>
      <c r="AE18" s="24">
        <f>'Cloud &amp; AI COGS'!AE12+'Cloud &amp; AI COGS'!AE13+'Cloud &amp; AI COGS'!AE14+'Cloud &amp; AI COGS'!AE15+'Cloud &amp; AI COGS'!AE16+'Cloud &amp; AI COGS'!AE17</f>
        <v/>
      </c>
      <c r="AG18" s="24">
        <f>SUMIF($C$3:$AE$3,AG$3,$C18:$AE18)</f>
        <v/>
      </c>
      <c r="AH18" s="24">
        <f>SUMIF($C$3:$AE$3,AH$3,$C18:$AE18)</f>
        <v/>
      </c>
      <c r="AI18" s="24">
        <f>SUMIF($C$3:$AE$3,AI$3,$C18:$AE18)</f>
        <v/>
      </c>
      <c r="AJ18" s="24">
        <f>SUMIF($C$3:$AE$3,AJ$3,$C18:$AE18)</f>
        <v/>
      </c>
      <c r="AK18" s="24">
        <f>SUMIF($C$3:$AE$3,AK$3,$C18:$AE18)</f>
        <v/>
      </c>
      <c r="AL18" s="24">
        <f>SUMIF($C$3:$AE$3,AL$3,$C18:$AE18)</f>
        <v/>
      </c>
    </row>
    <row r="19">
      <c r="A19" t="inlineStr">
        <is>
          <t>Cloud COGS per active device-month</t>
        </is>
      </c>
      <c r="B19" s="2" t="inlineStr">
        <is>
          <t>$</t>
        </is>
      </c>
      <c r="C19" s="23">
        <f>IF('Subscription Cohorts'!C31&gt;0,'Cloud &amp; AI COGS'!C18/'Subscription Cohorts'!C31,0)</f>
        <v/>
      </c>
      <c r="D19" s="23">
        <f>IF('Subscription Cohorts'!D31&gt;0,'Cloud &amp; AI COGS'!D18/'Subscription Cohorts'!D31,0)</f>
        <v/>
      </c>
      <c r="E19" s="23">
        <f>IF('Subscription Cohorts'!E31&gt;0,'Cloud &amp; AI COGS'!E18/'Subscription Cohorts'!E31,0)</f>
        <v/>
      </c>
      <c r="F19" s="23">
        <f>IF('Subscription Cohorts'!F31&gt;0,'Cloud &amp; AI COGS'!F18/'Subscription Cohorts'!F31,0)</f>
        <v/>
      </c>
      <c r="G19" s="23">
        <f>IF('Subscription Cohorts'!G31&gt;0,'Cloud &amp; AI COGS'!G18/'Subscription Cohorts'!G31,0)</f>
        <v/>
      </c>
      <c r="H19" s="23">
        <f>IF('Subscription Cohorts'!H31&gt;0,'Cloud &amp; AI COGS'!H18/'Subscription Cohorts'!H31,0)</f>
        <v/>
      </c>
      <c r="I19" s="23">
        <f>IF('Subscription Cohorts'!I31&gt;0,'Cloud &amp; AI COGS'!I18/'Subscription Cohorts'!I31,0)</f>
        <v/>
      </c>
      <c r="J19" s="23">
        <f>IF('Subscription Cohorts'!J31&gt;0,'Cloud &amp; AI COGS'!J18/'Subscription Cohorts'!J31,0)</f>
        <v/>
      </c>
      <c r="K19" s="23">
        <f>IF('Subscription Cohorts'!K31&gt;0,'Cloud &amp; AI COGS'!K18/'Subscription Cohorts'!K31,0)</f>
        <v/>
      </c>
      <c r="L19" s="23">
        <f>IF('Subscription Cohorts'!L31&gt;0,'Cloud &amp; AI COGS'!L18/'Subscription Cohorts'!L31,0)</f>
        <v/>
      </c>
      <c r="M19" s="23">
        <f>IF('Subscription Cohorts'!M31&gt;0,'Cloud &amp; AI COGS'!M18/'Subscription Cohorts'!M31,0)</f>
        <v/>
      </c>
      <c r="N19" s="23">
        <f>IF('Subscription Cohorts'!N31&gt;0,'Cloud &amp; AI COGS'!N18/'Subscription Cohorts'!N31,0)</f>
        <v/>
      </c>
      <c r="O19" s="23">
        <f>IF('Subscription Cohorts'!O31&gt;0,'Cloud &amp; AI COGS'!O18/'Subscription Cohorts'!O31,0)</f>
        <v/>
      </c>
      <c r="P19" s="23">
        <f>IF('Subscription Cohorts'!P31&gt;0,'Cloud &amp; AI COGS'!P18/'Subscription Cohorts'!P31,0)</f>
        <v/>
      </c>
      <c r="Q19" s="23">
        <f>IF('Subscription Cohorts'!Q31&gt;0,'Cloud &amp; AI COGS'!Q18/'Subscription Cohorts'!Q31,0)</f>
        <v/>
      </c>
      <c r="R19" s="23">
        <f>IF('Subscription Cohorts'!R31&gt;0,'Cloud &amp; AI COGS'!R18/'Subscription Cohorts'!R31,0)</f>
        <v/>
      </c>
      <c r="S19" s="23">
        <f>IF('Subscription Cohorts'!S31&gt;0,'Cloud &amp; AI COGS'!S18/'Subscription Cohorts'!S31,0)</f>
        <v/>
      </c>
      <c r="T19" s="23">
        <f>IF('Subscription Cohorts'!T31&gt;0,'Cloud &amp; AI COGS'!T18/'Subscription Cohorts'!T31,0)</f>
        <v/>
      </c>
      <c r="U19" s="23">
        <f>IF('Subscription Cohorts'!U31&gt;0,'Cloud &amp; AI COGS'!U18/'Subscription Cohorts'!U31,0)</f>
        <v/>
      </c>
      <c r="V19" s="23">
        <f>IF('Subscription Cohorts'!V31&gt;0,'Cloud &amp; AI COGS'!V18/'Subscription Cohorts'!V31,0)</f>
        <v/>
      </c>
      <c r="W19" s="23">
        <f>IF('Subscription Cohorts'!W31&gt;0,'Cloud &amp; AI COGS'!W18/'Subscription Cohorts'!W31,0)</f>
        <v/>
      </c>
      <c r="X19" s="23">
        <f>IF('Subscription Cohorts'!X31&gt;0,'Cloud &amp; AI COGS'!X18/'Subscription Cohorts'!X31,0)</f>
        <v/>
      </c>
      <c r="Y19" s="23">
        <f>IF('Subscription Cohorts'!Y31&gt;0,'Cloud &amp; AI COGS'!Y18/'Subscription Cohorts'!Y31,0)</f>
        <v/>
      </c>
      <c r="Z19" s="23">
        <f>IF('Subscription Cohorts'!Z31&gt;0,'Cloud &amp; AI COGS'!Z18/'Subscription Cohorts'!Z31,0)</f>
        <v/>
      </c>
      <c r="AA19" s="23">
        <f>IF('Subscription Cohorts'!AA31&gt;0,'Cloud &amp; AI COGS'!AA18/'Subscription Cohorts'!AA31,0)</f>
        <v/>
      </c>
      <c r="AB19" s="23">
        <f>IF('Subscription Cohorts'!AB31&gt;0,'Cloud &amp; AI COGS'!AB18/'Subscription Cohorts'!AB31,0)</f>
        <v/>
      </c>
      <c r="AC19" s="23">
        <f>IF('Subscription Cohorts'!AC31&gt;0,'Cloud &amp; AI COGS'!AC18/'Subscription Cohorts'!AC31,0)</f>
        <v/>
      </c>
      <c r="AD19" s="23">
        <f>IF('Subscription Cohorts'!AD31&gt;0,'Cloud &amp; AI COGS'!AD18/'Subscription Cohorts'!AD31,0)</f>
        <v/>
      </c>
      <c r="AE19" s="23">
        <f>IF('Subscription Cohorts'!AE31&gt;0,'Cloud &amp; AI COGS'!AE18/'Subscription Cohorts'!AE31,0)</f>
        <v/>
      </c>
    </row>
    <row r="20">
      <c r="A20" t="inlineStr">
        <is>
          <t>Subscription gross margin (Explorer + Trip Pass, excl. trial &amp; free)</t>
        </is>
      </c>
      <c r="B20" s="2" t="inlineStr">
        <is>
          <t>%</t>
        </is>
      </c>
      <c r="C20" s="5">
        <f>IF(('Subscription Cohorts'!C23+'Subscription Cohorts'!C35)&gt;0,1-('Cloud &amp; AI COGS'!C12+'Cloud &amp; AI COGS'!C13+'Cloud &amp; AI COGS'!C16)/('Subscription Cohorts'!C23+'Subscription Cohorts'!C35),0)</f>
        <v/>
      </c>
      <c r="D20" s="5">
        <f>IF(('Subscription Cohorts'!D23+'Subscription Cohorts'!D35)&gt;0,1-('Cloud &amp; AI COGS'!D12+'Cloud &amp; AI COGS'!D13+'Cloud &amp; AI COGS'!D16)/('Subscription Cohorts'!D23+'Subscription Cohorts'!D35),0)</f>
        <v/>
      </c>
      <c r="E20" s="5">
        <f>IF(('Subscription Cohorts'!E23+'Subscription Cohorts'!E35)&gt;0,1-('Cloud &amp; AI COGS'!E12+'Cloud &amp; AI COGS'!E13+'Cloud &amp; AI COGS'!E16)/('Subscription Cohorts'!E23+'Subscription Cohorts'!E35),0)</f>
        <v/>
      </c>
      <c r="F20" s="5">
        <f>IF(('Subscription Cohorts'!F23+'Subscription Cohorts'!F35)&gt;0,1-('Cloud &amp; AI COGS'!F12+'Cloud &amp; AI COGS'!F13+'Cloud &amp; AI COGS'!F16)/('Subscription Cohorts'!F23+'Subscription Cohorts'!F35),0)</f>
        <v/>
      </c>
      <c r="G20" s="5">
        <f>IF(('Subscription Cohorts'!G23+'Subscription Cohorts'!G35)&gt;0,1-('Cloud &amp; AI COGS'!G12+'Cloud &amp; AI COGS'!G13+'Cloud &amp; AI COGS'!G16)/('Subscription Cohorts'!G23+'Subscription Cohorts'!G35),0)</f>
        <v/>
      </c>
      <c r="H20" s="5">
        <f>IF(('Subscription Cohorts'!H23+'Subscription Cohorts'!H35)&gt;0,1-('Cloud &amp; AI COGS'!H12+'Cloud &amp; AI COGS'!H13+'Cloud &amp; AI COGS'!H16)/('Subscription Cohorts'!H23+'Subscription Cohorts'!H35),0)</f>
        <v/>
      </c>
      <c r="I20" s="5">
        <f>IF(('Subscription Cohorts'!I23+'Subscription Cohorts'!I35)&gt;0,1-('Cloud &amp; AI COGS'!I12+'Cloud &amp; AI COGS'!I13+'Cloud &amp; AI COGS'!I16)/('Subscription Cohorts'!I23+'Subscription Cohorts'!I35),0)</f>
        <v/>
      </c>
      <c r="J20" s="5">
        <f>IF(('Subscription Cohorts'!J23+'Subscription Cohorts'!J35)&gt;0,1-('Cloud &amp; AI COGS'!J12+'Cloud &amp; AI COGS'!J13+'Cloud &amp; AI COGS'!J16)/('Subscription Cohorts'!J23+'Subscription Cohorts'!J35),0)</f>
        <v/>
      </c>
      <c r="K20" s="5">
        <f>IF(('Subscription Cohorts'!K23+'Subscription Cohorts'!K35)&gt;0,1-('Cloud &amp; AI COGS'!K12+'Cloud &amp; AI COGS'!K13+'Cloud &amp; AI COGS'!K16)/('Subscription Cohorts'!K23+'Subscription Cohorts'!K35),0)</f>
        <v/>
      </c>
      <c r="L20" s="5">
        <f>IF(('Subscription Cohorts'!L23+'Subscription Cohorts'!L35)&gt;0,1-('Cloud &amp; AI COGS'!L12+'Cloud &amp; AI COGS'!L13+'Cloud &amp; AI COGS'!L16)/('Subscription Cohorts'!L23+'Subscription Cohorts'!L35),0)</f>
        <v/>
      </c>
      <c r="M20" s="5">
        <f>IF(('Subscription Cohorts'!M23+'Subscription Cohorts'!M35)&gt;0,1-('Cloud &amp; AI COGS'!M12+'Cloud &amp; AI COGS'!M13+'Cloud &amp; AI COGS'!M16)/('Subscription Cohorts'!M23+'Subscription Cohorts'!M35),0)</f>
        <v/>
      </c>
      <c r="N20" s="5">
        <f>IF(('Subscription Cohorts'!N23+'Subscription Cohorts'!N35)&gt;0,1-('Cloud &amp; AI COGS'!N12+'Cloud &amp; AI COGS'!N13+'Cloud &amp; AI COGS'!N16)/('Subscription Cohorts'!N23+'Subscription Cohorts'!N35),0)</f>
        <v/>
      </c>
      <c r="O20" s="5">
        <f>IF(('Subscription Cohorts'!O23+'Subscription Cohorts'!O35)&gt;0,1-('Cloud &amp; AI COGS'!O12+'Cloud &amp; AI COGS'!O13+'Cloud &amp; AI COGS'!O16)/('Subscription Cohorts'!O23+'Subscription Cohorts'!O35),0)</f>
        <v/>
      </c>
      <c r="P20" s="5">
        <f>IF(('Subscription Cohorts'!P23+'Subscription Cohorts'!P35)&gt;0,1-('Cloud &amp; AI COGS'!P12+'Cloud &amp; AI COGS'!P13+'Cloud &amp; AI COGS'!P16)/('Subscription Cohorts'!P23+'Subscription Cohorts'!P35),0)</f>
        <v/>
      </c>
      <c r="Q20" s="5">
        <f>IF(('Subscription Cohorts'!Q23+'Subscription Cohorts'!Q35)&gt;0,1-('Cloud &amp; AI COGS'!Q12+'Cloud &amp; AI COGS'!Q13+'Cloud &amp; AI COGS'!Q16)/('Subscription Cohorts'!Q23+'Subscription Cohorts'!Q35),0)</f>
        <v/>
      </c>
      <c r="R20" s="5">
        <f>IF(('Subscription Cohorts'!R23+'Subscription Cohorts'!R35)&gt;0,1-('Cloud &amp; AI COGS'!R12+'Cloud &amp; AI COGS'!R13+'Cloud &amp; AI COGS'!R16)/('Subscription Cohorts'!R23+'Subscription Cohorts'!R35),0)</f>
        <v/>
      </c>
      <c r="S20" s="5">
        <f>IF(('Subscription Cohorts'!S23+'Subscription Cohorts'!S35)&gt;0,1-('Cloud &amp; AI COGS'!S12+'Cloud &amp; AI COGS'!S13+'Cloud &amp; AI COGS'!S16)/('Subscription Cohorts'!S23+'Subscription Cohorts'!S35),0)</f>
        <v/>
      </c>
      <c r="T20" s="5">
        <f>IF(('Subscription Cohorts'!T23+'Subscription Cohorts'!T35)&gt;0,1-('Cloud &amp; AI COGS'!T12+'Cloud &amp; AI COGS'!T13+'Cloud &amp; AI COGS'!T16)/('Subscription Cohorts'!T23+'Subscription Cohorts'!T35),0)</f>
        <v/>
      </c>
      <c r="U20" s="5">
        <f>IF(('Subscription Cohorts'!U23+'Subscription Cohorts'!U35)&gt;0,1-('Cloud &amp; AI COGS'!U12+'Cloud &amp; AI COGS'!U13+'Cloud &amp; AI COGS'!U16)/('Subscription Cohorts'!U23+'Subscription Cohorts'!U35),0)</f>
        <v/>
      </c>
      <c r="V20" s="5">
        <f>IF(('Subscription Cohorts'!V23+'Subscription Cohorts'!V35)&gt;0,1-('Cloud &amp; AI COGS'!V12+'Cloud &amp; AI COGS'!V13+'Cloud &amp; AI COGS'!V16)/('Subscription Cohorts'!V23+'Subscription Cohorts'!V35),0)</f>
        <v/>
      </c>
      <c r="W20" s="5">
        <f>IF(('Subscription Cohorts'!W23+'Subscription Cohorts'!W35)&gt;0,1-('Cloud &amp; AI COGS'!W12+'Cloud &amp; AI COGS'!W13+'Cloud &amp; AI COGS'!W16)/('Subscription Cohorts'!W23+'Subscription Cohorts'!W35),0)</f>
        <v/>
      </c>
      <c r="X20" s="5">
        <f>IF(('Subscription Cohorts'!X23+'Subscription Cohorts'!X35)&gt;0,1-('Cloud &amp; AI COGS'!X12+'Cloud &amp; AI COGS'!X13+'Cloud &amp; AI COGS'!X16)/('Subscription Cohorts'!X23+'Subscription Cohorts'!X35),0)</f>
        <v/>
      </c>
      <c r="Y20" s="5">
        <f>IF(('Subscription Cohorts'!Y23+'Subscription Cohorts'!Y35)&gt;0,1-('Cloud &amp; AI COGS'!Y12+'Cloud &amp; AI COGS'!Y13+'Cloud &amp; AI COGS'!Y16)/('Subscription Cohorts'!Y23+'Subscription Cohorts'!Y35),0)</f>
        <v/>
      </c>
      <c r="Z20" s="5">
        <f>IF(('Subscription Cohorts'!Z23+'Subscription Cohorts'!Z35)&gt;0,1-('Cloud &amp; AI COGS'!Z12+'Cloud &amp; AI COGS'!Z13+'Cloud &amp; AI COGS'!Z16)/('Subscription Cohorts'!Z23+'Subscription Cohorts'!Z35),0)</f>
        <v/>
      </c>
      <c r="AA20" s="5">
        <f>IF(('Subscription Cohorts'!AA23+'Subscription Cohorts'!AA35)&gt;0,1-('Cloud &amp; AI COGS'!AA12+'Cloud &amp; AI COGS'!AA13+'Cloud &amp; AI COGS'!AA16)/('Subscription Cohorts'!AA23+'Subscription Cohorts'!AA35),0)</f>
        <v/>
      </c>
      <c r="AB20" s="5">
        <f>IF(('Subscription Cohorts'!AB23+'Subscription Cohorts'!AB35)&gt;0,1-('Cloud &amp; AI COGS'!AB12+'Cloud &amp; AI COGS'!AB13+'Cloud &amp; AI COGS'!AB16)/('Subscription Cohorts'!AB23+'Subscription Cohorts'!AB35),0)</f>
        <v/>
      </c>
      <c r="AC20" s="5">
        <f>IF(('Subscription Cohorts'!AC23+'Subscription Cohorts'!AC35)&gt;0,1-('Cloud &amp; AI COGS'!AC12+'Cloud &amp; AI COGS'!AC13+'Cloud &amp; AI COGS'!AC16)/('Subscription Cohorts'!AC23+'Subscription Cohorts'!AC35),0)</f>
        <v/>
      </c>
      <c r="AD20" s="5">
        <f>IF(('Subscription Cohorts'!AD23+'Subscription Cohorts'!AD35)&gt;0,1-('Cloud &amp; AI COGS'!AD12+'Cloud &amp; AI COGS'!AD13+'Cloud &amp; AI COGS'!AD16)/('Subscription Cohorts'!AD23+'Subscription Cohorts'!AD35),0)</f>
        <v/>
      </c>
      <c r="AE20" s="5">
        <f>IF(('Subscription Cohorts'!AE23+'Subscription Cohorts'!AE35)&gt;0,1-('Cloud &amp; AI COGS'!AE12+'Cloud &amp; AI COGS'!AE13+'Cloud &amp; AI COGS'!AE16)/('Subscription Cohorts'!AE23+'Subscription Cohorts'!AE35),0)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4" max="4"/>
    <col width="14" customWidth="1" min="5" max="5"/>
    <col width="30" customWidth="1" min="6" max="6"/>
  </cols>
  <sheetData>
    <row r="1">
      <c r="A1" s="6" t="inlineStr">
        <is>
          <t>Headcount plan -- roles, start month, base salary (blue = input). Burden &amp; inflation from Assumptions.</t>
        </is>
      </c>
    </row>
    <row r="3">
      <c r="A3" s="3" t="inlineStr">
        <is>
          <t>Role</t>
        </is>
      </c>
      <c r="B3" s="3" t="inlineStr">
        <is>
          <t>Dept</t>
        </is>
      </c>
      <c r="C3" s="3" t="inlineStr">
        <is>
          <t>Count</t>
        </is>
      </c>
      <c r="D3" s="3" t="inlineStr">
        <is>
          <t>Start month</t>
        </is>
      </c>
      <c r="E3" s="3" t="inlineStr">
        <is>
          <t>Base salary ($/yr)</t>
        </is>
      </c>
      <c r="F3" s="3" t="inlineStr">
        <is>
          <t>Note</t>
        </is>
      </c>
    </row>
    <row r="4">
      <c r="A4" t="inlineStr">
        <is>
          <t>Founder &amp; CEO (Nimit Jain)</t>
        </is>
      </c>
      <c r="B4" s="33" t="inlineStr">
        <is>
          <t>G&amp;A</t>
        </is>
      </c>
      <c r="C4" s="34" t="n">
        <v>1</v>
      </c>
      <c r="D4" s="35" t="n">
        <v>46327</v>
      </c>
      <c r="E4" s="10" t="n">
        <v>90000</v>
      </c>
      <c r="F4" s="2" t="inlineStr">
        <is>
          <t>Below-market founder salary until seed.</t>
        </is>
      </c>
    </row>
    <row r="5">
      <c r="A5" t="inlineStr">
        <is>
          <t>Founding Eng -- Embedded / firmware</t>
        </is>
      </c>
      <c r="B5" s="33" t="inlineStr">
        <is>
          <t>R&amp;D</t>
        </is>
      </c>
      <c r="C5" s="34" t="n">
        <v>1</v>
      </c>
      <c r="D5" s="35" t="n">
        <v>46327</v>
      </c>
      <c r="E5" s="10" t="n">
        <v>150000</v>
      </c>
      <c r="F5" s="2" t="inlineStr"/>
    </row>
    <row r="6">
      <c r="A6" t="inlineStr">
        <is>
          <t>Founding Eng -- AI / story engine</t>
        </is>
      </c>
      <c r="B6" s="33" t="inlineStr">
        <is>
          <t>R&amp;D</t>
        </is>
      </c>
      <c r="C6" s="34" t="n">
        <v>1</v>
      </c>
      <c r="D6" s="35" t="n">
        <v>46357</v>
      </c>
      <c r="E6" s="10" t="n">
        <v>160000</v>
      </c>
      <c r="F6" s="2" t="inlineStr"/>
    </row>
    <row r="7">
      <c r="A7" t="inlineStr">
        <is>
          <t>Founding Eng -- mobile app / backend</t>
        </is>
      </c>
      <c r="B7" s="33" t="inlineStr">
        <is>
          <t>R&amp;D</t>
        </is>
      </c>
      <c r="C7" s="34" t="n">
        <v>1</v>
      </c>
      <c r="D7" s="35" t="n">
        <v>46388</v>
      </c>
      <c r="E7" s="10" t="n">
        <v>140000</v>
      </c>
      <c r="F7" s="2" t="inlineStr"/>
    </row>
    <row r="8">
      <c r="A8" t="inlineStr">
        <is>
          <t>Hardware lead (systems/EE, ODM mgmt)</t>
        </is>
      </c>
      <c r="B8" s="33" t="inlineStr">
        <is>
          <t>R&amp;D</t>
        </is>
      </c>
      <c r="C8" s="34" t="n">
        <v>1</v>
      </c>
      <c r="D8" s="35" t="n">
        <v>46388</v>
      </c>
      <c r="E8" s="10" t="n">
        <v>165000</v>
      </c>
      <c r="F8" s="2" t="inlineStr"/>
    </row>
    <row r="9">
      <c r="A9" t="inlineStr">
        <is>
          <t>Community &amp; Kickstarter lead</t>
        </is>
      </c>
      <c r="B9" s="33" t="inlineStr">
        <is>
          <t>S&amp;M</t>
        </is>
      </c>
      <c r="C9" s="34" t="n">
        <v>1</v>
      </c>
      <c r="D9" s="35" t="n">
        <v>46419</v>
      </c>
      <c r="E9" s="10" t="n">
        <v>95000</v>
      </c>
      <c r="F9" s="2" t="inlineStr"/>
    </row>
    <row r="10">
      <c r="A10" t="inlineStr">
        <is>
          <t>Content editor / historian (City Packs)</t>
        </is>
      </c>
      <c r="B10" s="33" t="inlineStr">
        <is>
          <t>R&amp;D</t>
        </is>
      </c>
      <c r="C10" s="34" t="n">
        <v>1</v>
      </c>
      <c r="D10" s="35" t="n">
        <v>46447</v>
      </c>
      <c r="E10" s="10" t="n">
        <v>75000</v>
      </c>
      <c r="F10" s="2" t="inlineStr">
        <is>
          <t>Fact-checked stories w/ sources.</t>
        </is>
      </c>
    </row>
    <row r="11">
      <c r="A11" t="inlineStr">
        <is>
          <t>Head of operations &amp; supply chain</t>
        </is>
      </c>
      <c r="B11" s="33" t="inlineStr">
        <is>
          <t>Ops &amp; CS</t>
        </is>
      </c>
      <c r="C11" s="34" t="n">
        <v>1</v>
      </c>
      <c r="D11" s="35" t="n">
        <v>46600</v>
      </c>
      <c r="E11" s="10" t="n">
        <v>160000</v>
      </c>
      <c r="F11" s="2" t="inlineStr">
        <is>
          <t>Seed hire.</t>
        </is>
      </c>
    </row>
    <row r="12">
      <c r="A12" t="inlineStr">
        <is>
          <t>Firmware engineer #2</t>
        </is>
      </c>
      <c r="B12" s="33" t="inlineStr">
        <is>
          <t>R&amp;D</t>
        </is>
      </c>
      <c r="C12" s="34" t="n">
        <v>1</v>
      </c>
      <c r="D12" s="35" t="n">
        <v>46600</v>
      </c>
      <c r="E12" s="10" t="n">
        <v>140000</v>
      </c>
      <c r="F12" s="2" t="inlineStr"/>
    </row>
    <row r="13">
      <c r="A13" t="inlineStr">
        <is>
          <t>Map Vision / sensor-fusion engineer</t>
        </is>
      </c>
      <c r="B13" s="33" t="inlineStr">
        <is>
          <t>R&amp;D</t>
        </is>
      </c>
      <c r="C13" s="34" t="n">
        <v>1</v>
      </c>
      <c r="D13" s="35" t="n">
        <v>46631</v>
      </c>
      <c r="E13" s="10" t="n">
        <v>160000</v>
      </c>
      <c r="F13" s="2" t="inlineStr"/>
    </row>
    <row r="14">
      <c r="A14" t="inlineStr">
        <is>
          <t>Product designer (device + app UX)</t>
        </is>
      </c>
      <c r="B14" s="33" t="inlineStr">
        <is>
          <t>R&amp;D</t>
        </is>
      </c>
      <c r="C14" s="34" t="n">
        <v>1</v>
      </c>
      <c r="D14" s="35" t="n">
        <v>46631</v>
      </c>
      <c r="E14" s="10" t="n">
        <v>125000</v>
      </c>
      <c r="F14" s="2" t="inlineStr"/>
    </row>
    <row r="15">
      <c r="A15" t="inlineStr">
        <is>
          <t>Customer support lead</t>
        </is>
      </c>
      <c r="B15" s="33" t="inlineStr">
        <is>
          <t>Ops &amp; CS</t>
        </is>
      </c>
      <c r="C15" s="34" t="n">
        <v>1</v>
      </c>
      <c r="D15" s="35" t="n">
        <v>46661</v>
      </c>
      <c r="E15" s="10" t="n">
        <v>65000</v>
      </c>
      <c r="F15" s="2" t="inlineStr"/>
    </row>
    <row r="16">
      <c r="A16" t="inlineStr">
        <is>
          <t>Growth marketing manager</t>
        </is>
      </c>
      <c r="B16" s="33" t="inlineStr">
        <is>
          <t>S&amp;M</t>
        </is>
      </c>
      <c r="C16" s="34" t="n">
        <v>1</v>
      </c>
      <c r="D16" s="35" t="n">
        <v>46661</v>
      </c>
      <c r="E16" s="10" t="n">
        <v>120000</v>
      </c>
      <c r="F16" s="2" t="inlineStr"/>
    </row>
    <row r="17">
      <c r="A17" t="inlineStr">
        <is>
          <t>Finance &amp; ops manager / controller</t>
        </is>
      </c>
      <c r="B17" s="33" t="inlineStr">
        <is>
          <t>G&amp;A</t>
        </is>
      </c>
      <c r="C17" s="34" t="n">
        <v>1</v>
      </c>
      <c r="D17" s="35" t="n">
        <v>46692</v>
      </c>
      <c r="E17" s="10" t="n">
        <v>110000</v>
      </c>
      <c r="F17" s="2" t="inlineStr"/>
    </row>
    <row r="18">
      <c r="A18" t="inlineStr">
        <is>
          <t>Backend / cloud engineer</t>
        </is>
      </c>
      <c r="B18" s="33" t="inlineStr">
        <is>
          <t>R&amp;D</t>
        </is>
      </c>
      <c r="C18" s="34" t="n">
        <v>1</v>
      </c>
      <c r="D18" s="35" t="n">
        <v>46753</v>
      </c>
      <c r="E18" s="10" t="n">
        <v>150000</v>
      </c>
      <c r="F18" s="2" t="inlineStr"/>
    </row>
    <row r="19">
      <c r="A19" t="inlineStr">
        <is>
          <t>Mechanical engineer</t>
        </is>
      </c>
      <c r="B19" s="33" t="inlineStr">
        <is>
          <t>R&amp;D</t>
        </is>
      </c>
      <c r="C19" s="34" t="n">
        <v>1</v>
      </c>
      <c r="D19" s="35" t="n">
        <v>46753</v>
      </c>
      <c r="E19" s="10" t="n">
        <v>140000</v>
      </c>
      <c r="F19" s="2" t="inlineStr"/>
    </row>
    <row r="20">
      <c r="A20" t="inlineStr">
        <is>
          <t>Content editors</t>
        </is>
      </c>
      <c r="B20" s="33" t="inlineStr">
        <is>
          <t>R&amp;D</t>
        </is>
      </c>
      <c r="C20" s="34" t="n">
        <v>2</v>
      </c>
      <c r="D20" s="35" t="n">
        <v>46784</v>
      </c>
      <c r="E20" s="10" t="n">
        <v>70000</v>
      </c>
      <c r="F20" s="2" t="inlineStr">
        <is>
          <t>20 cities in 2028.</t>
        </is>
      </c>
    </row>
    <row r="21">
      <c r="A21" t="inlineStr">
        <is>
          <t>Customer support agents</t>
        </is>
      </c>
      <c r="B21" s="33" t="inlineStr">
        <is>
          <t>Ops &amp; CS</t>
        </is>
      </c>
      <c r="C21" s="34" t="n">
        <v>2</v>
      </c>
      <c r="D21" s="35" t="n">
        <v>46813</v>
      </c>
      <c r="E21" s="10" t="n">
        <v>50000</v>
      </c>
      <c r="F21" s="2" t="inlineStr"/>
    </row>
    <row r="22">
      <c r="A22" t="inlineStr">
        <is>
          <t>Retail &amp; partnerships manager</t>
        </is>
      </c>
      <c r="B22" s="33" t="inlineStr">
        <is>
          <t>S&amp;M</t>
        </is>
      </c>
      <c r="C22" s="34" t="n">
        <v>1</v>
      </c>
      <c r="D22" s="35" t="n">
        <v>46813</v>
      </c>
      <c r="E22" s="10" t="n">
        <v>120000</v>
      </c>
      <c r="F22" s="2" t="inlineStr"/>
    </row>
    <row r="23">
      <c r="A23" t="inlineStr">
        <is>
          <t>B2B fleet sales lead</t>
        </is>
      </c>
      <c r="B23" s="33" t="inlineStr">
        <is>
          <t>S&amp;M</t>
        </is>
      </c>
      <c r="C23" s="34" t="n">
        <v>1</v>
      </c>
      <c r="D23" s="35" t="n">
        <v>46844</v>
      </c>
      <c r="E23" s="10" t="n">
        <v>110000</v>
      </c>
      <c r="F23" s="2" t="inlineStr"/>
    </row>
    <row r="24">
      <c r="A24" t="inlineStr">
        <is>
          <t>QA / test engineer</t>
        </is>
      </c>
      <c r="B24" s="33" t="inlineStr">
        <is>
          <t>R&amp;D</t>
        </is>
      </c>
      <c r="C24" s="34" t="n">
        <v>1</v>
      </c>
      <c r="D24" s="35" t="n">
        <v>46844</v>
      </c>
      <c r="E24" s="10" t="n">
        <v>115000</v>
      </c>
      <c r="F24" s="2" t="inlineStr"/>
    </row>
    <row r="25">
      <c r="A25" t="inlineStr">
        <is>
          <t>ML engineer #2 (on-device models)</t>
        </is>
      </c>
      <c r="B25" s="33" t="inlineStr">
        <is>
          <t>R&amp;D</t>
        </is>
      </c>
      <c r="C25" s="34" t="n">
        <v>1</v>
      </c>
      <c r="D25" s="35" t="n">
        <v>46905</v>
      </c>
      <c r="E25" s="10" t="n">
        <v>165000</v>
      </c>
      <c r="F25" s="2" t="inlineStr"/>
    </row>
    <row r="26">
      <c r="A26" t="inlineStr">
        <is>
          <t>Brand &amp; content marketer</t>
        </is>
      </c>
      <c r="B26" s="33" t="inlineStr">
        <is>
          <t>S&amp;M</t>
        </is>
      </c>
      <c r="C26" s="34" t="n">
        <v>1</v>
      </c>
      <c r="D26" s="35" t="n">
        <v>46905</v>
      </c>
      <c r="E26" s="10" t="n">
        <v>100000</v>
      </c>
      <c r="F26" s="2" t="inlineStr"/>
    </row>
    <row r="27">
      <c r="A27" t="inlineStr">
        <is>
          <t>People &amp; office ops</t>
        </is>
      </c>
      <c r="B27" s="33" t="inlineStr">
        <is>
          <t>G&amp;A</t>
        </is>
      </c>
      <c r="C27" s="34" t="n">
        <v>1</v>
      </c>
      <c r="D27" s="35" t="n">
        <v>46997</v>
      </c>
      <c r="E27" s="10" t="n">
        <v>85000</v>
      </c>
      <c r="F27" s="2" t="inlineStr"/>
    </row>
    <row r="28">
      <c r="A28" t="inlineStr">
        <is>
          <t>VP Engineering</t>
        </is>
      </c>
      <c r="B28" s="33" t="inlineStr">
        <is>
          <t>R&amp;D</t>
        </is>
      </c>
      <c r="C28" s="34" t="n">
        <v>1</v>
      </c>
      <c r="D28" s="35" t="n">
        <v>47058</v>
      </c>
      <c r="E28" s="10" t="n">
        <v>210000</v>
      </c>
      <c r="F28" s="2" t="inlineStr">
        <is>
          <t>Series A hire.</t>
        </is>
      </c>
    </row>
    <row r="29">
      <c r="A29" t="inlineStr">
        <is>
          <t>Customer support agents</t>
        </is>
      </c>
      <c r="B29" s="33" t="inlineStr">
        <is>
          <t>Ops &amp; CS</t>
        </is>
      </c>
      <c r="C29" s="34" t="n">
        <v>3</v>
      </c>
      <c r="D29" s="35" t="n">
        <v>47058</v>
      </c>
      <c r="E29" s="10" t="n">
        <v>50000</v>
      </c>
      <c r="F29" s="2" t="inlineStr">
        <is>
          <t>Holiday peak.</t>
        </is>
      </c>
    </row>
    <row r="30">
      <c r="A30" t="inlineStr">
        <is>
          <t>VP Marketing</t>
        </is>
      </c>
      <c r="B30" s="33" t="inlineStr">
        <is>
          <t>S&amp;M</t>
        </is>
      </c>
      <c r="C30" s="34" t="n">
        <v>1</v>
      </c>
      <c r="D30" s="35" t="n">
        <v>47150</v>
      </c>
      <c r="E30" s="10" t="n">
        <v>200000</v>
      </c>
      <c r="F30" s="2" t="inlineStr"/>
    </row>
    <row r="31">
      <c r="A31" t="inlineStr">
        <is>
          <t>R&amp;D engineers (Gen-2, platform)</t>
        </is>
      </c>
      <c r="B31" s="33" t="inlineStr">
        <is>
          <t>R&amp;D</t>
        </is>
      </c>
      <c r="C31" s="34" t="n">
        <v>8</v>
      </c>
      <c r="D31" s="35" t="n">
        <v>47178</v>
      </c>
      <c r="E31" s="10" t="n">
        <v>155000</v>
      </c>
      <c r="F31" s="2" t="inlineStr"/>
    </row>
    <row r="32">
      <c r="A32" t="inlineStr">
        <is>
          <t>Content editors (30 new cities)</t>
        </is>
      </c>
      <c r="B32" s="33" t="inlineStr">
        <is>
          <t>R&amp;D</t>
        </is>
      </c>
      <c r="C32" s="34" t="n">
        <v>4</v>
      </c>
      <c r="D32" s="35" t="n">
        <v>47178</v>
      </c>
      <c r="E32" s="10" t="n">
        <v>72000</v>
      </c>
      <c r="F32" s="2" t="inlineStr"/>
    </row>
    <row r="33">
      <c r="A33" t="inlineStr">
        <is>
          <t>S&amp;M team (performance, retail, EU/APAC)</t>
        </is>
      </c>
      <c r="B33" s="33" t="inlineStr">
        <is>
          <t>S&amp;M</t>
        </is>
      </c>
      <c r="C33" s="34" t="n">
        <v>5</v>
      </c>
      <c r="D33" s="35" t="n">
        <v>47209</v>
      </c>
      <c r="E33" s="10" t="n">
        <v>110000</v>
      </c>
      <c r="F33" s="2" t="inlineStr"/>
    </row>
    <row r="34">
      <c r="A34" t="inlineStr">
        <is>
          <t>Ops / supply-chain / quality</t>
        </is>
      </c>
      <c r="B34" s="33" t="inlineStr">
        <is>
          <t>Ops &amp; CS</t>
        </is>
      </c>
      <c r="C34" s="34" t="n">
        <v>3</v>
      </c>
      <c r="D34" s="35" t="n">
        <v>47209</v>
      </c>
      <c r="E34" s="10" t="n">
        <v>100000</v>
      </c>
      <c r="F34" s="2" t="inlineStr"/>
    </row>
    <row r="35">
      <c r="A35" t="inlineStr">
        <is>
          <t>Customer support agents</t>
        </is>
      </c>
      <c r="B35" s="33" t="inlineStr">
        <is>
          <t>Ops &amp; CS</t>
        </is>
      </c>
      <c r="C35" s="34" t="n">
        <v>6</v>
      </c>
      <c r="D35" s="35" t="n">
        <v>47270</v>
      </c>
      <c r="E35" s="10" t="n">
        <v>50000</v>
      </c>
      <c r="F35" s="2" t="inlineStr"/>
    </row>
    <row r="36">
      <c r="A36" t="inlineStr">
        <is>
          <t>G&amp;A (finance, legal, people)</t>
        </is>
      </c>
      <c r="B36" s="33" t="inlineStr">
        <is>
          <t>G&amp;A</t>
        </is>
      </c>
      <c r="C36" s="34" t="n">
        <v>3</v>
      </c>
      <c r="D36" s="35" t="n">
        <v>47270</v>
      </c>
      <c r="E36" s="10" t="n">
        <v>110000</v>
      </c>
      <c r="F36" s="2" t="inlineStr"/>
    </row>
    <row r="37">
      <c r="A37" t="inlineStr">
        <is>
          <t>CFO</t>
        </is>
      </c>
      <c r="B37" s="33" t="inlineStr">
        <is>
          <t>G&amp;A</t>
        </is>
      </c>
      <c r="C37" s="34" t="n">
        <v>1</v>
      </c>
      <c r="D37" s="35" t="n">
        <v>47362</v>
      </c>
      <c r="E37" s="10" t="n">
        <v>230000</v>
      </c>
      <c r="F37" s="2" t="inlineStr"/>
    </row>
    <row r="38">
      <c r="A38" t="inlineStr">
        <is>
          <t>R&amp;D engineers</t>
        </is>
      </c>
      <c r="B38" s="33" t="inlineStr">
        <is>
          <t>R&amp;D</t>
        </is>
      </c>
      <c r="C38" s="34" t="n">
        <v>10</v>
      </c>
      <c r="D38" s="35" t="n">
        <v>47543</v>
      </c>
      <c r="E38" s="10" t="n">
        <v>160000</v>
      </c>
      <c r="F38" s="2" t="inlineStr"/>
    </row>
    <row r="39">
      <c r="A39" t="inlineStr">
        <is>
          <t>Content editors</t>
        </is>
      </c>
      <c r="B39" s="33" t="inlineStr">
        <is>
          <t>R&amp;D</t>
        </is>
      </c>
      <c r="C39" s="34" t="n">
        <v>4</v>
      </c>
      <c r="D39" s="35" t="n">
        <v>47543</v>
      </c>
      <c r="E39" s="10" t="n">
        <v>75000</v>
      </c>
      <c r="F39" s="2" t="inlineStr"/>
    </row>
    <row r="40">
      <c r="A40" t="inlineStr">
        <is>
          <t>S&amp;M team</t>
        </is>
      </c>
      <c r="B40" s="33" t="inlineStr">
        <is>
          <t>S&amp;M</t>
        </is>
      </c>
      <c r="C40" s="34" t="n">
        <v>6</v>
      </c>
      <c r="D40" s="35" t="n">
        <v>47543</v>
      </c>
      <c r="E40" s="10" t="n">
        <v>115000</v>
      </c>
      <c r="F40" s="2" t="inlineStr"/>
    </row>
    <row r="41">
      <c r="A41" t="inlineStr">
        <is>
          <t>Ops / CS</t>
        </is>
      </c>
      <c r="B41" s="33" t="inlineStr">
        <is>
          <t>Ops &amp; CS</t>
        </is>
      </c>
      <c r="C41" s="34" t="n">
        <v>8</v>
      </c>
      <c r="D41" s="35" t="n">
        <v>47604</v>
      </c>
      <c r="E41" s="10" t="n">
        <v>60000</v>
      </c>
      <c r="F41" s="2" t="inlineStr"/>
    </row>
    <row r="42">
      <c r="A42" t="inlineStr">
        <is>
          <t>G&amp;A</t>
        </is>
      </c>
      <c r="B42" s="33" t="inlineStr">
        <is>
          <t>G&amp;A</t>
        </is>
      </c>
      <c r="C42" s="34" t="n">
        <v>3</v>
      </c>
      <c r="D42" s="35" t="n">
        <v>47604</v>
      </c>
      <c r="E42" s="10" t="n">
        <v>120000</v>
      </c>
      <c r="F42" s="2" t="inlineStr"/>
    </row>
    <row r="43">
      <c r="A43" t="inlineStr">
        <is>
          <t>R&amp;D engineers</t>
        </is>
      </c>
      <c r="B43" s="33" t="inlineStr">
        <is>
          <t>R&amp;D</t>
        </is>
      </c>
      <c r="C43" s="34" t="n">
        <v>10</v>
      </c>
      <c r="D43" s="35" t="n">
        <v>47908</v>
      </c>
      <c r="E43" s="10" t="n">
        <v>165000</v>
      </c>
      <c r="F43" s="2" t="inlineStr"/>
    </row>
    <row r="44">
      <c r="A44" t="inlineStr">
        <is>
          <t>S&amp;M team</t>
        </is>
      </c>
      <c r="B44" s="33" t="inlineStr">
        <is>
          <t>S&amp;M</t>
        </is>
      </c>
      <c r="C44" s="34" t="n">
        <v>6</v>
      </c>
      <c r="D44" s="35" t="n">
        <v>47908</v>
      </c>
      <c r="E44" s="10" t="n">
        <v>120000</v>
      </c>
      <c r="F44" s="2" t="inlineStr"/>
    </row>
    <row r="45">
      <c r="A45" t="inlineStr">
        <is>
          <t>Ops / CS</t>
        </is>
      </c>
      <c r="B45" s="33" t="inlineStr">
        <is>
          <t>Ops &amp; CS</t>
        </is>
      </c>
      <c r="C45" s="34" t="n">
        <v>10</v>
      </c>
      <c r="D45" s="35" t="n">
        <v>47939</v>
      </c>
      <c r="E45" s="10" t="n">
        <v>60000</v>
      </c>
      <c r="F45" s="2" t="inlineStr"/>
    </row>
    <row r="46">
      <c r="A46" t="inlineStr">
        <is>
          <t>G&amp;A</t>
        </is>
      </c>
      <c r="B46" s="33" t="inlineStr">
        <is>
          <t>G&amp;A</t>
        </is>
      </c>
      <c r="C46" s="34" t="n">
        <v>3</v>
      </c>
      <c r="D46" s="35" t="n">
        <v>47939</v>
      </c>
      <c r="E46" s="10" t="n">
        <v>125000</v>
      </c>
      <c r="F46" s="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109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Headcount &amp; personnel cost by period (formulas from 'Headcount' role table)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End-of-period headcount by role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>
        <f>Headcount!A4</f>
        <v/>
      </c>
      <c r="B10" s="2">
        <f>Headcount!B4</f>
        <v/>
      </c>
      <c r="C10" s="4">
        <f>IF(Headcount!$D$4&lt;=Timeline!C5,Headcount!$C$4,0)</f>
        <v/>
      </c>
      <c r="D10" s="4">
        <f>IF(Headcount!$D$4&lt;=Timeline!D5,Headcount!$C$4,0)</f>
        <v/>
      </c>
      <c r="E10" s="4">
        <f>IF(Headcount!$D$4&lt;=Timeline!E5,Headcount!$C$4,0)</f>
        <v/>
      </c>
      <c r="F10" s="4">
        <f>IF(Headcount!$D$4&lt;=Timeline!F5,Headcount!$C$4,0)</f>
        <v/>
      </c>
      <c r="G10" s="4">
        <f>IF(Headcount!$D$4&lt;=Timeline!G5,Headcount!$C$4,0)</f>
        <v/>
      </c>
      <c r="H10" s="4">
        <f>IF(Headcount!$D$4&lt;=Timeline!H5,Headcount!$C$4,0)</f>
        <v/>
      </c>
      <c r="I10" s="4">
        <f>IF(Headcount!$D$4&lt;=Timeline!I5,Headcount!$C$4,0)</f>
        <v/>
      </c>
      <c r="J10" s="4">
        <f>IF(Headcount!$D$4&lt;=Timeline!J5,Headcount!$C$4,0)</f>
        <v/>
      </c>
      <c r="K10" s="4">
        <f>IF(Headcount!$D$4&lt;=Timeline!K5,Headcount!$C$4,0)</f>
        <v/>
      </c>
      <c r="L10" s="4">
        <f>IF(Headcount!$D$4&lt;=Timeline!L5,Headcount!$C$4,0)</f>
        <v/>
      </c>
      <c r="M10" s="4">
        <f>IF(Headcount!$D$4&lt;=Timeline!M5,Headcount!$C$4,0)</f>
        <v/>
      </c>
      <c r="N10" s="4">
        <f>IF(Headcount!$D$4&lt;=Timeline!N5,Headcount!$C$4,0)</f>
        <v/>
      </c>
      <c r="O10" s="4">
        <f>IF(Headcount!$D$4&lt;=Timeline!O5,Headcount!$C$4,0)</f>
        <v/>
      </c>
      <c r="P10" s="4">
        <f>IF(Headcount!$D$4&lt;=Timeline!P5,Headcount!$C$4,0)</f>
        <v/>
      </c>
      <c r="Q10" s="4">
        <f>IF(Headcount!$D$4&lt;=Timeline!Q5,Headcount!$C$4,0)</f>
        <v/>
      </c>
      <c r="R10" s="4">
        <f>IF(Headcount!$D$4&lt;=Timeline!R5,Headcount!$C$4,0)</f>
        <v/>
      </c>
      <c r="S10" s="4">
        <f>IF(Headcount!$D$4&lt;=Timeline!S5,Headcount!$C$4,0)</f>
        <v/>
      </c>
      <c r="T10" s="4">
        <f>IF(Headcount!$D$4&lt;=Timeline!T5,Headcount!$C$4,0)</f>
        <v/>
      </c>
      <c r="U10" s="4">
        <f>IF(Headcount!$D$4&lt;=Timeline!U5,Headcount!$C$4,0)</f>
        <v/>
      </c>
      <c r="V10" s="4">
        <f>IF(Headcount!$D$4&lt;=Timeline!V5,Headcount!$C$4,0)</f>
        <v/>
      </c>
      <c r="W10" s="4">
        <f>IF(Headcount!$D$4&lt;=Timeline!W5,Headcount!$C$4,0)</f>
        <v/>
      </c>
      <c r="X10" s="4">
        <f>IF(Headcount!$D$4&lt;=Timeline!X5,Headcount!$C$4,0)</f>
        <v/>
      </c>
      <c r="Y10" s="4">
        <f>IF(Headcount!$D$4&lt;=Timeline!Y5,Headcount!$C$4,0)</f>
        <v/>
      </c>
      <c r="Z10" s="4">
        <f>IF(Headcount!$D$4&lt;=Timeline!Z5,Headcount!$C$4,0)</f>
        <v/>
      </c>
      <c r="AA10" s="4">
        <f>IF(Headcount!$D$4&lt;=Timeline!AA5,Headcount!$C$4,0)</f>
        <v/>
      </c>
      <c r="AB10" s="4">
        <f>IF(Headcount!$D$4&lt;=Timeline!AB5,Headcount!$C$4,0)</f>
        <v/>
      </c>
      <c r="AC10" s="4">
        <f>IF(Headcount!$D$4&lt;=DATE(2029,12,31),Headcount!$C$4,0)</f>
        <v/>
      </c>
      <c r="AD10" s="4">
        <f>IF(Headcount!$D$4&lt;=DATE(2030,12,31),Headcount!$C$4,0)</f>
        <v/>
      </c>
      <c r="AE10" s="4">
        <f>IF(Headcount!$D$4&lt;=DATE(2031,12,31),Headcount!$C$4,0)</f>
        <v/>
      </c>
      <c r="AG10" s="4">
        <f>D10</f>
        <v/>
      </c>
      <c r="AH10" s="4">
        <f>P10</f>
        <v/>
      </c>
      <c r="AI10" s="4">
        <f>AB10</f>
        <v/>
      </c>
      <c r="AJ10" s="4">
        <f>AC10</f>
        <v/>
      </c>
      <c r="AK10" s="4">
        <f>AD10</f>
        <v/>
      </c>
      <c r="AL10" s="4">
        <f>AE10</f>
        <v/>
      </c>
    </row>
    <row r="11">
      <c r="A11">
        <f>Headcount!A5</f>
        <v/>
      </c>
      <c r="B11" s="2">
        <f>Headcount!B5</f>
        <v/>
      </c>
      <c r="C11" s="4">
        <f>IF(Headcount!$D$5&lt;=Timeline!C5,Headcount!$C$5,0)</f>
        <v/>
      </c>
      <c r="D11" s="4">
        <f>IF(Headcount!$D$5&lt;=Timeline!D5,Headcount!$C$5,0)</f>
        <v/>
      </c>
      <c r="E11" s="4">
        <f>IF(Headcount!$D$5&lt;=Timeline!E5,Headcount!$C$5,0)</f>
        <v/>
      </c>
      <c r="F11" s="4">
        <f>IF(Headcount!$D$5&lt;=Timeline!F5,Headcount!$C$5,0)</f>
        <v/>
      </c>
      <c r="G11" s="4">
        <f>IF(Headcount!$D$5&lt;=Timeline!G5,Headcount!$C$5,0)</f>
        <v/>
      </c>
      <c r="H11" s="4">
        <f>IF(Headcount!$D$5&lt;=Timeline!H5,Headcount!$C$5,0)</f>
        <v/>
      </c>
      <c r="I11" s="4">
        <f>IF(Headcount!$D$5&lt;=Timeline!I5,Headcount!$C$5,0)</f>
        <v/>
      </c>
      <c r="J11" s="4">
        <f>IF(Headcount!$D$5&lt;=Timeline!J5,Headcount!$C$5,0)</f>
        <v/>
      </c>
      <c r="K11" s="4">
        <f>IF(Headcount!$D$5&lt;=Timeline!K5,Headcount!$C$5,0)</f>
        <v/>
      </c>
      <c r="L11" s="4">
        <f>IF(Headcount!$D$5&lt;=Timeline!L5,Headcount!$C$5,0)</f>
        <v/>
      </c>
      <c r="M11" s="4">
        <f>IF(Headcount!$D$5&lt;=Timeline!M5,Headcount!$C$5,0)</f>
        <v/>
      </c>
      <c r="N11" s="4">
        <f>IF(Headcount!$D$5&lt;=Timeline!N5,Headcount!$C$5,0)</f>
        <v/>
      </c>
      <c r="O11" s="4">
        <f>IF(Headcount!$D$5&lt;=Timeline!O5,Headcount!$C$5,0)</f>
        <v/>
      </c>
      <c r="P11" s="4">
        <f>IF(Headcount!$D$5&lt;=Timeline!P5,Headcount!$C$5,0)</f>
        <v/>
      </c>
      <c r="Q11" s="4">
        <f>IF(Headcount!$D$5&lt;=Timeline!Q5,Headcount!$C$5,0)</f>
        <v/>
      </c>
      <c r="R11" s="4">
        <f>IF(Headcount!$D$5&lt;=Timeline!R5,Headcount!$C$5,0)</f>
        <v/>
      </c>
      <c r="S11" s="4">
        <f>IF(Headcount!$D$5&lt;=Timeline!S5,Headcount!$C$5,0)</f>
        <v/>
      </c>
      <c r="T11" s="4">
        <f>IF(Headcount!$D$5&lt;=Timeline!T5,Headcount!$C$5,0)</f>
        <v/>
      </c>
      <c r="U11" s="4">
        <f>IF(Headcount!$D$5&lt;=Timeline!U5,Headcount!$C$5,0)</f>
        <v/>
      </c>
      <c r="V11" s="4">
        <f>IF(Headcount!$D$5&lt;=Timeline!V5,Headcount!$C$5,0)</f>
        <v/>
      </c>
      <c r="W11" s="4">
        <f>IF(Headcount!$D$5&lt;=Timeline!W5,Headcount!$C$5,0)</f>
        <v/>
      </c>
      <c r="X11" s="4">
        <f>IF(Headcount!$D$5&lt;=Timeline!X5,Headcount!$C$5,0)</f>
        <v/>
      </c>
      <c r="Y11" s="4">
        <f>IF(Headcount!$D$5&lt;=Timeline!Y5,Headcount!$C$5,0)</f>
        <v/>
      </c>
      <c r="Z11" s="4">
        <f>IF(Headcount!$D$5&lt;=Timeline!Z5,Headcount!$C$5,0)</f>
        <v/>
      </c>
      <c r="AA11" s="4">
        <f>IF(Headcount!$D$5&lt;=Timeline!AA5,Headcount!$C$5,0)</f>
        <v/>
      </c>
      <c r="AB11" s="4">
        <f>IF(Headcount!$D$5&lt;=Timeline!AB5,Headcount!$C$5,0)</f>
        <v/>
      </c>
      <c r="AC11" s="4">
        <f>IF(Headcount!$D$5&lt;=DATE(2029,12,31),Headcount!$C$5,0)</f>
        <v/>
      </c>
      <c r="AD11" s="4">
        <f>IF(Headcount!$D$5&lt;=DATE(2030,12,31),Headcount!$C$5,0)</f>
        <v/>
      </c>
      <c r="AE11" s="4">
        <f>IF(Headcount!$D$5&lt;=DATE(2031,12,31),Headcount!$C$5,0)</f>
        <v/>
      </c>
      <c r="AG11" s="4">
        <f>D11</f>
        <v/>
      </c>
      <c r="AH11" s="4">
        <f>P11</f>
        <v/>
      </c>
      <c r="AI11" s="4">
        <f>AB11</f>
        <v/>
      </c>
      <c r="AJ11" s="4">
        <f>AC11</f>
        <v/>
      </c>
      <c r="AK11" s="4">
        <f>AD11</f>
        <v/>
      </c>
      <c r="AL11" s="4">
        <f>AE11</f>
        <v/>
      </c>
    </row>
    <row r="12">
      <c r="A12">
        <f>Headcount!A6</f>
        <v/>
      </c>
      <c r="B12" s="2">
        <f>Headcount!B6</f>
        <v/>
      </c>
      <c r="C12" s="4">
        <f>IF(Headcount!$D$6&lt;=Timeline!C5,Headcount!$C$6,0)</f>
        <v/>
      </c>
      <c r="D12" s="4">
        <f>IF(Headcount!$D$6&lt;=Timeline!D5,Headcount!$C$6,0)</f>
        <v/>
      </c>
      <c r="E12" s="4">
        <f>IF(Headcount!$D$6&lt;=Timeline!E5,Headcount!$C$6,0)</f>
        <v/>
      </c>
      <c r="F12" s="4">
        <f>IF(Headcount!$D$6&lt;=Timeline!F5,Headcount!$C$6,0)</f>
        <v/>
      </c>
      <c r="G12" s="4">
        <f>IF(Headcount!$D$6&lt;=Timeline!G5,Headcount!$C$6,0)</f>
        <v/>
      </c>
      <c r="H12" s="4">
        <f>IF(Headcount!$D$6&lt;=Timeline!H5,Headcount!$C$6,0)</f>
        <v/>
      </c>
      <c r="I12" s="4">
        <f>IF(Headcount!$D$6&lt;=Timeline!I5,Headcount!$C$6,0)</f>
        <v/>
      </c>
      <c r="J12" s="4">
        <f>IF(Headcount!$D$6&lt;=Timeline!J5,Headcount!$C$6,0)</f>
        <v/>
      </c>
      <c r="K12" s="4">
        <f>IF(Headcount!$D$6&lt;=Timeline!K5,Headcount!$C$6,0)</f>
        <v/>
      </c>
      <c r="L12" s="4">
        <f>IF(Headcount!$D$6&lt;=Timeline!L5,Headcount!$C$6,0)</f>
        <v/>
      </c>
      <c r="M12" s="4">
        <f>IF(Headcount!$D$6&lt;=Timeline!M5,Headcount!$C$6,0)</f>
        <v/>
      </c>
      <c r="N12" s="4">
        <f>IF(Headcount!$D$6&lt;=Timeline!N5,Headcount!$C$6,0)</f>
        <v/>
      </c>
      <c r="O12" s="4">
        <f>IF(Headcount!$D$6&lt;=Timeline!O5,Headcount!$C$6,0)</f>
        <v/>
      </c>
      <c r="P12" s="4">
        <f>IF(Headcount!$D$6&lt;=Timeline!P5,Headcount!$C$6,0)</f>
        <v/>
      </c>
      <c r="Q12" s="4">
        <f>IF(Headcount!$D$6&lt;=Timeline!Q5,Headcount!$C$6,0)</f>
        <v/>
      </c>
      <c r="R12" s="4">
        <f>IF(Headcount!$D$6&lt;=Timeline!R5,Headcount!$C$6,0)</f>
        <v/>
      </c>
      <c r="S12" s="4">
        <f>IF(Headcount!$D$6&lt;=Timeline!S5,Headcount!$C$6,0)</f>
        <v/>
      </c>
      <c r="T12" s="4">
        <f>IF(Headcount!$D$6&lt;=Timeline!T5,Headcount!$C$6,0)</f>
        <v/>
      </c>
      <c r="U12" s="4">
        <f>IF(Headcount!$D$6&lt;=Timeline!U5,Headcount!$C$6,0)</f>
        <v/>
      </c>
      <c r="V12" s="4">
        <f>IF(Headcount!$D$6&lt;=Timeline!V5,Headcount!$C$6,0)</f>
        <v/>
      </c>
      <c r="W12" s="4">
        <f>IF(Headcount!$D$6&lt;=Timeline!W5,Headcount!$C$6,0)</f>
        <v/>
      </c>
      <c r="X12" s="4">
        <f>IF(Headcount!$D$6&lt;=Timeline!X5,Headcount!$C$6,0)</f>
        <v/>
      </c>
      <c r="Y12" s="4">
        <f>IF(Headcount!$D$6&lt;=Timeline!Y5,Headcount!$C$6,0)</f>
        <v/>
      </c>
      <c r="Z12" s="4">
        <f>IF(Headcount!$D$6&lt;=Timeline!Z5,Headcount!$C$6,0)</f>
        <v/>
      </c>
      <c r="AA12" s="4">
        <f>IF(Headcount!$D$6&lt;=Timeline!AA5,Headcount!$C$6,0)</f>
        <v/>
      </c>
      <c r="AB12" s="4">
        <f>IF(Headcount!$D$6&lt;=Timeline!AB5,Headcount!$C$6,0)</f>
        <v/>
      </c>
      <c r="AC12" s="4">
        <f>IF(Headcount!$D$6&lt;=DATE(2029,12,31),Headcount!$C$6,0)</f>
        <v/>
      </c>
      <c r="AD12" s="4">
        <f>IF(Headcount!$D$6&lt;=DATE(2030,12,31),Headcount!$C$6,0)</f>
        <v/>
      </c>
      <c r="AE12" s="4">
        <f>IF(Headcount!$D$6&lt;=DATE(2031,12,31),Headcount!$C$6,0)</f>
        <v/>
      </c>
      <c r="AG12" s="4">
        <f>D12</f>
        <v/>
      </c>
      <c r="AH12" s="4">
        <f>P12</f>
        <v/>
      </c>
      <c r="AI12" s="4">
        <f>AB12</f>
        <v/>
      </c>
      <c r="AJ12" s="4">
        <f>AC12</f>
        <v/>
      </c>
      <c r="AK12" s="4">
        <f>AD12</f>
        <v/>
      </c>
      <c r="AL12" s="4">
        <f>AE12</f>
        <v/>
      </c>
    </row>
    <row r="13">
      <c r="A13">
        <f>Headcount!A7</f>
        <v/>
      </c>
      <c r="B13" s="2">
        <f>Headcount!B7</f>
        <v/>
      </c>
      <c r="C13" s="4">
        <f>IF(Headcount!$D$7&lt;=Timeline!C5,Headcount!$C$7,0)</f>
        <v/>
      </c>
      <c r="D13" s="4">
        <f>IF(Headcount!$D$7&lt;=Timeline!D5,Headcount!$C$7,0)</f>
        <v/>
      </c>
      <c r="E13" s="4">
        <f>IF(Headcount!$D$7&lt;=Timeline!E5,Headcount!$C$7,0)</f>
        <v/>
      </c>
      <c r="F13" s="4">
        <f>IF(Headcount!$D$7&lt;=Timeline!F5,Headcount!$C$7,0)</f>
        <v/>
      </c>
      <c r="G13" s="4">
        <f>IF(Headcount!$D$7&lt;=Timeline!G5,Headcount!$C$7,0)</f>
        <v/>
      </c>
      <c r="H13" s="4">
        <f>IF(Headcount!$D$7&lt;=Timeline!H5,Headcount!$C$7,0)</f>
        <v/>
      </c>
      <c r="I13" s="4">
        <f>IF(Headcount!$D$7&lt;=Timeline!I5,Headcount!$C$7,0)</f>
        <v/>
      </c>
      <c r="J13" s="4">
        <f>IF(Headcount!$D$7&lt;=Timeline!J5,Headcount!$C$7,0)</f>
        <v/>
      </c>
      <c r="K13" s="4">
        <f>IF(Headcount!$D$7&lt;=Timeline!K5,Headcount!$C$7,0)</f>
        <v/>
      </c>
      <c r="L13" s="4">
        <f>IF(Headcount!$D$7&lt;=Timeline!L5,Headcount!$C$7,0)</f>
        <v/>
      </c>
      <c r="M13" s="4">
        <f>IF(Headcount!$D$7&lt;=Timeline!M5,Headcount!$C$7,0)</f>
        <v/>
      </c>
      <c r="N13" s="4">
        <f>IF(Headcount!$D$7&lt;=Timeline!N5,Headcount!$C$7,0)</f>
        <v/>
      </c>
      <c r="O13" s="4">
        <f>IF(Headcount!$D$7&lt;=Timeline!O5,Headcount!$C$7,0)</f>
        <v/>
      </c>
      <c r="P13" s="4">
        <f>IF(Headcount!$D$7&lt;=Timeline!P5,Headcount!$C$7,0)</f>
        <v/>
      </c>
      <c r="Q13" s="4">
        <f>IF(Headcount!$D$7&lt;=Timeline!Q5,Headcount!$C$7,0)</f>
        <v/>
      </c>
      <c r="R13" s="4">
        <f>IF(Headcount!$D$7&lt;=Timeline!R5,Headcount!$C$7,0)</f>
        <v/>
      </c>
      <c r="S13" s="4">
        <f>IF(Headcount!$D$7&lt;=Timeline!S5,Headcount!$C$7,0)</f>
        <v/>
      </c>
      <c r="T13" s="4">
        <f>IF(Headcount!$D$7&lt;=Timeline!T5,Headcount!$C$7,0)</f>
        <v/>
      </c>
      <c r="U13" s="4">
        <f>IF(Headcount!$D$7&lt;=Timeline!U5,Headcount!$C$7,0)</f>
        <v/>
      </c>
      <c r="V13" s="4">
        <f>IF(Headcount!$D$7&lt;=Timeline!V5,Headcount!$C$7,0)</f>
        <v/>
      </c>
      <c r="W13" s="4">
        <f>IF(Headcount!$D$7&lt;=Timeline!W5,Headcount!$C$7,0)</f>
        <v/>
      </c>
      <c r="X13" s="4">
        <f>IF(Headcount!$D$7&lt;=Timeline!X5,Headcount!$C$7,0)</f>
        <v/>
      </c>
      <c r="Y13" s="4">
        <f>IF(Headcount!$D$7&lt;=Timeline!Y5,Headcount!$C$7,0)</f>
        <v/>
      </c>
      <c r="Z13" s="4">
        <f>IF(Headcount!$D$7&lt;=Timeline!Z5,Headcount!$C$7,0)</f>
        <v/>
      </c>
      <c r="AA13" s="4">
        <f>IF(Headcount!$D$7&lt;=Timeline!AA5,Headcount!$C$7,0)</f>
        <v/>
      </c>
      <c r="AB13" s="4">
        <f>IF(Headcount!$D$7&lt;=Timeline!AB5,Headcount!$C$7,0)</f>
        <v/>
      </c>
      <c r="AC13" s="4">
        <f>IF(Headcount!$D$7&lt;=DATE(2029,12,31),Headcount!$C$7,0)</f>
        <v/>
      </c>
      <c r="AD13" s="4">
        <f>IF(Headcount!$D$7&lt;=DATE(2030,12,31),Headcount!$C$7,0)</f>
        <v/>
      </c>
      <c r="AE13" s="4">
        <f>IF(Headcount!$D$7&lt;=DATE(2031,12,31),Headcount!$C$7,0)</f>
        <v/>
      </c>
      <c r="AG13" s="4">
        <f>D13</f>
        <v/>
      </c>
      <c r="AH13" s="4">
        <f>P13</f>
        <v/>
      </c>
      <c r="AI13" s="4">
        <f>AB13</f>
        <v/>
      </c>
      <c r="AJ13" s="4">
        <f>AC13</f>
        <v/>
      </c>
      <c r="AK13" s="4">
        <f>AD13</f>
        <v/>
      </c>
      <c r="AL13" s="4">
        <f>AE13</f>
        <v/>
      </c>
    </row>
    <row r="14">
      <c r="A14">
        <f>Headcount!A8</f>
        <v/>
      </c>
      <c r="B14" s="2">
        <f>Headcount!B8</f>
        <v/>
      </c>
      <c r="C14" s="4">
        <f>IF(Headcount!$D$8&lt;=Timeline!C5,Headcount!$C$8,0)</f>
        <v/>
      </c>
      <c r="D14" s="4">
        <f>IF(Headcount!$D$8&lt;=Timeline!D5,Headcount!$C$8,0)</f>
        <v/>
      </c>
      <c r="E14" s="4">
        <f>IF(Headcount!$D$8&lt;=Timeline!E5,Headcount!$C$8,0)</f>
        <v/>
      </c>
      <c r="F14" s="4">
        <f>IF(Headcount!$D$8&lt;=Timeline!F5,Headcount!$C$8,0)</f>
        <v/>
      </c>
      <c r="G14" s="4">
        <f>IF(Headcount!$D$8&lt;=Timeline!G5,Headcount!$C$8,0)</f>
        <v/>
      </c>
      <c r="H14" s="4">
        <f>IF(Headcount!$D$8&lt;=Timeline!H5,Headcount!$C$8,0)</f>
        <v/>
      </c>
      <c r="I14" s="4">
        <f>IF(Headcount!$D$8&lt;=Timeline!I5,Headcount!$C$8,0)</f>
        <v/>
      </c>
      <c r="J14" s="4">
        <f>IF(Headcount!$D$8&lt;=Timeline!J5,Headcount!$C$8,0)</f>
        <v/>
      </c>
      <c r="K14" s="4">
        <f>IF(Headcount!$D$8&lt;=Timeline!K5,Headcount!$C$8,0)</f>
        <v/>
      </c>
      <c r="L14" s="4">
        <f>IF(Headcount!$D$8&lt;=Timeline!L5,Headcount!$C$8,0)</f>
        <v/>
      </c>
      <c r="M14" s="4">
        <f>IF(Headcount!$D$8&lt;=Timeline!M5,Headcount!$C$8,0)</f>
        <v/>
      </c>
      <c r="N14" s="4">
        <f>IF(Headcount!$D$8&lt;=Timeline!N5,Headcount!$C$8,0)</f>
        <v/>
      </c>
      <c r="O14" s="4">
        <f>IF(Headcount!$D$8&lt;=Timeline!O5,Headcount!$C$8,0)</f>
        <v/>
      </c>
      <c r="P14" s="4">
        <f>IF(Headcount!$D$8&lt;=Timeline!P5,Headcount!$C$8,0)</f>
        <v/>
      </c>
      <c r="Q14" s="4">
        <f>IF(Headcount!$D$8&lt;=Timeline!Q5,Headcount!$C$8,0)</f>
        <v/>
      </c>
      <c r="R14" s="4">
        <f>IF(Headcount!$D$8&lt;=Timeline!R5,Headcount!$C$8,0)</f>
        <v/>
      </c>
      <c r="S14" s="4">
        <f>IF(Headcount!$D$8&lt;=Timeline!S5,Headcount!$C$8,0)</f>
        <v/>
      </c>
      <c r="T14" s="4">
        <f>IF(Headcount!$D$8&lt;=Timeline!T5,Headcount!$C$8,0)</f>
        <v/>
      </c>
      <c r="U14" s="4">
        <f>IF(Headcount!$D$8&lt;=Timeline!U5,Headcount!$C$8,0)</f>
        <v/>
      </c>
      <c r="V14" s="4">
        <f>IF(Headcount!$D$8&lt;=Timeline!V5,Headcount!$C$8,0)</f>
        <v/>
      </c>
      <c r="W14" s="4">
        <f>IF(Headcount!$D$8&lt;=Timeline!W5,Headcount!$C$8,0)</f>
        <v/>
      </c>
      <c r="X14" s="4">
        <f>IF(Headcount!$D$8&lt;=Timeline!X5,Headcount!$C$8,0)</f>
        <v/>
      </c>
      <c r="Y14" s="4">
        <f>IF(Headcount!$D$8&lt;=Timeline!Y5,Headcount!$C$8,0)</f>
        <v/>
      </c>
      <c r="Z14" s="4">
        <f>IF(Headcount!$D$8&lt;=Timeline!Z5,Headcount!$C$8,0)</f>
        <v/>
      </c>
      <c r="AA14" s="4">
        <f>IF(Headcount!$D$8&lt;=Timeline!AA5,Headcount!$C$8,0)</f>
        <v/>
      </c>
      <c r="AB14" s="4">
        <f>IF(Headcount!$D$8&lt;=Timeline!AB5,Headcount!$C$8,0)</f>
        <v/>
      </c>
      <c r="AC14" s="4">
        <f>IF(Headcount!$D$8&lt;=DATE(2029,12,31),Headcount!$C$8,0)</f>
        <v/>
      </c>
      <c r="AD14" s="4">
        <f>IF(Headcount!$D$8&lt;=DATE(2030,12,31),Headcount!$C$8,0)</f>
        <v/>
      </c>
      <c r="AE14" s="4">
        <f>IF(Headcount!$D$8&lt;=DATE(2031,12,31),Headcount!$C$8,0)</f>
        <v/>
      </c>
      <c r="AG14" s="4">
        <f>D14</f>
        <v/>
      </c>
      <c r="AH14" s="4">
        <f>P14</f>
        <v/>
      </c>
      <c r="AI14" s="4">
        <f>AB14</f>
        <v/>
      </c>
      <c r="AJ14" s="4">
        <f>AC14</f>
        <v/>
      </c>
      <c r="AK14" s="4">
        <f>AD14</f>
        <v/>
      </c>
      <c r="AL14" s="4">
        <f>AE14</f>
        <v/>
      </c>
    </row>
    <row r="15">
      <c r="A15">
        <f>Headcount!A9</f>
        <v/>
      </c>
      <c r="B15" s="2">
        <f>Headcount!B9</f>
        <v/>
      </c>
      <c r="C15" s="4">
        <f>IF(Headcount!$D$9&lt;=Timeline!C5,Headcount!$C$9,0)</f>
        <v/>
      </c>
      <c r="D15" s="4">
        <f>IF(Headcount!$D$9&lt;=Timeline!D5,Headcount!$C$9,0)</f>
        <v/>
      </c>
      <c r="E15" s="4">
        <f>IF(Headcount!$D$9&lt;=Timeline!E5,Headcount!$C$9,0)</f>
        <v/>
      </c>
      <c r="F15" s="4">
        <f>IF(Headcount!$D$9&lt;=Timeline!F5,Headcount!$C$9,0)</f>
        <v/>
      </c>
      <c r="G15" s="4">
        <f>IF(Headcount!$D$9&lt;=Timeline!G5,Headcount!$C$9,0)</f>
        <v/>
      </c>
      <c r="H15" s="4">
        <f>IF(Headcount!$D$9&lt;=Timeline!H5,Headcount!$C$9,0)</f>
        <v/>
      </c>
      <c r="I15" s="4">
        <f>IF(Headcount!$D$9&lt;=Timeline!I5,Headcount!$C$9,0)</f>
        <v/>
      </c>
      <c r="J15" s="4">
        <f>IF(Headcount!$D$9&lt;=Timeline!J5,Headcount!$C$9,0)</f>
        <v/>
      </c>
      <c r="K15" s="4">
        <f>IF(Headcount!$D$9&lt;=Timeline!K5,Headcount!$C$9,0)</f>
        <v/>
      </c>
      <c r="L15" s="4">
        <f>IF(Headcount!$D$9&lt;=Timeline!L5,Headcount!$C$9,0)</f>
        <v/>
      </c>
      <c r="M15" s="4">
        <f>IF(Headcount!$D$9&lt;=Timeline!M5,Headcount!$C$9,0)</f>
        <v/>
      </c>
      <c r="N15" s="4">
        <f>IF(Headcount!$D$9&lt;=Timeline!N5,Headcount!$C$9,0)</f>
        <v/>
      </c>
      <c r="O15" s="4">
        <f>IF(Headcount!$D$9&lt;=Timeline!O5,Headcount!$C$9,0)</f>
        <v/>
      </c>
      <c r="P15" s="4">
        <f>IF(Headcount!$D$9&lt;=Timeline!P5,Headcount!$C$9,0)</f>
        <v/>
      </c>
      <c r="Q15" s="4">
        <f>IF(Headcount!$D$9&lt;=Timeline!Q5,Headcount!$C$9,0)</f>
        <v/>
      </c>
      <c r="R15" s="4">
        <f>IF(Headcount!$D$9&lt;=Timeline!R5,Headcount!$C$9,0)</f>
        <v/>
      </c>
      <c r="S15" s="4">
        <f>IF(Headcount!$D$9&lt;=Timeline!S5,Headcount!$C$9,0)</f>
        <v/>
      </c>
      <c r="T15" s="4">
        <f>IF(Headcount!$D$9&lt;=Timeline!T5,Headcount!$C$9,0)</f>
        <v/>
      </c>
      <c r="U15" s="4">
        <f>IF(Headcount!$D$9&lt;=Timeline!U5,Headcount!$C$9,0)</f>
        <v/>
      </c>
      <c r="V15" s="4">
        <f>IF(Headcount!$D$9&lt;=Timeline!V5,Headcount!$C$9,0)</f>
        <v/>
      </c>
      <c r="W15" s="4">
        <f>IF(Headcount!$D$9&lt;=Timeline!W5,Headcount!$C$9,0)</f>
        <v/>
      </c>
      <c r="X15" s="4">
        <f>IF(Headcount!$D$9&lt;=Timeline!X5,Headcount!$C$9,0)</f>
        <v/>
      </c>
      <c r="Y15" s="4">
        <f>IF(Headcount!$D$9&lt;=Timeline!Y5,Headcount!$C$9,0)</f>
        <v/>
      </c>
      <c r="Z15" s="4">
        <f>IF(Headcount!$D$9&lt;=Timeline!Z5,Headcount!$C$9,0)</f>
        <v/>
      </c>
      <c r="AA15" s="4">
        <f>IF(Headcount!$D$9&lt;=Timeline!AA5,Headcount!$C$9,0)</f>
        <v/>
      </c>
      <c r="AB15" s="4">
        <f>IF(Headcount!$D$9&lt;=Timeline!AB5,Headcount!$C$9,0)</f>
        <v/>
      </c>
      <c r="AC15" s="4">
        <f>IF(Headcount!$D$9&lt;=DATE(2029,12,31),Headcount!$C$9,0)</f>
        <v/>
      </c>
      <c r="AD15" s="4">
        <f>IF(Headcount!$D$9&lt;=DATE(2030,12,31),Headcount!$C$9,0)</f>
        <v/>
      </c>
      <c r="AE15" s="4">
        <f>IF(Headcount!$D$9&lt;=DATE(2031,12,31),Headcount!$C$9,0)</f>
        <v/>
      </c>
      <c r="AG15" s="4">
        <f>D15</f>
        <v/>
      </c>
      <c r="AH15" s="4">
        <f>P15</f>
        <v/>
      </c>
      <c r="AI15" s="4">
        <f>AB15</f>
        <v/>
      </c>
      <c r="AJ15" s="4">
        <f>AC15</f>
        <v/>
      </c>
      <c r="AK15" s="4">
        <f>AD15</f>
        <v/>
      </c>
      <c r="AL15" s="4">
        <f>AE15</f>
        <v/>
      </c>
    </row>
    <row r="16">
      <c r="A16">
        <f>Headcount!A10</f>
        <v/>
      </c>
      <c r="B16" s="2">
        <f>Headcount!B10</f>
        <v/>
      </c>
      <c r="C16" s="4">
        <f>IF(Headcount!$D$10&lt;=Timeline!C5,Headcount!$C$10,0)</f>
        <v/>
      </c>
      <c r="D16" s="4">
        <f>IF(Headcount!$D$10&lt;=Timeline!D5,Headcount!$C$10,0)</f>
        <v/>
      </c>
      <c r="E16" s="4">
        <f>IF(Headcount!$D$10&lt;=Timeline!E5,Headcount!$C$10,0)</f>
        <v/>
      </c>
      <c r="F16" s="4">
        <f>IF(Headcount!$D$10&lt;=Timeline!F5,Headcount!$C$10,0)</f>
        <v/>
      </c>
      <c r="G16" s="4">
        <f>IF(Headcount!$D$10&lt;=Timeline!G5,Headcount!$C$10,0)</f>
        <v/>
      </c>
      <c r="H16" s="4">
        <f>IF(Headcount!$D$10&lt;=Timeline!H5,Headcount!$C$10,0)</f>
        <v/>
      </c>
      <c r="I16" s="4">
        <f>IF(Headcount!$D$10&lt;=Timeline!I5,Headcount!$C$10,0)</f>
        <v/>
      </c>
      <c r="J16" s="4">
        <f>IF(Headcount!$D$10&lt;=Timeline!J5,Headcount!$C$10,0)</f>
        <v/>
      </c>
      <c r="K16" s="4">
        <f>IF(Headcount!$D$10&lt;=Timeline!K5,Headcount!$C$10,0)</f>
        <v/>
      </c>
      <c r="L16" s="4">
        <f>IF(Headcount!$D$10&lt;=Timeline!L5,Headcount!$C$10,0)</f>
        <v/>
      </c>
      <c r="M16" s="4">
        <f>IF(Headcount!$D$10&lt;=Timeline!M5,Headcount!$C$10,0)</f>
        <v/>
      </c>
      <c r="N16" s="4">
        <f>IF(Headcount!$D$10&lt;=Timeline!N5,Headcount!$C$10,0)</f>
        <v/>
      </c>
      <c r="O16" s="4">
        <f>IF(Headcount!$D$10&lt;=Timeline!O5,Headcount!$C$10,0)</f>
        <v/>
      </c>
      <c r="P16" s="4">
        <f>IF(Headcount!$D$10&lt;=Timeline!P5,Headcount!$C$10,0)</f>
        <v/>
      </c>
      <c r="Q16" s="4">
        <f>IF(Headcount!$D$10&lt;=Timeline!Q5,Headcount!$C$10,0)</f>
        <v/>
      </c>
      <c r="R16" s="4">
        <f>IF(Headcount!$D$10&lt;=Timeline!R5,Headcount!$C$10,0)</f>
        <v/>
      </c>
      <c r="S16" s="4">
        <f>IF(Headcount!$D$10&lt;=Timeline!S5,Headcount!$C$10,0)</f>
        <v/>
      </c>
      <c r="T16" s="4">
        <f>IF(Headcount!$D$10&lt;=Timeline!T5,Headcount!$C$10,0)</f>
        <v/>
      </c>
      <c r="U16" s="4">
        <f>IF(Headcount!$D$10&lt;=Timeline!U5,Headcount!$C$10,0)</f>
        <v/>
      </c>
      <c r="V16" s="4">
        <f>IF(Headcount!$D$10&lt;=Timeline!V5,Headcount!$C$10,0)</f>
        <v/>
      </c>
      <c r="W16" s="4">
        <f>IF(Headcount!$D$10&lt;=Timeline!W5,Headcount!$C$10,0)</f>
        <v/>
      </c>
      <c r="X16" s="4">
        <f>IF(Headcount!$D$10&lt;=Timeline!X5,Headcount!$C$10,0)</f>
        <v/>
      </c>
      <c r="Y16" s="4">
        <f>IF(Headcount!$D$10&lt;=Timeline!Y5,Headcount!$C$10,0)</f>
        <v/>
      </c>
      <c r="Z16" s="4">
        <f>IF(Headcount!$D$10&lt;=Timeline!Z5,Headcount!$C$10,0)</f>
        <v/>
      </c>
      <c r="AA16" s="4">
        <f>IF(Headcount!$D$10&lt;=Timeline!AA5,Headcount!$C$10,0)</f>
        <v/>
      </c>
      <c r="AB16" s="4">
        <f>IF(Headcount!$D$10&lt;=Timeline!AB5,Headcount!$C$10,0)</f>
        <v/>
      </c>
      <c r="AC16" s="4">
        <f>IF(Headcount!$D$10&lt;=DATE(2029,12,31),Headcount!$C$10,0)</f>
        <v/>
      </c>
      <c r="AD16" s="4">
        <f>IF(Headcount!$D$10&lt;=DATE(2030,12,31),Headcount!$C$10,0)</f>
        <v/>
      </c>
      <c r="AE16" s="4">
        <f>IF(Headcount!$D$10&lt;=DATE(2031,12,31),Headcount!$C$10,0)</f>
        <v/>
      </c>
      <c r="AG16" s="4">
        <f>D16</f>
        <v/>
      </c>
      <c r="AH16" s="4">
        <f>P16</f>
        <v/>
      </c>
      <c r="AI16" s="4">
        <f>AB16</f>
        <v/>
      </c>
      <c r="AJ16" s="4">
        <f>AC16</f>
        <v/>
      </c>
      <c r="AK16" s="4">
        <f>AD16</f>
        <v/>
      </c>
      <c r="AL16" s="4">
        <f>AE16</f>
        <v/>
      </c>
    </row>
    <row r="17">
      <c r="A17">
        <f>Headcount!A11</f>
        <v/>
      </c>
      <c r="B17" s="2">
        <f>Headcount!B11</f>
        <v/>
      </c>
      <c r="C17" s="4">
        <f>IF(Headcount!$D$11&lt;=Timeline!C5,Headcount!$C$11,0)</f>
        <v/>
      </c>
      <c r="D17" s="4">
        <f>IF(Headcount!$D$11&lt;=Timeline!D5,Headcount!$C$11,0)</f>
        <v/>
      </c>
      <c r="E17" s="4">
        <f>IF(Headcount!$D$11&lt;=Timeline!E5,Headcount!$C$11,0)</f>
        <v/>
      </c>
      <c r="F17" s="4">
        <f>IF(Headcount!$D$11&lt;=Timeline!F5,Headcount!$C$11,0)</f>
        <v/>
      </c>
      <c r="G17" s="4">
        <f>IF(Headcount!$D$11&lt;=Timeline!G5,Headcount!$C$11,0)</f>
        <v/>
      </c>
      <c r="H17" s="4">
        <f>IF(Headcount!$D$11&lt;=Timeline!H5,Headcount!$C$11,0)</f>
        <v/>
      </c>
      <c r="I17" s="4">
        <f>IF(Headcount!$D$11&lt;=Timeline!I5,Headcount!$C$11,0)</f>
        <v/>
      </c>
      <c r="J17" s="4">
        <f>IF(Headcount!$D$11&lt;=Timeline!J5,Headcount!$C$11,0)</f>
        <v/>
      </c>
      <c r="K17" s="4">
        <f>IF(Headcount!$D$11&lt;=Timeline!K5,Headcount!$C$11,0)</f>
        <v/>
      </c>
      <c r="L17" s="4">
        <f>IF(Headcount!$D$11&lt;=Timeline!L5,Headcount!$C$11,0)</f>
        <v/>
      </c>
      <c r="M17" s="4">
        <f>IF(Headcount!$D$11&lt;=Timeline!M5,Headcount!$C$11,0)</f>
        <v/>
      </c>
      <c r="N17" s="4">
        <f>IF(Headcount!$D$11&lt;=Timeline!N5,Headcount!$C$11,0)</f>
        <v/>
      </c>
      <c r="O17" s="4">
        <f>IF(Headcount!$D$11&lt;=Timeline!O5,Headcount!$C$11,0)</f>
        <v/>
      </c>
      <c r="P17" s="4">
        <f>IF(Headcount!$D$11&lt;=Timeline!P5,Headcount!$C$11,0)</f>
        <v/>
      </c>
      <c r="Q17" s="4">
        <f>IF(Headcount!$D$11&lt;=Timeline!Q5,Headcount!$C$11,0)</f>
        <v/>
      </c>
      <c r="R17" s="4">
        <f>IF(Headcount!$D$11&lt;=Timeline!R5,Headcount!$C$11,0)</f>
        <v/>
      </c>
      <c r="S17" s="4">
        <f>IF(Headcount!$D$11&lt;=Timeline!S5,Headcount!$C$11,0)</f>
        <v/>
      </c>
      <c r="T17" s="4">
        <f>IF(Headcount!$D$11&lt;=Timeline!T5,Headcount!$C$11,0)</f>
        <v/>
      </c>
      <c r="U17" s="4">
        <f>IF(Headcount!$D$11&lt;=Timeline!U5,Headcount!$C$11,0)</f>
        <v/>
      </c>
      <c r="V17" s="4">
        <f>IF(Headcount!$D$11&lt;=Timeline!V5,Headcount!$C$11,0)</f>
        <v/>
      </c>
      <c r="W17" s="4">
        <f>IF(Headcount!$D$11&lt;=Timeline!W5,Headcount!$C$11,0)</f>
        <v/>
      </c>
      <c r="X17" s="4">
        <f>IF(Headcount!$D$11&lt;=Timeline!X5,Headcount!$C$11,0)</f>
        <v/>
      </c>
      <c r="Y17" s="4">
        <f>IF(Headcount!$D$11&lt;=Timeline!Y5,Headcount!$C$11,0)</f>
        <v/>
      </c>
      <c r="Z17" s="4">
        <f>IF(Headcount!$D$11&lt;=Timeline!Z5,Headcount!$C$11,0)</f>
        <v/>
      </c>
      <c r="AA17" s="4">
        <f>IF(Headcount!$D$11&lt;=Timeline!AA5,Headcount!$C$11,0)</f>
        <v/>
      </c>
      <c r="AB17" s="4">
        <f>IF(Headcount!$D$11&lt;=Timeline!AB5,Headcount!$C$11,0)</f>
        <v/>
      </c>
      <c r="AC17" s="4">
        <f>IF(Headcount!$D$11&lt;=DATE(2029,12,31),Headcount!$C$11,0)</f>
        <v/>
      </c>
      <c r="AD17" s="4">
        <f>IF(Headcount!$D$11&lt;=DATE(2030,12,31),Headcount!$C$11,0)</f>
        <v/>
      </c>
      <c r="AE17" s="4">
        <f>IF(Headcount!$D$11&lt;=DATE(2031,12,31),Headcount!$C$11,0)</f>
        <v/>
      </c>
      <c r="AG17" s="4">
        <f>D17</f>
        <v/>
      </c>
      <c r="AH17" s="4">
        <f>P17</f>
        <v/>
      </c>
      <c r="AI17" s="4">
        <f>AB17</f>
        <v/>
      </c>
      <c r="AJ17" s="4">
        <f>AC17</f>
        <v/>
      </c>
      <c r="AK17" s="4">
        <f>AD17</f>
        <v/>
      </c>
      <c r="AL17" s="4">
        <f>AE17</f>
        <v/>
      </c>
    </row>
    <row r="18">
      <c r="A18">
        <f>Headcount!A12</f>
        <v/>
      </c>
      <c r="B18" s="2">
        <f>Headcount!B12</f>
        <v/>
      </c>
      <c r="C18" s="4">
        <f>IF(Headcount!$D$12&lt;=Timeline!C5,Headcount!$C$12,0)</f>
        <v/>
      </c>
      <c r="D18" s="4">
        <f>IF(Headcount!$D$12&lt;=Timeline!D5,Headcount!$C$12,0)</f>
        <v/>
      </c>
      <c r="E18" s="4">
        <f>IF(Headcount!$D$12&lt;=Timeline!E5,Headcount!$C$12,0)</f>
        <v/>
      </c>
      <c r="F18" s="4">
        <f>IF(Headcount!$D$12&lt;=Timeline!F5,Headcount!$C$12,0)</f>
        <v/>
      </c>
      <c r="G18" s="4">
        <f>IF(Headcount!$D$12&lt;=Timeline!G5,Headcount!$C$12,0)</f>
        <v/>
      </c>
      <c r="H18" s="4">
        <f>IF(Headcount!$D$12&lt;=Timeline!H5,Headcount!$C$12,0)</f>
        <v/>
      </c>
      <c r="I18" s="4">
        <f>IF(Headcount!$D$12&lt;=Timeline!I5,Headcount!$C$12,0)</f>
        <v/>
      </c>
      <c r="J18" s="4">
        <f>IF(Headcount!$D$12&lt;=Timeline!J5,Headcount!$C$12,0)</f>
        <v/>
      </c>
      <c r="K18" s="4">
        <f>IF(Headcount!$D$12&lt;=Timeline!K5,Headcount!$C$12,0)</f>
        <v/>
      </c>
      <c r="L18" s="4">
        <f>IF(Headcount!$D$12&lt;=Timeline!L5,Headcount!$C$12,0)</f>
        <v/>
      </c>
      <c r="M18" s="4">
        <f>IF(Headcount!$D$12&lt;=Timeline!M5,Headcount!$C$12,0)</f>
        <v/>
      </c>
      <c r="N18" s="4">
        <f>IF(Headcount!$D$12&lt;=Timeline!N5,Headcount!$C$12,0)</f>
        <v/>
      </c>
      <c r="O18" s="4">
        <f>IF(Headcount!$D$12&lt;=Timeline!O5,Headcount!$C$12,0)</f>
        <v/>
      </c>
      <c r="P18" s="4">
        <f>IF(Headcount!$D$12&lt;=Timeline!P5,Headcount!$C$12,0)</f>
        <v/>
      </c>
      <c r="Q18" s="4">
        <f>IF(Headcount!$D$12&lt;=Timeline!Q5,Headcount!$C$12,0)</f>
        <v/>
      </c>
      <c r="R18" s="4">
        <f>IF(Headcount!$D$12&lt;=Timeline!R5,Headcount!$C$12,0)</f>
        <v/>
      </c>
      <c r="S18" s="4">
        <f>IF(Headcount!$D$12&lt;=Timeline!S5,Headcount!$C$12,0)</f>
        <v/>
      </c>
      <c r="T18" s="4">
        <f>IF(Headcount!$D$12&lt;=Timeline!T5,Headcount!$C$12,0)</f>
        <v/>
      </c>
      <c r="U18" s="4">
        <f>IF(Headcount!$D$12&lt;=Timeline!U5,Headcount!$C$12,0)</f>
        <v/>
      </c>
      <c r="V18" s="4">
        <f>IF(Headcount!$D$12&lt;=Timeline!V5,Headcount!$C$12,0)</f>
        <v/>
      </c>
      <c r="W18" s="4">
        <f>IF(Headcount!$D$12&lt;=Timeline!W5,Headcount!$C$12,0)</f>
        <v/>
      </c>
      <c r="X18" s="4">
        <f>IF(Headcount!$D$12&lt;=Timeline!X5,Headcount!$C$12,0)</f>
        <v/>
      </c>
      <c r="Y18" s="4">
        <f>IF(Headcount!$D$12&lt;=Timeline!Y5,Headcount!$C$12,0)</f>
        <v/>
      </c>
      <c r="Z18" s="4">
        <f>IF(Headcount!$D$12&lt;=Timeline!Z5,Headcount!$C$12,0)</f>
        <v/>
      </c>
      <c r="AA18" s="4">
        <f>IF(Headcount!$D$12&lt;=Timeline!AA5,Headcount!$C$12,0)</f>
        <v/>
      </c>
      <c r="AB18" s="4">
        <f>IF(Headcount!$D$12&lt;=Timeline!AB5,Headcount!$C$12,0)</f>
        <v/>
      </c>
      <c r="AC18" s="4">
        <f>IF(Headcount!$D$12&lt;=DATE(2029,12,31),Headcount!$C$12,0)</f>
        <v/>
      </c>
      <c r="AD18" s="4">
        <f>IF(Headcount!$D$12&lt;=DATE(2030,12,31),Headcount!$C$12,0)</f>
        <v/>
      </c>
      <c r="AE18" s="4">
        <f>IF(Headcount!$D$12&lt;=DATE(2031,12,31),Headcount!$C$12,0)</f>
        <v/>
      </c>
      <c r="AG18" s="4">
        <f>D18</f>
        <v/>
      </c>
      <c r="AH18" s="4">
        <f>P18</f>
        <v/>
      </c>
      <c r="AI18" s="4">
        <f>AB18</f>
        <v/>
      </c>
      <c r="AJ18" s="4">
        <f>AC18</f>
        <v/>
      </c>
      <c r="AK18" s="4">
        <f>AD18</f>
        <v/>
      </c>
      <c r="AL18" s="4">
        <f>AE18</f>
        <v/>
      </c>
    </row>
    <row r="19">
      <c r="A19">
        <f>Headcount!A13</f>
        <v/>
      </c>
      <c r="B19" s="2">
        <f>Headcount!B13</f>
        <v/>
      </c>
      <c r="C19" s="4">
        <f>IF(Headcount!$D$13&lt;=Timeline!C5,Headcount!$C$13,0)</f>
        <v/>
      </c>
      <c r="D19" s="4">
        <f>IF(Headcount!$D$13&lt;=Timeline!D5,Headcount!$C$13,0)</f>
        <v/>
      </c>
      <c r="E19" s="4">
        <f>IF(Headcount!$D$13&lt;=Timeline!E5,Headcount!$C$13,0)</f>
        <v/>
      </c>
      <c r="F19" s="4">
        <f>IF(Headcount!$D$13&lt;=Timeline!F5,Headcount!$C$13,0)</f>
        <v/>
      </c>
      <c r="G19" s="4">
        <f>IF(Headcount!$D$13&lt;=Timeline!G5,Headcount!$C$13,0)</f>
        <v/>
      </c>
      <c r="H19" s="4">
        <f>IF(Headcount!$D$13&lt;=Timeline!H5,Headcount!$C$13,0)</f>
        <v/>
      </c>
      <c r="I19" s="4">
        <f>IF(Headcount!$D$13&lt;=Timeline!I5,Headcount!$C$13,0)</f>
        <v/>
      </c>
      <c r="J19" s="4">
        <f>IF(Headcount!$D$13&lt;=Timeline!J5,Headcount!$C$13,0)</f>
        <v/>
      </c>
      <c r="K19" s="4">
        <f>IF(Headcount!$D$13&lt;=Timeline!K5,Headcount!$C$13,0)</f>
        <v/>
      </c>
      <c r="L19" s="4">
        <f>IF(Headcount!$D$13&lt;=Timeline!L5,Headcount!$C$13,0)</f>
        <v/>
      </c>
      <c r="M19" s="4">
        <f>IF(Headcount!$D$13&lt;=Timeline!M5,Headcount!$C$13,0)</f>
        <v/>
      </c>
      <c r="N19" s="4">
        <f>IF(Headcount!$D$13&lt;=Timeline!N5,Headcount!$C$13,0)</f>
        <v/>
      </c>
      <c r="O19" s="4">
        <f>IF(Headcount!$D$13&lt;=Timeline!O5,Headcount!$C$13,0)</f>
        <v/>
      </c>
      <c r="P19" s="4">
        <f>IF(Headcount!$D$13&lt;=Timeline!P5,Headcount!$C$13,0)</f>
        <v/>
      </c>
      <c r="Q19" s="4">
        <f>IF(Headcount!$D$13&lt;=Timeline!Q5,Headcount!$C$13,0)</f>
        <v/>
      </c>
      <c r="R19" s="4">
        <f>IF(Headcount!$D$13&lt;=Timeline!R5,Headcount!$C$13,0)</f>
        <v/>
      </c>
      <c r="S19" s="4">
        <f>IF(Headcount!$D$13&lt;=Timeline!S5,Headcount!$C$13,0)</f>
        <v/>
      </c>
      <c r="T19" s="4">
        <f>IF(Headcount!$D$13&lt;=Timeline!T5,Headcount!$C$13,0)</f>
        <v/>
      </c>
      <c r="U19" s="4">
        <f>IF(Headcount!$D$13&lt;=Timeline!U5,Headcount!$C$13,0)</f>
        <v/>
      </c>
      <c r="V19" s="4">
        <f>IF(Headcount!$D$13&lt;=Timeline!V5,Headcount!$C$13,0)</f>
        <v/>
      </c>
      <c r="W19" s="4">
        <f>IF(Headcount!$D$13&lt;=Timeline!W5,Headcount!$C$13,0)</f>
        <v/>
      </c>
      <c r="X19" s="4">
        <f>IF(Headcount!$D$13&lt;=Timeline!X5,Headcount!$C$13,0)</f>
        <v/>
      </c>
      <c r="Y19" s="4">
        <f>IF(Headcount!$D$13&lt;=Timeline!Y5,Headcount!$C$13,0)</f>
        <v/>
      </c>
      <c r="Z19" s="4">
        <f>IF(Headcount!$D$13&lt;=Timeline!Z5,Headcount!$C$13,0)</f>
        <v/>
      </c>
      <c r="AA19" s="4">
        <f>IF(Headcount!$D$13&lt;=Timeline!AA5,Headcount!$C$13,0)</f>
        <v/>
      </c>
      <c r="AB19" s="4">
        <f>IF(Headcount!$D$13&lt;=Timeline!AB5,Headcount!$C$13,0)</f>
        <v/>
      </c>
      <c r="AC19" s="4">
        <f>IF(Headcount!$D$13&lt;=DATE(2029,12,31),Headcount!$C$13,0)</f>
        <v/>
      </c>
      <c r="AD19" s="4">
        <f>IF(Headcount!$D$13&lt;=DATE(2030,12,31),Headcount!$C$13,0)</f>
        <v/>
      </c>
      <c r="AE19" s="4">
        <f>IF(Headcount!$D$13&lt;=DATE(2031,12,31),Headcount!$C$13,0)</f>
        <v/>
      </c>
      <c r="AG19" s="4">
        <f>D19</f>
        <v/>
      </c>
      <c r="AH19" s="4">
        <f>P19</f>
        <v/>
      </c>
      <c r="AI19" s="4">
        <f>AB19</f>
        <v/>
      </c>
      <c r="AJ19" s="4">
        <f>AC19</f>
        <v/>
      </c>
      <c r="AK19" s="4">
        <f>AD19</f>
        <v/>
      </c>
      <c r="AL19" s="4">
        <f>AE19</f>
        <v/>
      </c>
    </row>
    <row r="20">
      <c r="A20">
        <f>Headcount!A14</f>
        <v/>
      </c>
      <c r="B20" s="2">
        <f>Headcount!B14</f>
        <v/>
      </c>
      <c r="C20" s="4">
        <f>IF(Headcount!$D$14&lt;=Timeline!C5,Headcount!$C$14,0)</f>
        <v/>
      </c>
      <c r="D20" s="4">
        <f>IF(Headcount!$D$14&lt;=Timeline!D5,Headcount!$C$14,0)</f>
        <v/>
      </c>
      <c r="E20" s="4">
        <f>IF(Headcount!$D$14&lt;=Timeline!E5,Headcount!$C$14,0)</f>
        <v/>
      </c>
      <c r="F20" s="4">
        <f>IF(Headcount!$D$14&lt;=Timeline!F5,Headcount!$C$14,0)</f>
        <v/>
      </c>
      <c r="G20" s="4">
        <f>IF(Headcount!$D$14&lt;=Timeline!G5,Headcount!$C$14,0)</f>
        <v/>
      </c>
      <c r="H20" s="4">
        <f>IF(Headcount!$D$14&lt;=Timeline!H5,Headcount!$C$14,0)</f>
        <v/>
      </c>
      <c r="I20" s="4">
        <f>IF(Headcount!$D$14&lt;=Timeline!I5,Headcount!$C$14,0)</f>
        <v/>
      </c>
      <c r="J20" s="4">
        <f>IF(Headcount!$D$14&lt;=Timeline!J5,Headcount!$C$14,0)</f>
        <v/>
      </c>
      <c r="K20" s="4">
        <f>IF(Headcount!$D$14&lt;=Timeline!K5,Headcount!$C$14,0)</f>
        <v/>
      </c>
      <c r="L20" s="4">
        <f>IF(Headcount!$D$14&lt;=Timeline!L5,Headcount!$C$14,0)</f>
        <v/>
      </c>
      <c r="M20" s="4">
        <f>IF(Headcount!$D$14&lt;=Timeline!M5,Headcount!$C$14,0)</f>
        <v/>
      </c>
      <c r="N20" s="4">
        <f>IF(Headcount!$D$14&lt;=Timeline!N5,Headcount!$C$14,0)</f>
        <v/>
      </c>
      <c r="O20" s="4">
        <f>IF(Headcount!$D$14&lt;=Timeline!O5,Headcount!$C$14,0)</f>
        <v/>
      </c>
      <c r="P20" s="4">
        <f>IF(Headcount!$D$14&lt;=Timeline!P5,Headcount!$C$14,0)</f>
        <v/>
      </c>
      <c r="Q20" s="4">
        <f>IF(Headcount!$D$14&lt;=Timeline!Q5,Headcount!$C$14,0)</f>
        <v/>
      </c>
      <c r="R20" s="4">
        <f>IF(Headcount!$D$14&lt;=Timeline!R5,Headcount!$C$14,0)</f>
        <v/>
      </c>
      <c r="S20" s="4">
        <f>IF(Headcount!$D$14&lt;=Timeline!S5,Headcount!$C$14,0)</f>
        <v/>
      </c>
      <c r="T20" s="4">
        <f>IF(Headcount!$D$14&lt;=Timeline!T5,Headcount!$C$14,0)</f>
        <v/>
      </c>
      <c r="U20" s="4">
        <f>IF(Headcount!$D$14&lt;=Timeline!U5,Headcount!$C$14,0)</f>
        <v/>
      </c>
      <c r="V20" s="4">
        <f>IF(Headcount!$D$14&lt;=Timeline!V5,Headcount!$C$14,0)</f>
        <v/>
      </c>
      <c r="W20" s="4">
        <f>IF(Headcount!$D$14&lt;=Timeline!W5,Headcount!$C$14,0)</f>
        <v/>
      </c>
      <c r="X20" s="4">
        <f>IF(Headcount!$D$14&lt;=Timeline!X5,Headcount!$C$14,0)</f>
        <v/>
      </c>
      <c r="Y20" s="4">
        <f>IF(Headcount!$D$14&lt;=Timeline!Y5,Headcount!$C$14,0)</f>
        <v/>
      </c>
      <c r="Z20" s="4">
        <f>IF(Headcount!$D$14&lt;=Timeline!Z5,Headcount!$C$14,0)</f>
        <v/>
      </c>
      <c r="AA20" s="4">
        <f>IF(Headcount!$D$14&lt;=Timeline!AA5,Headcount!$C$14,0)</f>
        <v/>
      </c>
      <c r="AB20" s="4">
        <f>IF(Headcount!$D$14&lt;=Timeline!AB5,Headcount!$C$14,0)</f>
        <v/>
      </c>
      <c r="AC20" s="4">
        <f>IF(Headcount!$D$14&lt;=DATE(2029,12,31),Headcount!$C$14,0)</f>
        <v/>
      </c>
      <c r="AD20" s="4">
        <f>IF(Headcount!$D$14&lt;=DATE(2030,12,31),Headcount!$C$14,0)</f>
        <v/>
      </c>
      <c r="AE20" s="4">
        <f>IF(Headcount!$D$14&lt;=DATE(2031,12,31),Headcount!$C$14,0)</f>
        <v/>
      </c>
      <c r="AG20" s="4">
        <f>D20</f>
        <v/>
      </c>
      <c r="AH20" s="4">
        <f>P20</f>
        <v/>
      </c>
      <c r="AI20" s="4">
        <f>AB20</f>
        <v/>
      </c>
      <c r="AJ20" s="4">
        <f>AC20</f>
        <v/>
      </c>
      <c r="AK20" s="4">
        <f>AD20</f>
        <v/>
      </c>
      <c r="AL20" s="4">
        <f>AE20</f>
        <v/>
      </c>
    </row>
    <row r="21">
      <c r="A21">
        <f>Headcount!A15</f>
        <v/>
      </c>
      <c r="B21" s="2">
        <f>Headcount!B15</f>
        <v/>
      </c>
      <c r="C21" s="4">
        <f>IF(Headcount!$D$15&lt;=Timeline!C5,Headcount!$C$15,0)</f>
        <v/>
      </c>
      <c r="D21" s="4">
        <f>IF(Headcount!$D$15&lt;=Timeline!D5,Headcount!$C$15,0)</f>
        <v/>
      </c>
      <c r="E21" s="4">
        <f>IF(Headcount!$D$15&lt;=Timeline!E5,Headcount!$C$15,0)</f>
        <v/>
      </c>
      <c r="F21" s="4">
        <f>IF(Headcount!$D$15&lt;=Timeline!F5,Headcount!$C$15,0)</f>
        <v/>
      </c>
      <c r="G21" s="4">
        <f>IF(Headcount!$D$15&lt;=Timeline!G5,Headcount!$C$15,0)</f>
        <v/>
      </c>
      <c r="H21" s="4">
        <f>IF(Headcount!$D$15&lt;=Timeline!H5,Headcount!$C$15,0)</f>
        <v/>
      </c>
      <c r="I21" s="4">
        <f>IF(Headcount!$D$15&lt;=Timeline!I5,Headcount!$C$15,0)</f>
        <v/>
      </c>
      <c r="J21" s="4">
        <f>IF(Headcount!$D$15&lt;=Timeline!J5,Headcount!$C$15,0)</f>
        <v/>
      </c>
      <c r="K21" s="4">
        <f>IF(Headcount!$D$15&lt;=Timeline!K5,Headcount!$C$15,0)</f>
        <v/>
      </c>
      <c r="L21" s="4">
        <f>IF(Headcount!$D$15&lt;=Timeline!L5,Headcount!$C$15,0)</f>
        <v/>
      </c>
      <c r="M21" s="4">
        <f>IF(Headcount!$D$15&lt;=Timeline!M5,Headcount!$C$15,0)</f>
        <v/>
      </c>
      <c r="N21" s="4">
        <f>IF(Headcount!$D$15&lt;=Timeline!N5,Headcount!$C$15,0)</f>
        <v/>
      </c>
      <c r="O21" s="4">
        <f>IF(Headcount!$D$15&lt;=Timeline!O5,Headcount!$C$15,0)</f>
        <v/>
      </c>
      <c r="P21" s="4">
        <f>IF(Headcount!$D$15&lt;=Timeline!P5,Headcount!$C$15,0)</f>
        <v/>
      </c>
      <c r="Q21" s="4">
        <f>IF(Headcount!$D$15&lt;=Timeline!Q5,Headcount!$C$15,0)</f>
        <v/>
      </c>
      <c r="R21" s="4">
        <f>IF(Headcount!$D$15&lt;=Timeline!R5,Headcount!$C$15,0)</f>
        <v/>
      </c>
      <c r="S21" s="4">
        <f>IF(Headcount!$D$15&lt;=Timeline!S5,Headcount!$C$15,0)</f>
        <v/>
      </c>
      <c r="T21" s="4">
        <f>IF(Headcount!$D$15&lt;=Timeline!T5,Headcount!$C$15,0)</f>
        <v/>
      </c>
      <c r="U21" s="4">
        <f>IF(Headcount!$D$15&lt;=Timeline!U5,Headcount!$C$15,0)</f>
        <v/>
      </c>
      <c r="V21" s="4">
        <f>IF(Headcount!$D$15&lt;=Timeline!V5,Headcount!$C$15,0)</f>
        <v/>
      </c>
      <c r="W21" s="4">
        <f>IF(Headcount!$D$15&lt;=Timeline!W5,Headcount!$C$15,0)</f>
        <v/>
      </c>
      <c r="X21" s="4">
        <f>IF(Headcount!$D$15&lt;=Timeline!X5,Headcount!$C$15,0)</f>
        <v/>
      </c>
      <c r="Y21" s="4">
        <f>IF(Headcount!$D$15&lt;=Timeline!Y5,Headcount!$C$15,0)</f>
        <v/>
      </c>
      <c r="Z21" s="4">
        <f>IF(Headcount!$D$15&lt;=Timeline!Z5,Headcount!$C$15,0)</f>
        <v/>
      </c>
      <c r="AA21" s="4">
        <f>IF(Headcount!$D$15&lt;=Timeline!AA5,Headcount!$C$15,0)</f>
        <v/>
      </c>
      <c r="AB21" s="4">
        <f>IF(Headcount!$D$15&lt;=Timeline!AB5,Headcount!$C$15,0)</f>
        <v/>
      </c>
      <c r="AC21" s="4">
        <f>IF(Headcount!$D$15&lt;=DATE(2029,12,31),Headcount!$C$15,0)</f>
        <v/>
      </c>
      <c r="AD21" s="4">
        <f>IF(Headcount!$D$15&lt;=DATE(2030,12,31),Headcount!$C$15,0)</f>
        <v/>
      </c>
      <c r="AE21" s="4">
        <f>IF(Headcount!$D$15&lt;=DATE(2031,12,31),Headcount!$C$15,0)</f>
        <v/>
      </c>
      <c r="AG21" s="4">
        <f>D21</f>
        <v/>
      </c>
      <c r="AH21" s="4">
        <f>P21</f>
        <v/>
      </c>
      <c r="AI21" s="4">
        <f>AB21</f>
        <v/>
      </c>
      <c r="AJ21" s="4">
        <f>AC21</f>
        <v/>
      </c>
      <c r="AK21" s="4">
        <f>AD21</f>
        <v/>
      </c>
      <c r="AL21" s="4">
        <f>AE21</f>
        <v/>
      </c>
    </row>
    <row r="22">
      <c r="A22">
        <f>Headcount!A16</f>
        <v/>
      </c>
      <c r="B22" s="2">
        <f>Headcount!B16</f>
        <v/>
      </c>
      <c r="C22" s="4">
        <f>IF(Headcount!$D$16&lt;=Timeline!C5,Headcount!$C$16,0)</f>
        <v/>
      </c>
      <c r="D22" s="4">
        <f>IF(Headcount!$D$16&lt;=Timeline!D5,Headcount!$C$16,0)</f>
        <v/>
      </c>
      <c r="E22" s="4">
        <f>IF(Headcount!$D$16&lt;=Timeline!E5,Headcount!$C$16,0)</f>
        <v/>
      </c>
      <c r="F22" s="4">
        <f>IF(Headcount!$D$16&lt;=Timeline!F5,Headcount!$C$16,0)</f>
        <v/>
      </c>
      <c r="G22" s="4">
        <f>IF(Headcount!$D$16&lt;=Timeline!G5,Headcount!$C$16,0)</f>
        <v/>
      </c>
      <c r="H22" s="4">
        <f>IF(Headcount!$D$16&lt;=Timeline!H5,Headcount!$C$16,0)</f>
        <v/>
      </c>
      <c r="I22" s="4">
        <f>IF(Headcount!$D$16&lt;=Timeline!I5,Headcount!$C$16,0)</f>
        <v/>
      </c>
      <c r="J22" s="4">
        <f>IF(Headcount!$D$16&lt;=Timeline!J5,Headcount!$C$16,0)</f>
        <v/>
      </c>
      <c r="K22" s="4">
        <f>IF(Headcount!$D$16&lt;=Timeline!K5,Headcount!$C$16,0)</f>
        <v/>
      </c>
      <c r="L22" s="4">
        <f>IF(Headcount!$D$16&lt;=Timeline!L5,Headcount!$C$16,0)</f>
        <v/>
      </c>
      <c r="M22" s="4">
        <f>IF(Headcount!$D$16&lt;=Timeline!M5,Headcount!$C$16,0)</f>
        <v/>
      </c>
      <c r="N22" s="4">
        <f>IF(Headcount!$D$16&lt;=Timeline!N5,Headcount!$C$16,0)</f>
        <v/>
      </c>
      <c r="O22" s="4">
        <f>IF(Headcount!$D$16&lt;=Timeline!O5,Headcount!$C$16,0)</f>
        <v/>
      </c>
      <c r="P22" s="4">
        <f>IF(Headcount!$D$16&lt;=Timeline!P5,Headcount!$C$16,0)</f>
        <v/>
      </c>
      <c r="Q22" s="4">
        <f>IF(Headcount!$D$16&lt;=Timeline!Q5,Headcount!$C$16,0)</f>
        <v/>
      </c>
      <c r="R22" s="4">
        <f>IF(Headcount!$D$16&lt;=Timeline!R5,Headcount!$C$16,0)</f>
        <v/>
      </c>
      <c r="S22" s="4">
        <f>IF(Headcount!$D$16&lt;=Timeline!S5,Headcount!$C$16,0)</f>
        <v/>
      </c>
      <c r="T22" s="4">
        <f>IF(Headcount!$D$16&lt;=Timeline!T5,Headcount!$C$16,0)</f>
        <v/>
      </c>
      <c r="U22" s="4">
        <f>IF(Headcount!$D$16&lt;=Timeline!U5,Headcount!$C$16,0)</f>
        <v/>
      </c>
      <c r="V22" s="4">
        <f>IF(Headcount!$D$16&lt;=Timeline!V5,Headcount!$C$16,0)</f>
        <v/>
      </c>
      <c r="W22" s="4">
        <f>IF(Headcount!$D$16&lt;=Timeline!W5,Headcount!$C$16,0)</f>
        <v/>
      </c>
      <c r="X22" s="4">
        <f>IF(Headcount!$D$16&lt;=Timeline!X5,Headcount!$C$16,0)</f>
        <v/>
      </c>
      <c r="Y22" s="4">
        <f>IF(Headcount!$D$16&lt;=Timeline!Y5,Headcount!$C$16,0)</f>
        <v/>
      </c>
      <c r="Z22" s="4">
        <f>IF(Headcount!$D$16&lt;=Timeline!Z5,Headcount!$C$16,0)</f>
        <v/>
      </c>
      <c r="AA22" s="4">
        <f>IF(Headcount!$D$16&lt;=Timeline!AA5,Headcount!$C$16,0)</f>
        <v/>
      </c>
      <c r="AB22" s="4">
        <f>IF(Headcount!$D$16&lt;=Timeline!AB5,Headcount!$C$16,0)</f>
        <v/>
      </c>
      <c r="AC22" s="4">
        <f>IF(Headcount!$D$16&lt;=DATE(2029,12,31),Headcount!$C$16,0)</f>
        <v/>
      </c>
      <c r="AD22" s="4">
        <f>IF(Headcount!$D$16&lt;=DATE(2030,12,31),Headcount!$C$16,0)</f>
        <v/>
      </c>
      <c r="AE22" s="4">
        <f>IF(Headcount!$D$16&lt;=DATE(2031,12,31),Headcount!$C$16,0)</f>
        <v/>
      </c>
      <c r="AG22" s="4">
        <f>D22</f>
        <v/>
      </c>
      <c r="AH22" s="4">
        <f>P22</f>
        <v/>
      </c>
      <c r="AI22" s="4">
        <f>AB22</f>
        <v/>
      </c>
      <c r="AJ22" s="4">
        <f>AC22</f>
        <v/>
      </c>
      <c r="AK22" s="4">
        <f>AD22</f>
        <v/>
      </c>
      <c r="AL22" s="4">
        <f>AE22</f>
        <v/>
      </c>
    </row>
    <row r="23">
      <c r="A23">
        <f>Headcount!A17</f>
        <v/>
      </c>
      <c r="B23" s="2">
        <f>Headcount!B17</f>
        <v/>
      </c>
      <c r="C23" s="4">
        <f>IF(Headcount!$D$17&lt;=Timeline!C5,Headcount!$C$17,0)</f>
        <v/>
      </c>
      <c r="D23" s="4">
        <f>IF(Headcount!$D$17&lt;=Timeline!D5,Headcount!$C$17,0)</f>
        <v/>
      </c>
      <c r="E23" s="4">
        <f>IF(Headcount!$D$17&lt;=Timeline!E5,Headcount!$C$17,0)</f>
        <v/>
      </c>
      <c r="F23" s="4">
        <f>IF(Headcount!$D$17&lt;=Timeline!F5,Headcount!$C$17,0)</f>
        <v/>
      </c>
      <c r="G23" s="4">
        <f>IF(Headcount!$D$17&lt;=Timeline!G5,Headcount!$C$17,0)</f>
        <v/>
      </c>
      <c r="H23" s="4">
        <f>IF(Headcount!$D$17&lt;=Timeline!H5,Headcount!$C$17,0)</f>
        <v/>
      </c>
      <c r="I23" s="4">
        <f>IF(Headcount!$D$17&lt;=Timeline!I5,Headcount!$C$17,0)</f>
        <v/>
      </c>
      <c r="J23" s="4">
        <f>IF(Headcount!$D$17&lt;=Timeline!J5,Headcount!$C$17,0)</f>
        <v/>
      </c>
      <c r="K23" s="4">
        <f>IF(Headcount!$D$17&lt;=Timeline!K5,Headcount!$C$17,0)</f>
        <v/>
      </c>
      <c r="L23" s="4">
        <f>IF(Headcount!$D$17&lt;=Timeline!L5,Headcount!$C$17,0)</f>
        <v/>
      </c>
      <c r="M23" s="4">
        <f>IF(Headcount!$D$17&lt;=Timeline!M5,Headcount!$C$17,0)</f>
        <v/>
      </c>
      <c r="N23" s="4">
        <f>IF(Headcount!$D$17&lt;=Timeline!N5,Headcount!$C$17,0)</f>
        <v/>
      </c>
      <c r="O23" s="4">
        <f>IF(Headcount!$D$17&lt;=Timeline!O5,Headcount!$C$17,0)</f>
        <v/>
      </c>
      <c r="P23" s="4">
        <f>IF(Headcount!$D$17&lt;=Timeline!P5,Headcount!$C$17,0)</f>
        <v/>
      </c>
      <c r="Q23" s="4">
        <f>IF(Headcount!$D$17&lt;=Timeline!Q5,Headcount!$C$17,0)</f>
        <v/>
      </c>
      <c r="R23" s="4">
        <f>IF(Headcount!$D$17&lt;=Timeline!R5,Headcount!$C$17,0)</f>
        <v/>
      </c>
      <c r="S23" s="4">
        <f>IF(Headcount!$D$17&lt;=Timeline!S5,Headcount!$C$17,0)</f>
        <v/>
      </c>
      <c r="T23" s="4">
        <f>IF(Headcount!$D$17&lt;=Timeline!T5,Headcount!$C$17,0)</f>
        <v/>
      </c>
      <c r="U23" s="4">
        <f>IF(Headcount!$D$17&lt;=Timeline!U5,Headcount!$C$17,0)</f>
        <v/>
      </c>
      <c r="V23" s="4">
        <f>IF(Headcount!$D$17&lt;=Timeline!V5,Headcount!$C$17,0)</f>
        <v/>
      </c>
      <c r="W23" s="4">
        <f>IF(Headcount!$D$17&lt;=Timeline!W5,Headcount!$C$17,0)</f>
        <v/>
      </c>
      <c r="X23" s="4">
        <f>IF(Headcount!$D$17&lt;=Timeline!X5,Headcount!$C$17,0)</f>
        <v/>
      </c>
      <c r="Y23" s="4">
        <f>IF(Headcount!$D$17&lt;=Timeline!Y5,Headcount!$C$17,0)</f>
        <v/>
      </c>
      <c r="Z23" s="4">
        <f>IF(Headcount!$D$17&lt;=Timeline!Z5,Headcount!$C$17,0)</f>
        <v/>
      </c>
      <c r="AA23" s="4">
        <f>IF(Headcount!$D$17&lt;=Timeline!AA5,Headcount!$C$17,0)</f>
        <v/>
      </c>
      <c r="AB23" s="4">
        <f>IF(Headcount!$D$17&lt;=Timeline!AB5,Headcount!$C$17,0)</f>
        <v/>
      </c>
      <c r="AC23" s="4">
        <f>IF(Headcount!$D$17&lt;=DATE(2029,12,31),Headcount!$C$17,0)</f>
        <v/>
      </c>
      <c r="AD23" s="4">
        <f>IF(Headcount!$D$17&lt;=DATE(2030,12,31),Headcount!$C$17,0)</f>
        <v/>
      </c>
      <c r="AE23" s="4">
        <f>IF(Headcount!$D$17&lt;=DATE(2031,12,31),Headcount!$C$17,0)</f>
        <v/>
      </c>
      <c r="AG23" s="4">
        <f>D23</f>
        <v/>
      </c>
      <c r="AH23" s="4">
        <f>P23</f>
        <v/>
      </c>
      <c r="AI23" s="4">
        <f>AB23</f>
        <v/>
      </c>
      <c r="AJ23" s="4">
        <f>AC23</f>
        <v/>
      </c>
      <c r="AK23" s="4">
        <f>AD23</f>
        <v/>
      </c>
      <c r="AL23" s="4">
        <f>AE23</f>
        <v/>
      </c>
    </row>
    <row r="24">
      <c r="A24">
        <f>Headcount!A18</f>
        <v/>
      </c>
      <c r="B24" s="2">
        <f>Headcount!B18</f>
        <v/>
      </c>
      <c r="C24" s="4">
        <f>IF(Headcount!$D$18&lt;=Timeline!C5,Headcount!$C$18,0)</f>
        <v/>
      </c>
      <c r="D24" s="4">
        <f>IF(Headcount!$D$18&lt;=Timeline!D5,Headcount!$C$18,0)</f>
        <v/>
      </c>
      <c r="E24" s="4">
        <f>IF(Headcount!$D$18&lt;=Timeline!E5,Headcount!$C$18,0)</f>
        <v/>
      </c>
      <c r="F24" s="4">
        <f>IF(Headcount!$D$18&lt;=Timeline!F5,Headcount!$C$18,0)</f>
        <v/>
      </c>
      <c r="G24" s="4">
        <f>IF(Headcount!$D$18&lt;=Timeline!G5,Headcount!$C$18,0)</f>
        <v/>
      </c>
      <c r="H24" s="4">
        <f>IF(Headcount!$D$18&lt;=Timeline!H5,Headcount!$C$18,0)</f>
        <v/>
      </c>
      <c r="I24" s="4">
        <f>IF(Headcount!$D$18&lt;=Timeline!I5,Headcount!$C$18,0)</f>
        <v/>
      </c>
      <c r="J24" s="4">
        <f>IF(Headcount!$D$18&lt;=Timeline!J5,Headcount!$C$18,0)</f>
        <v/>
      </c>
      <c r="K24" s="4">
        <f>IF(Headcount!$D$18&lt;=Timeline!K5,Headcount!$C$18,0)</f>
        <v/>
      </c>
      <c r="L24" s="4">
        <f>IF(Headcount!$D$18&lt;=Timeline!L5,Headcount!$C$18,0)</f>
        <v/>
      </c>
      <c r="M24" s="4">
        <f>IF(Headcount!$D$18&lt;=Timeline!M5,Headcount!$C$18,0)</f>
        <v/>
      </c>
      <c r="N24" s="4">
        <f>IF(Headcount!$D$18&lt;=Timeline!N5,Headcount!$C$18,0)</f>
        <v/>
      </c>
      <c r="O24" s="4">
        <f>IF(Headcount!$D$18&lt;=Timeline!O5,Headcount!$C$18,0)</f>
        <v/>
      </c>
      <c r="P24" s="4">
        <f>IF(Headcount!$D$18&lt;=Timeline!P5,Headcount!$C$18,0)</f>
        <v/>
      </c>
      <c r="Q24" s="4">
        <f>IF(Headcount!$D$18&lt;=Timeline!Q5,Headcount!$C$18,0)</f>
        <v/>
      </c>
      <c r="R24" s="4">
        <f>IF(Headcount!$D$18&lt;=Timeline!R5,Headcount!$C$18,0)</f>
        <v/>
      </c>
      <c r="S24" s="4">
        <f>IF(Headcount!$D$18&lt;=Timeline!S5,Headcount!$C$18,0)</f>
        <v/>
      </c>
      <c r="T24" s="4">
        <f>IF(Headcount!$D$18&lt;=Timeline!T5,Headcount!$C$18,0)</f>
        <v/>
      </c>
      <c r="U24" s="4">
        <f>IF(Headcount!$D$18&lt;=Timeline!U5,Headcount!$C$18,0)</f>
        <v/>
      </c>
      <c r="V24" s="4">
        <f>IF(Headcount!$D$18&lt;=Timeline!V5,Headcount!$C$18,0)</f>
        <v/>
      </c>
      <c r="W24" s="4">
        <f>IF(Headcount!$D$18&lt;=Timeline!W5,Headcount!$C$18,0)</f>
        <v/>
      </c>
      <c r="X24" s="4">
        <f>IF(Headcount!$D$18&lt;=Timeline!X5,Headcount!$C$18,0)</f>
        <v/>
      </c>
      <c r="Y24" s="4">
        <f>IF(Headcount!$D$18&lt;=Timeline!Y5,Headcount!$C$18,0)</f>
        <v/>
      </c>
      <c r="Z24" s="4">
        <f>IF(Headcount!$D$18&lt;=Timeline!Z5,Headcount!$C$18,0)</f>
        <v/>
      </c>
      <c r="AA24" s="4">
        <f>IF(Headcount!$D$18&lt;=Timeline!AA5,Headcount!$C$18,0)</f>
        <v/>
      </c>
      <c r="AB24" s="4">
        <f>IF(Headcount!$D$18&lt;=Timeline!AB5,Headcount!$C$18,0)</f>
        <v/>
      </c>
      <c r="AC24" s="4">
        <f>IF(Headcount!$D$18&lt;=DATE(2029,12,31),Headcount!$C$18,0)</f>
        <v/>
      </c>
      <c r="AD24" s="4">
        <f>IF(Headcount!$D$18&lt;=DATE(2030,12,31),Headcount!$C$18,0)</f>
        <v/>
      </c>
      <c r="AE24" s="4">
        <f>IF(Headcount!$D$18&lt;=DATE(2031,12,31),Headcount!$C$18,0)</f>
        <v/>
      </c>
      <c r="AG24" s="4">
        <f>D24</f>
        <v/>
      </c>
      <c r="AH24" s="4">
        <f>P24</f>
        <v/>
      </c>
      <c r="AI24" s="4">
        <f>AB24</f>
        <v/>
      </c>
      <c r="AJ24" s="4">
        <f>AC24</f>
        <v/>
      </c>
      <c r="AK24" s="4">
        <f>AD24</f>
        <v/>
      </c>
      <c r="AL24" s="4">
        <f>AE24</f>
        <v/>
      </c>
    </row>
    <row r="25">
      <c r="A25">
        <f>Headcount!A19</f>
        <v/>
      </c>
      <c r="B25" s="2">
        <f>Headcount!B19</f>
        <v/>
      </c>
      <c r="C25" s="4">
        <f>IF(Headcount!$D$19&lt;=Timeline!C5,Headcount!$C$19,0)</f>
        <v/>
      </c>
      <c r="D25" s="4">
        <f>IF(Headcount!$D$19&lt;=Timeline!D5,Headcount!$C$19,0)</f>
        <v/>
      </c>
      <c r="E25" s="4">
        <f>IF(Headcount!$D$19&lt;=Timeline!E5,Headcount!$C$19,0)</f>
        <v/>
      </c>
      <c r="F25" s="4">
        <f>IF(Headcount!$D$19&lt;=Timeline!F5,Headcount!$C$19,0)</f>
        <v/>
      </c>
      <c r="G25" s="4">
        <f>IF(Headcount!$D$19&lt;=Timeline!G5,Headcount!$C$19,0)</f>
        <v/>
      </c>
      <c r="H25" s="4">
        <f>IF(Headcount!$D$19&lt;=Timeline!H5,Headcount!$C$19,0)</f>
        <v/>
      </c>
      <c r="I25" s="4">
        <f>IF(Headcount!$D$19&lt;=Timeline!I5,Headcount!$C$19,0)</f>
        <v/>
      </c>
      <c r="J25" s="4">
        <f>IF(Headcount!$D$19&lt;=Timeline!J5,Headcount!$C$19,0)</f>
        <v/>
      </c>
      <c r="K25" s="4">
        <f>IF(Headcount!$D$19&lt;=Timeline!K5,Headcount!$C$19,0)</f>
        <v/>
      </c>
      <c r="L25" s="4">
        <f>IF(Headcount!$D$19&lt;=Timeline!L5,Headcount!$C$19,0)</f>
        <v/>
      </c>
      <c r="M25" s="4">
        <f>IF(Headcount!$D$19&lt;=Timeline!M5,Headcount!$C$19,0)</f>
        <v/>
      </c>
      <c r="N25" s="4">
        <f>IF(Headcount!$D$19&lt;=Timeline!N5,Headcount!$C$19,0)</f>
        <v/>
      </c>
      <c r="O25" s="4">
        <f>IF(Headcount!$D$19&lt;=Timeline!O5,Headcount!$C$19,0)</f>
        <v/>
      </c>
      <c r="P25" s="4">
        <f>IF(Headcount!$D$19&lt;=Timeline!P5,Headcount!$C$19,0)</f>
        <v/>
      </c>
      <c r="Q25" s="4">
        <f>IF(Headcount!$D$19&lt;=Timeline!Q5,Headcount!$C$19,0)</f>
        <v/>
      </c>
      <c r="R25" s="4">
        <f>IF(Headcount!$D$19&lt;=Timeline!R5,Headcount!$C$19,0)</f>
        <v/>
      </c>
      <c r="S25" s="4">
        <f>IF(Headcount!$D$19&lt;=Timeline!S5,Headcount!$C$19,0)</f>
        <v/>
      </c>
      <c r="T25" s="4">
        <f>IF(Headcount!$D$19&lt;=Timeline!T5,Headcount!$C$19,0)</f>
        <v/>
      </c>
      <c r="U25" s="4">
        <f>IF(Headcount!$D$19&lt;=Timeline!U5,Headcount!$C$19,0)</f>
        <v/>
      </c>
      <c r="V25" s="4">
        <f>IF(Headcount!$D$19&lt;=Timeline!V5,Headcount!$C$19,0)</f>
        <v/>
      </c>
      <c r="W25" s="4">
        <f>IF(Headcount!$D$19&lt;=Timeline!W5,Headcount!$C$19,0)</f>
        <v/>
      </c>
      <c r="X25" s="4">
        <f>IF(Headcount!$D$19&lt;=Timeline!X5,Headcount!$C$19,0)</f>
        <v/>
      </c>
      <c r="Y25" s="4">
        <f>IF(Headcount!$D$19&lt;=Timeline!Y5,Headcount!$C$19,0)</f>
        <v/>
      </c>
      <c r="Z25" s="4">
        <f>IF(Headcount!$D$19&lt;=Timeline!Z5,Headcount!$C$19,0)</f>
        <v/>
      </c>
      <c r="AA25" s="4">
        <f>IF(Headcount!$D$19&lt;=Timeline!AA5,Headcount!$C$19,0)</f>
        <v/>
      </c>
      <c r="AB25" s="4">
        <f>IF(Headcount!$D$19&lt;=Timeline!AB5,Headcount!$C$19,0)</f>
        <v/>
      </c>
      <c r="AC25" s="4">
        <f>IF(Headcount!$D$19&lt;=DATE(2029,12,31),Headcount!$C$19,0)</f>
        <v/>
      </c>
      <c r="AD25" s="4">
        <f>IF(Headcount!$D$19&lt;=DATE(2030,12,31),Headcount!$C$19,0)</f>
        <v/>
      </c>
      <c r="AE25" s="4">
        <f>IF(Headcount!$D$19&lt;=DATE(2031,12,31),Headcount!$C$19,0)</f>
        <v/>
      </c>
      <c r="AG25" s="4">
        <f>D25</f>
        <v/>
      </c>
      <c r="AH25" s="4">
        <f>P25</f>
        <v/>
      </c>
      <c r="AI25" s="4">
        <f>AB25</f>
        <v/>
      </c>
      <c r="AJ25" s="4">
        <f>AC25</f>
        <v/>
      </c>
      <c r="AK25" s="4">
        <f>AD25</f>
        <v/>
      </c>
      <c r="AL25" s="4">
        <f>AE25</f>
        <v/>
      </c>
    </row>
    <row r="26">
      <c r="A26">
        <f>Headcount!A20</f>
        <v/>
      </c>
      <c r="B26" s="2">
        <f>Headcount!B20</f>
        <v/>
      </c>
      <c r="C26" s="4">
        <f>IF(Headcount!$D$20&lt;=Timeline!C5,Headcount!$C$20,0)</f>
        <v/>
      </c>
      <c r="D26" s="4">
        <f>IF(Headcount!$D$20&lt;=Timeline!D5,Headcount!$C$20,0)</f>
        <v/>
      </c>
      <c r="E26" s="4">
        <f>IF(Headcount!$D$20&lt;=Timeline!E5,Headcount!$C$20,0)</f>
        <v/>
      </c>
      <c r="F26" s="4">
        <f>IF(Headcount!$D$20&lt;=Timeline!F5,Headcount!$C$20,0)</f>
        <v/>
      </c>
      <c r="G26" s="4">
        <f>IF(Headcount!$D$20&lt;=Timeline!G5,Headcount!$C$20,0)</f>
        <v/>
      </c>
      <c r="H26" s="4">
        <f>IF(Headcount!$D$20&lt;=Timeline!H5,Headcount!$C$20,0)</f>
        <v/>
      </c>
      <c r="I26" s="4">
        <f>IF(Headcount!$D$20&lt;=Timeline!I5,Headcount!$C$20,0)</f>
        <v/>
      </c>
      <c r="J26" s="4">
        <f>IF(Headcount!$D$20&lt;=Timeline!J5,Headcount!$C$20,0)</f>
        <v/>
      </c>
      <c r="K26" s="4">
        <f>IF(Headcount!$D$20&lt;=Timeline!K5,Headcount!$C$20,0)</f>
        <v/>
      </c>
      <c r="L26" s="4">
        <f>IF(Headcount!$D$20&lt;=Timeline!L5,Headcount!$C$20,0)</f>
        <v/>
      </c>
      <c r="M26" s="4">
        <f>IF(Headcount!$D$20&lt;=Timeline!M5,Headcount!$C$20,0)</f>
        <v/>
      </c>
      <c r="N26" s="4">
        <f>IF(Headcount!$D$20&lt;=Timeline!N5,Headcount!$C$20,0)</f>
        <v/>
      </c>
      <c r="O26" s="4">
        <f>IF(Headcount!$D$20&lt;=Timeline!O5,Headcount!$C$20,0)</f>
        <v/>
      </c>
      <c r="P26" s="4">
        <f>IF(Headcount!$D$20&lt;=Timeline!P5,Headcount!$C$20,0)</f>
        <v/>
      </c>
      <c r="Q26" s="4">
        <f>IF(Headcount!$D$20&lt;=Timeline!Q5,Headcount!$C$20,0)</f>
        <v/>
      </c>
      <c r="R26" s="4">
        <f>IF(Headcount!$D$20&lt;=Timeline!R5,Headcount!$C$20,0)</f>
        <v/>
      </c>
      <c r="S26" s="4">
        <f>IF(Headcount!$D$20&lt;=Timeline!S5,Headcount!$C$20,0)</f>
        <v/>
      </c>
      <c r="T26" s="4">
        <f>IF(Headcount!$D$20&lt;=Timeline!T5,Headcount!$C$20,0)</f>
        <v/>
      </c>
      <c r="U26" s="4">
        <f>IF(Headcount!$D$20&lt;=Timeline!U5,Headcount!$C$20,0)</f>
        <v/>
      </c>
      <c r="V26" s="4">
        <f>IF(Headcount!$D$20&lt;=Timeline!V5,Headcount!$C$20,0)</f>
        <v/>
      </c>
      <c r="W26" s="4">
        <f>IF(Headcount!$D$20&lt;=Timeline!W5,Headcount!$C$20,0)</f>
        <v/>
      </c>
      <c r="X26" s="4">
        <f>IF(Headcount!$D$20&lt;=Timeline!X5,Headcount!$C$20,0)</f>
        <v/>
      </c>
      <c r="Y26" s="4">
        <f>IF(Headcount!$D$20&lt;=Timeline!Y5,Headcount!$C$20,0)</f>
        <v/>
      </c>
      <c r="Z26" s="4">
        <f>IF(Headcount!$D$20&lt;=Timeline!Z5,Headcount!$C$20,0)</f>
        <v/>
      </c>
      <c r="AA26" s="4">
        <f>IF(Headcount!$D$20&lt;=Timeline!AA5,Headcount!$C$20,0)</f>
        <v/>
      </c>
      <c r="AB26" s="4">
        <f>IF(Headcount!$D$20&lt;=Timeline!AB5,Headcount!$C$20,0)</f>
        <v/>
      </c>
      <c r="AC26" s="4">
        <f>IF(Headcount!$D$20&lt;=DATE(2029,12,31),Headcount!$C$20,0)</f>
        <v/>
      </c>
      <c r="AD26" s="4">
        <f>IF(Headcount!$D$20&lt;=DATE(2030,12,31),Headcount!$C$20,0)</f>
        <v/>
      </c>
      <c r="AE26" s="4">
        <f>IF(Headcount!$D$20&lt;=DATE(2031,12,31),Headcount!$C$20,0)</f>
        <v/>
      </c>
      <c r="AG26" s="4">
        <f>D26</f>
        <v/>
      </c>
      <c r="AH26" s="4">
        <f>P26</f>
        <v/>
      </c>
      <c r="AI26" s="4">
        <f>AB26</f>
        <v/>
      </c>
      <c r="AJ26" s="4">
        <f>AC26</f>
        <v/>
      </c>
      <c r="AK26" s="4">
        <f>AD26</f>
        <v/>
      </c>
      <c r="AL26" s="4">
        <f>AE26</f>
        <v/>
      </c>
    </row>
    <row r="27">
      <c r="A27">
        <f>Headcount!A21</f>
        <v/>
      </c>
      <c r="B27" s="2">
        <f>Headcount!B21</f>
        <v/>
      </c>
      <c r="C27" s="4">
        <f>IF(Headcount!$D$21&lt;=Timeline!C5,Headcount!$C$21,0)</f>
        <v/>
      </c>
      <c r="D27" s="4">
        <f>IF(Headcount!$D$21&lt;=Timeline!D5,Headcount!$C$21,0)</f>
        <v/>
      </c>
      <c r="E27" s="4">
        <f>IF(Headcount!$D$21&lt;=Timeline!E5,Headcount!$C$21,0)</f>
        <v/>
      </c>
      <c r="F27" s="4">
        <f>IF(Headcount!$D$21&lt;=Timeline!F5,Headcount!$C$21,0)</f>
        <v/>
      </c>
      <c r="G27" s="4">
        <f>IF(Headcount!$D$21&lt;=Timeline!G5,Headcount!$C$21,0)</f>
        <v/>
      </c>
      <c r="H27" s="4">
        <f>IF(Headcount!$D$21&lt;=Timeline!H5,Headcount!$C$21,0)</f>
        <v/>
      </c>
      <c r="I27" s="4">
        <f>IF(Headcount!$D$21&lt;=Timeline!I5,Headcount!$C$21,0)</f>
        <v/>
      </c>
      <c r="J27" s="4">
        <f>IF(Headcount!$D$21&lt;=Timeline!J5,Headcount!$C$21,0)</f>
        <v/>
      </c>
      <c r="K27" s="4">
        <f>IF(Headcount!$D$21&lt;=Timeline!K5,Headcount!$C$21,0)</f>
        <v/>
      </c>
      <c r="L27" s="4">
        <f>IF(Headcount!$D$21&lt;=Timeline!L5,Headcount!$C$21,0)</f>
        <v/>
      </c>
      <c r="M27" s="4">
        <f>IF(Headcount!$D$21&lt;=Timeline!M5,Headcount!$C$21,0)</f>
        <v/>
      </c>
      <c r="N27" s="4">
        <f>IF(Headcount!$D$21&lt;=Timeline!N5,Headcount!$C$21,0)</f>
        <v/>
      </c>
      <c r="O27" s="4">
        <f>IF(Headcount!$D$21&lt;=Timeline!O5,Headcount!$C$21,0)</f>
        <v/>
      </c>
      <c r="P27" s="4">
        <f>IF(Headcount!$D$21&lt;=Timeline!P5,Headcount!$C$21,0)</f>
        <v/>
      </c>
      <c r="Q27" s="4">
        <f>IF(Headcount!$D$21&lt;=Timeline!Q5,Headcount!$C$21,0)</f>
        <v/>
      </c>
      <c r="R27" s="4">
        <f>IF(Headcount!$D$21&lt;=Timeline!R5,Headcount!$C$21,0)</f>
        <v/>
      </c>
      <c r="S27" s="4">
        <f>IF(Headcount!$D$21&lt;=Timeline!S5,Headcount!$C$21,0)</f>
        <v/>
      </c>
      <c r="T27" s="4">
        <f>IF(Headcount!$D$21&lt;=Timeline!T5,Headcount!$C$21,0)</f>
        <v/>
      </c>
      <c r="U27" s="4">
        <f>IF(Headcount!$D$21&lt;=Timeline!U5,Headcount!$C$21,0)</f>
        <v/>
      </c>
      <c r="V27" s="4">
        <f>IF(Headcount!$D$21&lt;=Timeline!V5,Headcount!$C$21,0)</f>
        <v/>
      </c>
      <c r="W27" s="4">
        <f>IF(Headcount!$D$21&lt;=Timeline!W5,Headcount!$C$21,0)</f>
        <v/>
      </c>
      <c r="X27" s="4">
        <f>IF(Headcount!$D$21&lt;=Timeline!X5,Headcount!$C$21,0)</f>
        <v/>
      </c>
      <c r="Y27" s="4">
        <f>IF(Headcount!$D$21&lt;=Timeline!Y5,Headcount!$C$21,0)</f>
        <v/>
      </c>
      <c r="Z27" s="4">
        <f>IF(Headcount!$D$21&lt;=Timeline!Z5,Headcount!$C$21,0)</f>
        <v/>
      </c>
      <c r="AA27" s="4">
        <f>IF(Headcount!$D$21&lt;=Timeline!AA5,Headcount!$C$21,0)</f>
        <v/>
      </c>
      <c r="AB27" s="4">
        <f>IF(Headcount!$D$21&lt;=Timeline!AB5,Headcount!$C$21,0)</f>
        <v/>
      </c>
      <c r="AC27" s="4">
        <f>IF(Headcount!$D$21&lt;=DATE(2029,12,31),Headcount!$C$21,0)</f>
        <v/>
      </c>
      <c r="AD27" s="4">
        <f>IF(Headcount!$D$21&lt;=DATE(2030,12,31),Headcount!$C$21,0)</f>
        <v/>
      </c>
      <c r="AE27" s="4">
        <f>IF(Headcount!$D$21&lt;=DATE(2031,12,31),Headcount!$C$21,0)</f>
        <v/>
      </c>
      <c r="AG27" s="4">
        <f>D27</f>
        <v/>
      </c>
      <c r="AH27" s="4">
        <f>P27</f>
        <v/>
      </c>
      <c r="AI27" s="4">
        <f>AB27</f>
        <v/>
      </c>
      <c r="AJ27" s="4">
        <f>AC27</f>
        <v/>
      </c>
      <c r="AK27" s="4">
        <f>AD27</f>
        <v/>
      </c>
      <c r="AL27" s="4">
        <f>AE27</f>
        <v/>
      </c>
    </row>
    <row r="28">
      <c r="A28">
        <f>Headcount!A22</f>
        <v/>
      </c>
      <c r="B28" s="2">
        <f>Headcount!B22</f>
        <v/>
      </c>
      <c r="C28" s="4">
        <f>IF(Headcount!$D$22&lt;=Timeline!C5,Headcount!$C$22,0)</f>
        <v/>
      </c>
      <c r="D28" s="4">
        <f>IF(Headcount!$D$22&lt;=Timeline!D5,Headcount!$C$22,0)</f>
        <v/>
      </c>
      <c r="E28" s="4">
        <f>IF(Headcount!$D$22&lt;=Timeline!E5,Headcount!$C$22,0)</f>
        <v/>
      </c>
      <c r="F28" s="4">
        <f>IF(Headcount!$D$22&lt;=Timeline!F5,Headcount!$C$22,0)</f>
        <v/>
      </c>
      <c r="G28" s="4">
        <f>IF(Headcount!$D$22&lt;=Timeline!G5,Headcount!$C$22,0)</f>
        <v/>
      </c>
      <c r="H28" s="4">
        <f>IF(Headcount!$D$22&lt;=Timeline!H5,Headcount!$C$22,0)</f>
        <v/>
      </c>
      <c r="I28" s="4">
        <f>IF(Headcount!$D$22&lt;=Timeline!I5,Headcount!$C$22,0)</f>
        <v/>
      </c>
      <c r="J28" s="4">
        <f>IF(Headcount!$D$22&lt;=Timeline!J5,Headcount!$C$22,0)</f>
        <v/>
      </c>
      <c r="K28" s="4">
        <f>IF(Headcount!$D$22&lt;=Timeline!K5,Headcount!$C$22,0)</f>
        <v/>
      </c>
      <c r="L28" s="4">
        <f>IF(Headcount!$D$22&lt;=Timeline!L5,Headcount!$C$22,0)</f>
        <v/>
      </c>
      <c r="M28" s="4">
        <f>IF(Headcount!$D$22&lt;=Timeline!M5,Headcount!$C$22,0)</f>
        <v/>
      </c>
      <c r="N28" s="4">
        <f>IF(Headcount!$D$22&lt;=Timeline!N5,Headcount!$C$22,0)</f>
        <v/>
      </c>
      <c r="O28" s="4">
        <f>IF(Headcount!$D$22&lt;=Timeline!O5,Headcount!$C$22,0)</f>
        <v/>
      </c>
      <c r="P28" s="4">
        <f>IF(Headcount!$D$22&lt;=Timeline!P5,Headcount!$C$22,0)</f>
        <v/>
      </c>
      <c r="Q28" s="4">
        <f>IF(Headcount!$D$22&lt;=Timeline!Q5,Headcount!$C$22,0)</f>
        <v/>
      </c>
      <c r="R28" s="4">
        <f>IF(Headcount!$D$22&lt;=Timeline!R5,Headcount!$C$22,0)</f>
        <v/>
      </c>
      <c r="S28" s="4">
        <f>IF(Headcount!$D$22&lt;=Timeline!S5,Headcount!$C$22,0)</f>
        <v/>
      </c>
      <c r="T28" s="4">
        <f>IF(Headcount!$D$22&lt;=Timeline!T5,Headcount!$C$22,0)</f>
        <v/>
      </c>
      <c r="U28" s="4">
        <f>IF(Headcount!$D$22&lt;=Timeline!U5,Headcount!$C$22,0)</f>
        <v/>
      </c>
      <c r="V28" s="4">
        <f>IF(Headcount!$D$22&lt;=Timeline!V5,Headcount!$C$22,0)</f>
        <v/>
      </c>
      <c r="W28" s="4">
        <f>IF(Headcount!$D$22&lt;=Timeline!W5,Headcount!$C$22,0)</f>
        <v/>
      </c>
      <c r="X28" s="4">
        <f>IF(Headcount!$D$22&lt;=Timeline!X5,Headcount!$C$22,0)</f>
        <v/>
      </c>
      <c r="Y28" s="4">
        <f>IF(Headcount!$D$22&lt;=Timeline!Y5,Headcount!$C$22,0)</f>
        <v/>
      </c>
      <c r="Z28" s="4">
        <f>IF(Headcount!$D$22&lt;=Timeline!Z5,Headcount!$C$22,0)</f>
        <v/>
      </c>
      <c r="AA28" s="4">
        <f>IF(Headcount!$D$22&lt;=Timeline!AA5,Headcount!$C$22,0)</f>
        <v/>
      </c>
      <c r="AB28" s="4">
        <f>IF(Headcount!$D$22&lt;=Timeline!AB5,Headcount!$C$22,0)</f>
        <v/>
      </c>
      <c r="AC28" s="4">
        <f>IF(Headcount!$D$22&lt;=DATE(2029,12,31),Headcount!$C$22,0)</f>
        <v/>
      </c>
      <c r="AD28" s="4">
        <f>IF(Headcount!$D$22&lt;=DATE(2030,12,31),Headcount!$C$22,0)</f>
        <v/>
      </c>
      <c r="AE28" s="4">
        <f>IF(Headcount!$D$22&lt;=DATE(2031,12,31),Headcount!$C$22,0)</f>
        <v/>
      </c>
      <c r="AG28" s="4">
        <f>D28</f>
        <v/>
      </c>
      <c r="AH28" s="4">
        <f>P28</f>
        <v/>
      </c>
      <c r="AI28" s="4">
        <f>AB28</f>
        <v/>
      </c>
      <c r="AJ28" s="4">
        <f>AC28</f>
        <v/>
      </c>
      <c r="AK28" s="4">
        <f>AD28</f>
        <v/>
      </c>
      <c r="AL28" s="4">
        <f>AE28</f>
        <v/>
      </c>
    </row>
    <row r="29">
      <c r="A29">
        <f>Headcount!A23</f>
        <v/>
      </c>
      <c r="B29" s="2">
        <f>Headcount!B23</f>
        <v/>
      </c>
      <c r="C29" s="4">
        <f>IF(Headcount!$D$23&lt;=Timeline!C5,Headcount!$C$23,0)</f>
        <v/>
      </c>
      <c r="D29" s="4">
        <f>IF(Headcount!$D$23&lt;=Timeline!D5,Headcount!$C$23,0)</f>
        <v/>
      </c>
      <c r="E29" s="4">
        <f>IF(Headcount!$D$23&lt;=Timeline!E5,Headcount!$C$23,0)</f>
        <v/>
      </c>
      <c r="F29" s="4">
        <f>IF(Headcount!$D$23&lt;=Timeline!F5,Headcount!$C$23,0)</f>
        <v/>
      </c>
      <c r="G29" s="4">
        <f>IF(Headcount!$D$23&lt;=Timeline!G5,Headcount!$C$23,0)</f>
        <v/>
      </c>
      <c r="H29" s="4">
        <f>IF(Headcount!$D$23&lt;=Timeline!H5,Headcount!$C$23,0)</f>
        <v/>
      </c>
      <c r="I29" s="4">
        <f>IF(Headcount!$D$23&lt;=Timeline!I5,Headcount!$C$23,0)</f>
        <v/>
      </c>
      <c r="J29" s="4">
        <f>IF(Headcount!$D$23&lt;=Timeline!J5,Headcount!$C$23,0)</f>
        <v/>
      </c>
      <c r="K29" s="4">
        <f>IF(Headcount!$D$23&lt;=Timeline!K5,Headcount!$C$23,0)</f>
        <v/>
      </c>
      <c r="L29" s="4">
        <f>IF(Headcount!$D$23&lt;=Timeline!L5,Headcount!$C$23,0)</f>
        <v/>
      </c>
      <c r="M29" s="4">
        <f>IF(Headcount!$D$23&lt;=Timeline!M5,Headcount!$C$23,0)</f>
        <v/>
      </c>
      <c r="N29" s="4">
        <f>IF(Headcount!$D$23&lt;=Timeline!N5,Headcount!$C$23,0)</f>
        <v/>
      </c>
      <c r="O29" s="4">
        <f>IF(Headcount!$D$23&lt;=Timeline!O5,Headcount!$C$23,0)</f>
        <v/>
      </c>
      <c r="P29" s="4">
        <f>IF(Headcount!$D$23&lt;=Timeline!P5,Headcount!$C$23,0)</f>
        <v/>
      </c>
      <c r="Q29" s="4">
        <f>IF(Headcount!$D$23&lt;=Timeline!Q5,Headcount!$C$23,0)</f>
        <v/>
      </c>
      <c r="R29" s="4">
        <f>IF(Headcount!$D$23&lt;=Timeline!R5,Headcount!$C$23,0)</f>
        <v/>
      </c>
      <c r="S29" s="4">
        <f>IF(Headcount!$D$23&lt;=Timeline!S5,Headcount!$C$23,0)</f>
        <v/>
      </c>
      <c r="T29" s="4">
        <f>IF(Headcount!$D$23&lt;=Timeline!T5,Headcount!$C$23,0)</f>
        <v/>
      </c>
      <c r="U29" s="4">
        <f>IF(Headcount!$D$23&lt;=Timeline!U5,Headcount!$C$23,0)</f>
        <v/>
      </c>
      <c r="V29" s="4">
        <f>IF(Headcount!$D$23&lt;=Timeline!V5,Headcount!$C$23,0)</f>
        <v/>
      </c>
      <c r="W29" s="4">
        <f>IF(Headcount!$D$23&lt;=Timeline!W5,Headcount!$C$23,0)</f>
        <v/>
      </c>
      <c r="X29" s="4">
        <f>IF(Headcount!$D$23&lt;=Timeline!X5,Headcount!$C$23,0)</f>
        <v/>
      </c>
      <c r="Y29" s="4">
        <f>IF(Headcount!$D$23&lt;=Timeline!Y5,Headcount!$C$23,0)</f>
        <v/>
      </c>
      <c r="Z29" s="4">
        <f>IF(Headcount!$D$23&lt;=Timeline!Z5,Headcount!$C$23,0)</f>
        <v/>
      </c>
      <c r="AA29" s="4">
        <f>IF(Headcount!$D$23&lt;=Timeline!AA5,Headcount!$C$23,0)</f>
        <v/>
      </c>
      <c r="AB29" s="4">
        <f>IF(Headcount!$D$23&lt;=Timeline!AB5,Headcount!$C$23,0)</f>
        <v/>
      </c>
      <c r="AC29" s="4">
        <f>IF(Headcount!$D$23&lt;=DATE(2029,12,31),Headcount!$C$23,0)</f>
        <v/>
      </c>
      <c r="AD29" s="4">
        <f>IF(Headcount!$D$23&lt;=DATE(2030,12,31),Headcount!$C$23,0)</f>
        <v/>
      </c>
      <c r="AE29" s="4">
        <f>IF(Headcount!$D$23&lt;=DATE(2031,12,31),Headcount!$C$23,0)</f>
        <v/>
      </c>
      <c r="AG29" s="4">
        <f>D29</f>
        <v/>
      </c>
      <c r="AH29" s="4">
        <f>P29</f>
        <v/>
      </c>
      <c r="AI29" s="4">
        <f>AB29</f>
        <v/>
      </c>
      <c r="AJ29" s="4">
        <f>AC29</f>
        <v/>
      </c>
      <c r="AK29" s="4">
        <f>AD29</f>
        <v/>
      </c>
      <c r="AL29" s="4">
        <f>AE29</f>
        <v/>
      </c>
    </row>
    <row r="30">
      <c r="A30">
        <f>Headcount!A24</f>
        <v/>
      </c>
      <c r="B30" s="2">
        <f>Headcount!B24</f>
        <v/>
      </c>
      <c r="C30" s="4">
        <f>IF(Headcount!$D$24&lt;=Timeline!C5,Headcount!$C$24,0)</f>
        <v/>
      </c>
      <c r="D30" s="4">
        <f>IF(Headcount!$D$24&lt;=Timeline!D5,Headcount!$C$24,0)</f>
        <v/>
      </c>
      <c r="E30" s="4">
        <f>IF(Headcount!$D$24&lt;=Timeline!E5,Headcount!$C$24,0)</f>
        <v/>
      </c>
      <c r="F30" s="4">
        <f>IF(Headcount!$D$24&lt;=Timeline!F5,Headcount!$C$24,0)</f>
        <v/>
      </c>
      <c r="G30" s="4">
        <f>IF(Headcount!$D$24&lt;=Timeline!G5,Headcount!$C$24,0)</f>
        <v/>
      </c>
      <c r="H30" s="4">
        <f>IF(Headcount!$D$24&lt;=Timeline!H5,Headcount!$C$24,0)</f>
        <v/>
      </c>
      <c r="I30" s="4">
        <f>IF(Headcount!$D$24&lt;=Timeline!I5,Headcount!$C$24,0)</f>
        <v/>
      </c>
      <c r="J30" s="4">
        <f>IF(Headcount!$D$24&lt;=Timeline!J5,Headcount!$C$24,0)</f>
        <v/>
      </c>
      <c r="K30" s="4">
        <f>IF(Headcount!$D$24&lt;=Timeline!K5,Headcount!$C$24,0)</f>
        <v/>
      </c>
      <c r="L30" s="4">
        <f>IF(Headcount!$D$24&lt;=Timeline!L5,Headcount!$C$24,0)</f>
        <v/>
      </c>
      <c r="M30" s="4">
        <f>IF(Headcount!$D$24&lt;=Timeline!M5,Headcount!$C$24,0)</f>
        <v/>
      </c>
      <c r="N30" s="4">
        <f>IF(Headcount!$D$24&lt;=Timeline!N5,Headcount!$C$24,0)</f>
        <v/>
      </c>
      <c r="O30" s="4">
        <f>IF(Headcount!$D$24&lt;=Timeline!O5,Headcount!$C$24,0)</f>
        <v/>
      </c>
      <c r="P30" s="4">
        <f>IF(Headcount!$D$24&lt;=Timeline!P5,Headcount!$C$24,0)</f>
        <v/>
      </c>
      <c r="Q30" s="4">
        <f>IF(Headcount!$D$24&lt;=Timeline!Q5,Headcount!$C$24,0)</f>
        <v/>
      </c>
      <c r="R30" s="4">
        <f>IF(Headcount!$D$24&lt;=Timeline!R5,Headcount!$C$24,0)</f>
        <v/>
      </c>
      <c r="S30" s="4">
        <f>IF(Headcount!$D$24&lt;=Timeline!S5,Headcount!$C$24,0)</f>
        <v/>
      </c>
      <c r="T30" s="4">
        <f>IF(Headcount!$D$24&lt;=Timeline!T5,Headcount!$C$24,0)</f>
        <v/>
      </c>
      <c r="U30" s="4">
        <f>IF(Headcount!$D$24&lt;=Timeline!U5,Headcount!$C$24,0)</f>
        <v/>
      </c>
      <c r="V30" s="4">
        <f>IF(Headcount!$D$24&lt;=Timeline!V5,Headcount!$C$24,0)</f>
        <v/>
      </c>
      <c r="W30" s="4">
        <f>IF(Headcount!$D$24&lt;=Timeline!W5,Headcount!$C$24,0)</f>
        <v/>
      </c>
      <c r="X30" s="4">
        <f>IF(Headcount!$D$24&lt;=Timeline!X5,Headcount!$C$24,0)</f>
        <v/>
      </c>
      <c r="Y30" s="4">
        <f>IF(Headcount!$D$24&lt;=Timeline!Y5,Headcount!$C$24,0)</f>
        <v/>
      </c>
      <c r="Z30" s="4">
        <f>IF(Headcount!$D$24&lt;=Timeline!Z5,Headcount!$C$24,0)</f>
        <v/>
      </c>
      <c r="AA30" s="4">
        <f>IF(Headcount!$D$24&lt;=Timeline!AA5,Headcount!$C$24,0)</f>
        <v/>
      </c>
      <c r="AB30" s="4">
        <f>IF(Headcount!$D$24&lt;=Timeline!AB5,Headcount!$C$24,0)</f>
        <v/>
      </c>
      <c r="AC30" s="4">
        <f>IF(Headcount!$D$24&lt;=DATE(2029,12,31),Headcount!$C$24,0)</f>
        <v/>
      </c>
      <c r="AD30" s="4">
        <f>IF(Headcount!$D$24&lt;=DATE(2030,12,31),Headcount!$C$24,0)</f>
        <v/>
      </c>
      <c r="AE30" s="4">
        <f>IF(Headcount!$D$24&lt;=DATE(2031,12,31),Headcount!$C$24,0)</f>
        <v/>
      </c>
      <c r="AG30" s="4">
        <f>D30</f>
        <v/>
      </c>
      <c r="AH30" s="4">
        <f>P30</f>
        <v/>
      </c>
      <c r="AI30" s="4">
        <f>AB30</f>
        <v/>
      </c>
      <c r="AJ30" s="4">
        <f>AC30</f>
        <v/>
      </c>
      <c r="AK30" s="4">
        <f>AD30</f>
        <v/>
      </c>
      <c r="AL30" s="4">
        <f>AE30</f>
        <v/>
      </c>
    </row>
    <row r="31">
      <c r="A31">
        <f>Headcount!A25</f>
        <v/>
      </c>
      <c r="B31" s="2">
        <f>Headcount!B25</f>
        <v/>
      </c>
      <c r="C31" s="4">
        <f>IF(Headcount!$D$25&lt;=Timeline!C5,Headcount!$C$25,0)</f>
        <v/>
      </c>
      <c r="D31" s="4">
        <f>IF(Headcount!$D$25&lt;=Timeline!D5,Headcount!$C$25,0)</f>
        <v/>
      </c>
      <c r="E31" s="4">
        <f>IF(Headcount!$D$25&lt;=Timeline!E5,Headcount!$C$25,0)</f>
        <v/>
      </c>
      <c r="F31" s="4">
        <f>IF(Headcount!$D$25&lt;=Timeline!F5,Headcount!$C$25,0)</f>
        <v/>
      </c>
      <c r="G31" s="4">
        <f>IF(Headcount!$D$25&lt;=Timeline!G5,Headcount!$C$25,0)</f>
        <v/>
      </c>
      <c r="H31" s="4">
        <f>IF(Headcount!$D$25&lt;=Timeline!H5,Headcount!$C$25,0)</f>
        <v/>
      </c>
      <c r="I31" s="4">
        <f>IF(Headcount!$D$25&lt;=Timeline!I5,Headcount!$C$25,0)</f>
        <v/>
      </c>
      <c r="J31" s="4">
        <f>IF(Headcount!$D$25&lt;=Timeline!J5,Headcount!$C$25,0)</f>
        <v/>
      </c>
      <c r="K31" s="4">
        <f>IF(Headcount!$D$25&lt;=Timeline!K5,Headcount!$C$25,0)</f>
        <v/>
      </c>
      <c r="L31" s="4">
        <f>IF(Headcount!$D$25&lt;=Timeline!L5,Headcount!$C$25,0)</f>
        <v/>
      </c>
      <c r="M31" s="4">
        <f>IF(Headcount!$D$25&lt;=Timeline!M5,Headcount!$C$25,0)</f>
        <v/>
      </c>
      <c r="N31" s="4">
        <f>IF(Headcount!$D$25&lt;=Timeline!N5,Headcount!$C$25,0)</f>
        <v/>
      </c>
      <c r="O31" s="4">
        <f>IF(Headcount!$D$25&lt;=Timeline!O5,Headcount!$C$25,0)</f>
        <v/>
      </c>
      <c r="P31" s="4">
        <f>IF(Headcount!$D$25&lt;=Timeline!P5,Headcount!$C$25,0)</f>
        <v/>
      </c>
      <c r="Q31" s="4">
        <f>IF(Headcount!$D$25&lt;=Timeline!Q5,Headcount!$C$25,0)</f>
        <v/>
      </c>
      <c r="R31" s="4">
        <f>IF(Headcount!$D$25&lt;=Timeline!R5,Headcount!$C$25,0)</f>
        <v/>
      </c>
      <c r="S31" s="4">
        <f>IF(Headcount!$D$25&lt;=Timeline!S5,Headcount!$C$25,0)</f>
        <v/>
      </c>
      <c r="T31" s="4">
        <f>IF(Headcount!$D$25&lt;=Timeline!T5,Headcount!$C$25,0)</f>
        <v/>
      </c>
      <c r="U31" s="4">
        <f>IF(Headcount!$D$25&lt;=Timeline!U5,Headcount!$C$25,0)</f>
        <v/>
      </c>
      <c r="V31" s="4">
        <f>IF(Headcount!$D$25&lt;=Timeline!V5,Headcount!$C$25,0)</f>
        <v/>
      </c>
      <c r="W31" s="4">
        <f>IF(Headcount!$D$25&lt;=Timeline!W5,Headcount!$C$25,0)</f>
        <v/>
      </c>
      <c r="X31" s="4">
        <f>IF(Headcount!$D$25&lt;=Timeline!X5,Headcount!$C$25,0)</f>
        <v/>
      </c>
      <c r="Y31" s="4">
        <f>IF(Headcount!$D$25&lt;=Timeline!Y5,Headcount!$C$25,0)</f>
        <v/>
      </c>
      <c r="Z31" s="4">
        <f>IF(Headcount!$D$25&lt;=Timeline!Z5,Headcount!$C$25,0)</f>
        <v/>
      </c>
      <c r="AA31" s="4">
        <f>IF(Headcount!$D$25&lt;=Timeline!AA5,Headcount!$C$25,0)</f>
        <v/>
      </c>
      <c r="AB31" s="4">
        <f>IF(Headcount!$D$25&lt;=Timeline!AB5,Headcount!$C$25,0)</f>
        <v/>
      </c>
      <c r="AC31" s="4">
        <f>IF(Headcount!$D$25&lt;=DATE(2029,12,31),Headcount!$C$25,0)</f>
        <v/>
      </c>
      <c r="AD31" s="4">
        <f>IF(Headcount!$D$25&lt;=DATE(2030,12,31),Headcount!$C$25,0)</f>
        <v/>
      </c>
      <c r="AE31" s="4">
        <f>IF(Headcount!$D$25&lt;=DATE(2031,12,31),Headcount!$C$25,0)</f>
        <v/>
      </c>
      <c r="AG31" s="4">
        <f>D31</f>
        <v/>
      </c>
      <c r="AH31" s="4">
        <f>P31</f>
        <v/>
      </c>
      <c r="AI31" s="4">
        <f>AB31</f>
        <v/>
      </c>
      <c r="AJ31" s="4">
        <f>AC31</f>
        <v/>
      </c>
      <c r="AK31" s="4">
        <f>AD31</f>
        <v/>
      </c>
      <c r="AL31" s="4">
        <f>AE31</f>
        <v/>
      </c>
    </row>
    <row r="32">
      <c r="A32">
        <f>Headcount!A26</f>
        <v/>
      </c>
      <c r="B32" s="2">
        <f>Headcount!B26</f>
        <v/>
      </c>
      <c r="C32" s="4">
        <f>IF(Headcount!$D$26&lt;=Timeline!C5,Headcount!$C$26,0)</f>
        <v/>
      </c>
      <c r="D32" s="4">
        <f>IF(Headcount!$D$26&lt;=Timeline!D5,Headcount!$C$26,0)</f>
        <v/>
      </c>
      <c r="E32" s="4">
        <f>IF(Headcount!$D$26&lt;=Timeline!E5,Headcount!$C$26,0)</f>
        <v/>
      </c>
      <c r="F32" s="4">
        <f>IF(Headcount!$D$26&lt;=Timeline!F5,Headcount!$C$26,0)</f>
        <v/>
      </c>
      <c r="G32" s="4">
        <f>IF(Headcount!$D$26&lt;=Timeline!G5,Headcount!$C$26,0)</f>
        <v/>
      </c>
      <c r="H32" s="4">
        <f>IF(Headcount!$D$26&lt;=Timeline!H5,Headcount!$C$26,0)</f>
        <v/>
      </c>
      <c r="I32" s="4">
        <f>IF(Headcount!$D$26&lt;=Timeline!I5,Headcount!$C$26,0)</f>
        <v/>
      </c>
      <c r="J32" s="4">
        <f>IF(Headcount!$D$26&lt;=Timeline!J5,Headcount!$C$26,0)</f>
        <v/>
      </c>
      <c r="K32" s="4">
        <f>IF(Headcount!$D$26&lt;=Timeline!K5,Headcount!$C$26,0)</f>
        <v/>
      </c>
      <c r="L32" s="4">
        <f>IF(Headcount!$D$26&lt;=Timeline!L5,Headcount!$C$26,0)</f>
        <v/>
      </c>
      <c r="M32" s="4">
        <f>IF(Headcount!$D$26&lt;=Timeline!M5,Headcount!$C$26,0)</f>
        <v/>
      </c>
      <c r="N32" s="4">
        <f>IF(Headcount!$D$26&lt;=Timeline!N5,Headcount!$C$26,0)</f>
        <v/>
      </c>
      <c r="O32" s="4">
        <f>IF(Headcount!$D$26&lt;=Timeline!O5,Headcount!$C$26,0)</f>
        <v/>
      </c>
      <c r="P32" s="4">
        <f>IF(Headcount!$D$26&lt;=Timeline!P5,Headcount!$C$26,0)</f>
        <v/>
      </c>
      <c r="Q32" s="4">
        <f>IF(Headcount!$D$26&lt;=Timeline!Q5,Headcount!$C$26,0)</f>
        <v/>
      </c>
      <c r="R32" s="4">
        <f>IF(Headcount!$D$26&lt;=Timeline!R5,Headcount!$C$26,0)</f>
        <v/>
      </c>
      <c r="S32" s="4">
        <f>IF(Headcount!$D$26&lt;=Timeline!S5,Headcount!$C$26,0)</f>
        <v/>
      </c>
      <c r="T32" s="4">
        <f>IF(Headcount!$D$26&lt;=Timeline!T5,Headcount!$C$26,0)</f>
        <v/>
      </c>
      <c r="U32" s="4">
        <f>IF(Headcount!$D$26&lt;=Timeline!U5,Headcount!$C$26,0)</f>
        <v/>
      </c>
      <c r="V32" s="4">
        <f>IF(Headcount!$D$26&lt;=Timeline!V5,Headcount!$C$26,0)</f>
        <v/>
      </c>
      <c r="W32" s="4">
        <f>IF(Headcount!$D$26&lt;=Timeline!W5,Headcount!$C$26,0)</f>
        <v/>
      </c>
      <c r="X32" s="4">
        <f>IF(Headcount!$D$26&lt;=Timeline!X5,Headcount!$C$26,0)</f>
        <v/>
      </c>
      <c r="Y32" s="4">
        <f>IF(Headcount!$D$26&lt;=Timeline!Y5,Headcount!$C$26,0)</f>
        <v/>
      </c>
      <c r="Z32" s="4">
        <f>IF(Headcount!$D$26&lt;=Timeline!Z5,Headcount!$C$26,0)</f>
        <v/>
      </c>
      <c r="AA32" s="4">
        <f>IF(Headcount!$D$26&lt;=Timeline!AA5,Headcount!$C$26,0)</f>
        <v/>
      </c>
      <c r="AB32" s="4">
        <f>IF(Headcount!$D$26&lt;=Timeline!AB5,Headcount!$C$26,0)</f>
        <v/>
      </c>
      <c r="AC32" s="4">
        <f>IF(Headcount!$D$26&lt;=DATE(2029,12,31),Headcount!$C$26,0)</f>
        <v/>
      </c>
      <c r="AD32" s="4">
        <f>IF(Headcount!$D$26&lt;=DATE(2030,12,31),Headcount!$C$26,0)</f>
        <v/>
      </c>
      <c r="AE32" s="4">
        <f>IF(Headcount!$D$26&lt;=DATE(2031,12,31),Headcount!$C$26,0)</f>
        <v/>
      </c>
      <c r="AG32" s="4">
        <f>D32</f>
        <v/>
      </c>
      <c r="AH32" s="4">
        <f>P32</f>
        <v/>
      </c>
      <c r="AI32" s="4">
        <f>AB32</f>
        <v/>
      </c>
      <c r="AJ32" s="4">
        <f>AC32</f>
        <v/>
      </c>
      <c r="AK32" s="4">
        <f>AD32</f>
        <v/>
      </c>
      <c r="AL32" s="4">
        <f>AE32</f>
        <v/>
      </c>
    </row>
    <row r="33">
      <c r="A33">
        <f>Headcount!A27</f>
        <v/>
      </c>
      <c r="B33" s="2">
        <f>Headcount!B27</f>
        <v/>
      </c>
      <c r="C33" s="4">
        <f>IF(Headcount!$D$27&lt;=Timeline!C5,Headcount!$C$27,0)</f>
        <v/>
      </c>
      <c r="D33" s="4">
        <f>IF(Headcount!$D$27&lt;=Timeline!D5,Headcount!$C$27,0)</f>
        <v/>
      </c>
      <c r="E33" s="4">
        <f>IF(Headcount!$D$27&lt;=Timeline!E5,Headcount!$C$27,0)</f>
        <v/>
      </c>
      <c r="F33" s="4">
        <f>IF(Headcount!$D$27&lt;=Timeline!F5,Headcount!$C$27,0)</f>
        <v/>
      </c>
      <c r="G33" s="4">
        <f>IF(Headcount!$D$27&lt;=Timeline!G5,Headcount!$C$27,0)</f>
        <v/>
      </c>
      <c r="H33" s="4">
        <f>IF(Headcount!$D$27&lt;=Timeline!H5,Headcount!$C$27,0)</f>
        <v/>
      </c>
      <c r="I33" s="4">
        <f>IF(Headcount!$D$27&lt;=Timeline!I5,Headcount!$C$27,0)</f>
        <v/>
      </c>
      <c r="J33" s="4">
        <f>IF(Headcount!$D$27&lt;=Timeline!J5,Headcount!$C$27,0)</f>
        <v/>
      </c>
      <c r="K33" s="4">
        <f>IF(Headcount!$D$27&lt;=Timeline!K5,Headcount!$C$27,0)</f>
        <v/>
      </c>
      <c r="L33" s="4">
        <f>IF(Headcount!$D$27&lt;=Timeline!L5,Headcount!$C$27,0)</f>
        <v/>
      </c>
      <c r="M33" s="4">
        <f>IF(Headcount!$D$27&lt;=Timeline!M5,Headcount!$C$27,0)</f>
        <v/>
      </c>
      <c r="N33" s="4">
        <f>IF(Headcount!$D$27&lt;=Timeline!N5,Headcount!$C$27,0)</f>
        <v/>
      </c>
      <c r="O33" s="4">
        <f>IF(Headcount!$D$27&lt;=Timeline!O5,Headcount!$C$27,0)</f>
        <v/>
      </c>
      <c r="P33" s="4">
        <f>IF(Headcount!$D$27&lt;=Timeline!P5,Headcount!$C$27,0)</f>
        <v/>
      </c>
      <c r="Q33" s="4">
        <f>IF(Headcount!$D$27&lt;=Timeline!Q5,Headcount!$C$27,0)</f>
        <v/>
      </c>
      <c r="R33" s="4">
        <f>IF(Headcount!$D$27&lt;=Timeline!R5,Headcount!$C$27,0)</f>
        <v/>
      </c>
      <c r="S33" s="4">
        <f>IF(Headcount!$D$27&lt;=Timeline!S5,Headcount!$C$27,0)</f>
        <v/>
      </c>
      <c r="T33" s="4">
        <f>IF(Headcount!$D$27&lt;=Timeline!T5,Headcount!$C$27,0)</f>
        <v/>
      </c>
      <c r="U33" s="4">
        <f>IF(Headcount!$D$27&lt;=Timeline!U5,Headcount!$C$27,0)</f>
        <v/>
      </c>
      <c r="V33" s="4">
        <f>IF(Headcount!$D$27&lt;=Timeline!V5,Headcount!$C$27,0)</f>
        <v/>
      </c>
      <c r="W33" s="4">
        <f>IF(Headcount!$D$27&lt;=Timeline!W5,Headcount!$C$27,0)</f>
        <v/>
      </c>
      <c r="X33" s="4">
        <f>IF(Headcount!$D$27&lt;=Timeline!X5,Headcount!$C$27,0)</f>
        <v/>
      </c>
      <c r="Y33" s="4">
        <f>IF(Headcount!$D$27&lt;=Timeline!Y5,Headcount!$C$27,0)</f>
        <v/>
      </c>
      <c r="Z33" s="4">
        <f>IF(Headcount!$D$27&lt;=Timeline!Z5,Headcount!$C$27,0)</f>
        <v/>
      </c>
      <c r="AA33" s="4">
        <f>IF(Headcount!$D$27&lt;=Timeline!AA5,Headcount!$C$27,0)</f>
        <v/>
      </c>
      <c r="AB33" s="4">
        <f>IF(Headcount!$D$27&lt;=Timeline!AB5,Headcount!$C$27,0)</f>
        <v/>
      </c>
      <c r="AC33" s="4">
        <f>IF(Headcount!$D$27&lt;=DATE(2029,12,31),Headcount!$C$27,0)</f>
        <v/>
      </c>
      <c r="AD33" s="4">
        <f>IF(Headcount!$D$27&lt;=DATE(2030,12,31),Headcount!$C$27,0)</f>
        <v/>
      </c>
      <c r="AE33" s="4">
        <f>IF(Headcount!$D$27&lt;=DATE(2031,12,31),Headcount!$C$27,0)</f>
        <v/>
      </c>
      <c r="AG33" s="4">
        <f>D33</f>
        <v/>
      </c>
      <c r="AH33" s="4">
        <f>P33</f>
        <v/>
      </c>
      <c r="AI33" s="4">
        <f>AB33</f>
        <v/>
      </c>
      <c r="AJ33" s="4">
        <f>AC33</f>
        <v/>
      </c>
      <c r="AK33" s="4">
        <f>AD33</f>
        <v/>
      </c>
      <c r="AL33" s="4">
        <f>AE33</f>
        <v/>
      </c>
    </row>
    <row r="34">
      <c r="A34">
        <f>Headcount!A28</f>
        <v/>
      </c>
      <c r="B34" s="2">
        <f>Headcount!B28</f>
        <v/>
      </c>
      <c r="C34" s="4">
        <f>IF(Headcount!$D$28&lt;=Timeline!C5,Headcount!$C$28,0)</f>
        <v/>
      </c>
      <c r="D34" s="4">
        <f>IF(Headcount!$D$28&lt;=Timeline!D5,Headcount!$C$28,0)</f>
        <v/>
      </c>
      <c r="E34" s="4">
        <f>IF(Headcount!$D$28&lt;=Timeline!E5,Headcount!$C$28,0)</f>
        <v/>
      </c>
      <c r="F34" s="4">
        <f>IF(Headcount!$D$28&lt;=Timeline!F5,Headcount!$C$28,0)</f>
        <v/>
      </c>
      <c r="G34" s="4">
        <f>IF(Headcount!$D$28&lt;=Timeline!G5,Headcount!$C$28,0)</f>
        <v/>
      </c>
      <c r="H34" s="4">
        <f>IF(Headcount!$D$28&lt;=Timeline!H5,Headcount!$C$28,0)</f>
        <v/>
      </c>
      <c r="I34" s="4">
        <f>IF(Headcount!$D$28&lt;=Timeline!I5,Headcount!$C$28,0)</f>
        <v/>
      </c>
      <c r="J34" s="4">
        <f>IF(Headcount!$D$28&lt;=Timeline!J5,Headcount!$C$28,0)</f>
        <v/>
      </c>
      <c r="K34" s="4">
        <f>IF(Headcount!$D$28&lt;=Timeline!K5,Headcount!$C$28,0)</f>
        <v/>
      </c>
      <c r="L34" s="4">
        <f>IF(Headcount!$D$28&lt;=Timeline!L5,Headcount!$C$28,0)</f>
        <v/>
      </c>
      <c r="M34" s="4">
        <f>IF(Headcount!$D$28&lt;=Timeline!M5,Headcount!$C$28,0)</f>
        <v/>
      </c>
      <c r="N34" s="4">
        <f>IF(Headcount!$D$28&lt;=Timeline!N5,Headcount!$C$28,0)</f>
        <v/>
      </c>
      <c r="O34" s="4">
        <f>IF(Headcount!$D$28&lt;=Timeline!O5,Headcount!$C$28,0)</f>
        <v/>
      </c>
      <c r="P34" s="4">
        <f>IF(Headcount!$D$28&lt;=Timeline!P5,Headcount!$C$28,0)</f>
        <v/>
      </c>
      <c r="Q34" s="4">
        <f>IF(Headcount!$D$28&lt;=Timeline!Q5,Headcount!$C$28,0)</f>
        <v/>
      </c>
      <c r="R34" s="4">
        <f>IF(Headcount!$D$28&lt;=Timeline!R5,Headcount!$C$28,0)</f>
        <v/>
      </c>
      <c r="S34" s="4">
        <f>IF(Headcount!$D$28&lt;=Timeline!S5,Headcount!$C$28,0)</f>
        <v/>
      </c>
      <c r="T34" s="4">
        <f>IF(Headcount!$D$28&lt;=Timeline!T5,Headcount!$C$28,0)</f>
        <v/>
      </c>
      <c r="U34" s="4">
        <f>IF(Headcount!$D$28&lt;=Timeline!U5,Headcount!$C$28,0)</f>
        <v/>
      </c>
      <c r="V34" s="4">
        <f>IF(Headcount!$D$28&lt;=Timeline!V5,Headcount!$C$28,0)</f>
        <v/>
      </c>
      <c r="W34" s="4">
        <f>IF(Headcount!$D$28&lt;=Timeline!W5,Headcount!$C$28,0)</f>
        <v/>
      </c>
      <c r="X34" s="4">
        <f>IF(Headcount!$D$28&lt;=Timeline!X5,Headcount!$C$28,0)</f>
        <v/>
      </c>
      <c r="Y34" s="4">
        <f>IF(Headcount!$D$28&lt;=Timeline!Y5,Headcount!$C$28,0)</f>
        <v/>
      </c>
      <c r="Z34" s="4">
        <f>IF(Headcount!$D$28&lt;=Timeline!Z5,Headcount!$C$28,0)</f>
        <v/>
      </c>
      <c r="AA34" s="4">
        <f>IF(Headcount!$D$28&lt;=Timeline!AA5,Headcount!$C$28,0)</f>
        <v/>
      </c>
      <c r="AB34" s="4">
        <f>IF(Headcount!$D$28&lt;=Timeline!AB5,Headcount!$C$28,0)</f>
        <v/>
      </c>
      <c r="AC34" s="4">
        <f>IF(Headcount!$D$28&lt;=DATE(2029,12,31),Headcount!$C$28,0)</f>
        <v/>
      </c>
      <c r="AD34" s="4">
        <f>IF(Headcount!$D$28&lt;=DATE(2030,12,31),Headcount!$C$28,0)</f>
        <v/>
      </c>
      <c r="AE34" s="4">
        <f>IF(Headcount!$D$28&lt;=DATE(2031,12,31),Headcount!$C$28,0)</f>
        <v/>
      </c>
      <c r="AG34" s="4">
        <f>D34</f>
        <v/>
      </c>
      <c r="AH34" s="4">
        <f>P34</f>
        <v/>
      </c>
      <c r="AI34" s="4">
        <f>AB34</f>
        <v/>
      </c>
      <c r="AJ34" s="4">
        <f>AC34</f>
        <v/>
      </c>
      <c r="AK34" s="4">
        <f>AD34</f>
        <v/>
      </c>
      <c r="AL34" s="4">
        <f>AE34</f>
        <v/>
      </c>
    </row>
    <row r="35">
      <c r="A35">
        <f>Headcount!A29</f>
        <v/>
      </c>
      <c r="B35" s="2">
        <f>Headcount!B29</f>
        <v/>
      </c>
      <c r="C35" s="4">
        <f>IF(Headcount!$D$29&lt;=Timeline!C5,Headcount!$C$29,0)</f>
        <v/>
      </c>
      <c r="D35" s="4">
        <f>IF(Headcount!$D$29&lt;=Timeline!D5,Headcount!$C$29,0)</f>
        <v/>
      </c>
      <c r="E35" s="4">
        <f>IF(Headcount!$D$29&lt;=Timeline!E5,Headcount!$C$29,0)</f>
        <v/>
      </c>
      <c r="F35" s="4">
        <f>IF(Headcount!$D$29&lt;=Timeline!F5,Headcount!$C$29,0)</f>
        <v/>
      </c>
      <c r="G35" s="4">
        <f>IF(Headcount!$D$29&lt;=Timeline!G5,Headcount!$C$29,0)</f>
        <v/>
      </c>
      <c r="H35" s="4">
        <f>IF(Headcount!$D$29&lt;=Timeline!H5,Headcount!$C$29,0)</f>
        <v/>
      </c>
      <c r="I35" s="4">
        <f>IF(Headcount!$D$29&lt;=Timeline!I5,Headcount!$C$29,0)</f>
        <v/>
      </c>
      <c r="J35" s="4">
        <f>IF(Headcount!$D$29&lt;=Timeline!J5,Headcount!$C$29,0)</f>
        <v/>
      </c>
      <c r="K35" s="4">
        <f>IF(Headcount!$D$29&lt;=Timeline!K5,Headcount!$C$29,0)</f>
        <v/>
      </c>
      <c r="L35" s="4">
        <f>IF(Headcount!$D$29&lt;=Timeline!L5,Headcount!$C$29,0)</f>
        <v/>
      </c>
      <c r="M35" s="4">
        <f>IF(Headcount!$D$29&lt;=Timeline!M5,Headcount!$C$29,0)</f>
        <v/>
      </c>
      <c r="N35" s="4">
        <f>IF(Headcount!$D$29&lt;=Timeline!N5,Headcount!$C$29,0)</f>
        <v/>
      </c>
      <c r="O35" s="4">
        <f>IF(Headcount!$D$29&lt;=Timeline!O5,Headcount!$C$29,0)</f>
        <v/>
      </c>
      <c r="P35" s="4">
        <f>IF(Headcount!$D$29&lt;=Timeline!P5,Headcount!$C$29,0)</f>
        <v/>
      </c>
      <c r="Q35" s="4">
        <f>IF(Headcount!$D$29&lt;=Timeline!Q5,Headcount!$C$29,0)</f>
        <v/>
      </c>
      <c r="R35" s="4">
        <f>IF(Headcount!$D$29&lt;=Timeline!R5,Headcount!$C$29,0)</f>
        <v/>
      </c>
      <c r="S35" s="4">
        <f>IF(Headcount!$D$29&lt;=Timeline!S5,Headcount!$C$29,0)</f>
        <v/>
      </c>
      <c r="T35" s="4">
        <f>IF(Headcount!$D$29&lt;=Timeline!T5,Headcount!$C$29,0)</f>
        <v/>
      </c>
      <c r="U35" s="4">
        <f>IF(Headcount!$D$29&lt;=Timeline!U5,Headcount!$C$29,0)</f>
        <v/>
      </c>
      <c r="V35" s="4">
        <f>IF(Headcount!$D$29&lt;=Timeline!V5,Headcount!$C$29,0)</f>
        <v/>
      </c>
      <c r="W35" s="4">
        <f>IF(Headcount!$D$29&lt;=Timeline!W5,Headcount!$C$29,0)</f>
        <v/>
      </c>
      <c r="X35" s="4">
        <f>IF(Headcount!$D$29&lt;=Timeline!X5,Headcount!$C$29,0)</f>
        <v/>
      </c>
      <c r="Y35" s="4">
        <f>IF(Headcount!$D$29&lt;=Timeline!Y5,Headcount!$C$29,0)</f>
        <v/>
      </c>
      <c r="Z35" s="4">
        <f>IF(Headcount!$D$29&lt;=Timeline!Z5,Headcount!$C$29,0)</f>
        <v/>
      </c>
      <c r="AA35" s="4">
        <f>IF(Headcount!$D$29&lt;=Timeline!AA5,Headcount!$C$29,0)</f>
        <v/>
      </c>
      <c r="AB35" s="4">
        <f>IF(Headcount!$D$29&lt;=Timeline!AB5,Headcount!$C$29,0)</f>
        <v/>
      </c>
      <c r="AC35" s="4">
        <f>IF(Headcount!$D$29&lt;=DATE(2029,12,31),Headcount!$C$29,0)</f>
        <v/>
      </c>
      <c r="AD35" s="4">
        <f>IF(Headcount!$D$29&lt;=DATE(2030,12,31),Headcount!$C$29,0)</f>
        <v/>
      </c>
      <c r="AE35" s="4">
        <f>IF(Headcount!$D$29&lt;=DATE(2031,12,31),Headcount!$C$29,0)</f>
        <v/>
      </c>
      <c r="AG35" s="4">
        <f>D35</f>
        <v/>
      </c>
      <c r="AH35" s="4">
        <f>P35</f>
        <v/>
      </c>
      <c r="AI35" s="4">
        <f>AB35</f>
        <v/>
      </c>
      <c r="AJ35" s="4">
        <f>AC35</f>
        <v/>
      </c>
      <c r="AK35" s="4">
        <f>AD35</f>
        <v/>
      </c>
      <c r="AL35" s="4">
        <f>AE35</f>
        <v/>
      </c>
    </row>
    <row r="36">
      <c r="A36">
        <f>Headcount!A30</f>
        <v/>
      </c>
      <c r="B36" s="2">
        <f>Headcount!B30</f>
        <v/>
      </c>
      <c r="C36" s="4">
        <f>IF(Headcount!$D$30&lt;=Timeline!C5,Headcount!$C$30,0)</f>
        <v/>
      </c>
      <c r="D36" s="4">
        <f>IF(Headcount!$D$30&lt;=Timeline!D5,Headcount!$C$30,0)</f>
        <v/>
      </c>
      <c r="E36" s="4">
        <f>IF(Headcount!$D$30&lt;=Timeline!E5,Headcount!$C$30,0)</f>
        <v/>
      </c>
      <c r="F36" s="4">
        <f>IF(Headcount!$D$30&lt;=Timeline!F5,Headcount!$C$30,0)</f>
        <v/>
      </c>
      <c r="G36" s="4">
        <f>IF(Headcount!$D$30&lt;=Timeline!G5,Headcount!$C$30,0)</f>
        <v/>
      </c>
      <c r="H36" s="4">
        <f>IF(Headcount!$D$30&lt;=Timeline!H5,Headcount!$C$30,0)</f>
        <v/>
      </c>
      <c r="I36" s="4">
        <f>IF(Headcount!$D$30&lt;=Timeline!I5,Headcount!$C$30,0)</f>
        <v/>
      </c>
      <c r="J36" s="4">
        <f>IF(Headcount!$D$30&lt;=Timeline!J5,Headcount!$C$30,0)</f>
        <v/>
      </c>
      <c r="K36" s="4">
        <f>IF(Headcount!$D$30&lt;=Timeline!K5,Headcount!$C$30,0)</f>
        <v/>
      </c>
      <c r="L36" s="4">
        <f>IF(Headcount!$D$30&lt;=Timeline!L5,Headcount!$C$30,0)</f>
        <v/>
      </c>
      <c r="M36" s="4">
        <f>IF(Headcount!$D$30&lt;=Timeline!M5,Headcount!$C$30,0)</f>
        <v/>
      </c>
      <c r="N36" s="4">
        <f>IF(Headcount!$D$30&lt;=Timeline!N5,Headcount!$C$30,0)</f>
        <v/>
      </c>
      <c r="O36" s="4">
        <f>IF(Headcount!$D$30&lt;=Timeline!O5,Headcount!$C$30,0)</f>
        <v/>
      </c>
      <c r="P36" s="4">
        <f>IF(Headcount!$D$30&lt;=Timeline!P5,Headcount!$C$30,0)</f>
        <v/>
      </c>
      <c r="Q36" s="4">
        <f>IF(Headcount!$D$30&lt;=Timeline!Q5,Headcount!$C$30,0)</f>
        <v/>
      </c>
      <c r="R36" s="4">
        <f>IF(Headcount!$D$30&lt;=Timeline!R5,Headcount!$C$30,0)</f>
        <v/>
      </c>
      <c r="S36" s="4">
        <f>IF(Headcount!$D$30&lt;=Timeline!S5,Headcount!$C$30,0)</f>
        <v/>
      </c>
      <c r="T36" s="4">
        <f>IF(Headcount!$D$30&lt;=Timeline!T5,Headcount!$C$30,0)</f>
        <v/>
      </c>
      <c r="U36" s="4">
        <f>IF(Headcount!$D$30&lt;=Timeline!U5,Headcount!$C$30,0)</f>
        <v/>
      </c>
      <c r="V36" s="4">
        <f>IF(Headcount!$D$30&lt;=Timeline!V5,Headcount!$C$30,0)</f>
        <v/>
      </c>
      <c r="W36" s="4">
        <f>IF(Headcount!$D$30&lt;=Timeline!W5,Headcount!$C$30,0)</f>
        <v/>
      </c>
      <c r="X36" s="4">
        <f>IF(Headcount!$D$30&lt;=Timeline!X5,Headcount!$C$30,0)</f>
        <v/>
      </c>
      <c r="Y36" s="4">
        <f>IF(Headcount!$D$30&lt;=Timeline!Y5,Headcount!$C$30,0)</f>
        <v/>
      </c>
      <c r="Z36" s="4">
        <f>IF(Headcount!$D$30&lt;=Timeline!Z5,Headcount!$C$30,0)</f>
        <v/>
      </c>
      <c r="AA36" s="4">
        <f>IF(Headcount!$D$30&lt;=Timeline!AA5,Headcount!$C$30,0)</f>
        <v/>
      </c>
      <c r="AB36" s="4">
        <f>IF(Headcount!$D$30&lt;=Timeline!AB5,Headcount!$C$30,0)</f>
        <v/>
      </c>
      <c r="AC36" s="4">
        <f>IF(Headcount!$D$30&lt;=DATE(2029,12,31),Headcount!$C$30,0)</f>
        <v/>
      </c>
      <c r="AD36" s="4">
        <f>IF(Headcount!$D$30&lt;=DATE(2030,12,31),Headcount!$C$30,0)</f>
        <v/>
      </c>
      <c r="AE36" s="4">
        <f>IF(Headcount!$D$30&lt;=DATE(2031,12,31),Headcount!$C$30,0)</f>
        <v/>
      </c>
      <c r="AG36" s="4">
        <f>D36</f>
        <v/>
      </c>
      <c r="AH36" s="4">
        <f>P36</f>
        <v/>
      </c>
      <c r="AI36" s="4">
        <f>AB36</f>
        <v/>
      </c>
      <c r="AJ36" s="4">
        <f>AC36</f>
        <v/>
      </c>
      <c r="AK36" s="4">
        <f>AD36</f>
        <v/>
      </c>
      <c r="AL36" s="4">
        <f>AE36</f>
        <v/>
      </c>
    </row>
    <row r="37">
      <c r="A37">
        <f>Headcount!A31</f>
        <v/>
      </c>
      <c r="B37" s="2">
        <f>Headcount!B31</f>
        <v/>
      </c>
      <c r="C37" s="4">
        <f>IF(Headcount!$D$31&lt;=Timeline!C5,Headcount!$C$31,0)</f>
        <v/>
      </c>
      <c r="D37" s="4">
        <f>IF(Headcount!$D$31&lt;=Timeline!D5,Headcount!$C$31,0)</f>
        <v/>
      </c>
      <c r="E37" s="4">
        <f>IF(Headcount!$D$31&lt;=Timeline!E5,Headcount!$C$31,0)</f>
        <v/>
      </c>
      <c r="F37" s="4">
        <f>IF(Headcount!$D$31&lt;=Timeline!F5,Headcount!$C$31,0)</f>
        <v/>
      </c>
      <c r="G37" s="4">
        <f>IF(Headcount!$D$31&lt;=Timeline!G5,Headcount!$C$31,0)</f>
        <v/>
      </c>
      <c r="H37" s="4">
        <f>IF(Headcount!$D$31&lt;=Timeline!H5,Headcount!$C$31,0)</f>
        <v/>
      </c>
      <c r="I37" s="4">
        <f>IF(Headcount!$D$31&lt;=Timeline!I5,Headcount!$C$31,0)</f>
        <v/>
      </c>
      <c r="J37" s="4">
        <f>IF(Headcount!$D$31&lt;=Timeline!J5,Headcount!$C$31,0)</f>
        <v/>
      </c>
      <c r="K37" s="4">
        <f>IF(Headcount!$D$31&lt;=Timeline!K5,Headcount!$C$31,0)</f>
        <v/>
      </c>
      <c r="L37" s="4">
        <f>IF(Headcount!$D$31&lt;=Timeline!L5,Headcount!$C$31,0)</f>
        <v/>
      </c>
      <c r="M37" s="4">
        <f>IF(Headcount!$D$31&lt;=Timeline!M5,Headcount!$C$31,0)</f>
        <v/>
      </c>
      <c r="N37" s="4">
        <f>IF(Headcount!$D$31&lt;=Timeline!N5,Headcount!$C$31,0)</f>
        <v/>
      </c>
      <c r="O37" s="4">
        <f>IF(Headcount!$D$31&lt;=Timeline!O5,Headcount!$C$31,0)</f>
        <v/>
      </c>
      <c r="P37" s="4">
        <f>IF(Headcount!$D$31&lt;=Timeline!P5,Headcount!$C$31,0)</f>
        <v/>
      </c>
      <c r="Q37" s="4">
        <f>IF(Headcount!$D$31&lt;=Timeline!Q5,Headcount!$C$31,0)</f>
        <v/>
      </c>
      <c r="R37" s="4">
        <f>IF(Headcount!$D$31&lt;=Timeline!R5,Headcount!$C$31,0)</f>
        <v/>
      </c>
      <c r="S37" s="4">
        <f>IF(Headcount!$D$31&lt;=Timeline!S5,Headcount!$C$31,0)</f>
        <v/>
      </c>
      <c r="T37" s="4">
        <f>IF(Headcount!$D$31&lt;=Timeline!T5,Headcount!$C$31,0)</f>
        <v/>
      </c>
      <c r="U37" s="4">
        <f>IF(Headcount!$D$31&lt;=Timeline!U5,Headcount!$C$31,0)</f>
        <v/>
      </c>
      <c r="V37" s="4">
        <f>IF(Headcount!$D$31&lt;=Timeline!V5,Headcount!$C$31,0)</f>
        <v/>
      </c>
      <c r="W37" s="4">
        <f>IF(Headcount!$D$31&lt;=Timeline!W5,Headcount!$C$31,0)</f>
        <v/>
      </c>
      <c r="X37" s="4">
        <f>IF(Headcount!$D$31&lt;=Timeline!X5,Headcount!$C$31,0)</f>
        <v/>
      </c>
      <c r="Y37" s="4">
        <f>IF(Headcount!$D$31&lt;=Timeline!Y5,Headcount!$C$31,0)</f>
        <v/>
      </c>
      <c r="Z37" s="4">
        <f>IF(Headcount!$D$31&lt;=Timeline!Z5,Headcount!$C$31,0)</f>
        <v/>
      </c>
      <c r="AA37" s="4">
        <f>IF(Headcount!$D$31&lt;=Timeline!AA5,Headcount!$C$31,0)</f>
        <v/>
      </c>
      <c r="AB37" s="4">
        <f>IF(Headcount!$D$31&lt;=Timeline!AB5,Headcount!$C$31,0)</f>
        <v/>
      </c>
      <c r="AC37" s="4">
        <f>IF(Headcount!$D$31&lt;=DATE(2029,12,31),Headcount!$C$31,0)</f>
        <v/>
      </c>
      <c r="AD37" s="4">
        <f>IF(Headcount!$D$31&lt;=DATE(2030,12,31),Headcount!$C$31,0)</f>
        <v/>
      </c>
      <c r="AE37" s="4">
        <f>IF(Headcount!$D$31&lt;=DATE(2031,12,31),Headcount!$C$31,0)</f>
        <v/>
      </c>
      <c r="AG37" s="4">
        <f>D37</f>
        <v/>
      </c>
      <c r="AH37" s="4">
        <f>P37</f>
        <v/>
      </c>
      <c r="AI37" s="4">
        <f>AB37</f>
        <v/>
      </c>
      <c r="AJ37" s="4">
        <f>AC37</f>
        <v/>
      </c>
      <c r="AK37" s="4">
        <f>AD37</f>
        <v/>
      </c>
      <c r="AL37" s="4">
        <f>AE37</f>
        <v/>
      </c>
    </row>
    <row r="38">
      <c r="A38">
        <f>Headcount!A32</f>
        <v/>
      </c>
      <c r="B38" s="2">
        <f>Headcount!B32</f>
        <v/>
      </c>
      <c r="C38" s="4">
        <f>IF(Headcount!$D$32&lt;=Timeline!C5,Headcount!$C$32,0)</f>
        <v/>
      </c>
      <c r="D38" s="4">
        <f>IF(Headcount!$D$32&lt;=Timeline!D5,Headcount!$C$32,0)</f>
        <v/>
      </c>
      <c r="E38" s="4">
        <f>IF(Headcount!$D$32&lt;=Timeline!E5,Headcount!$C$32,0)</f>
        <v/>
      </c>
      <c r="F38" s="4">
        <f>IF(Headcount!$D$32&lt;=Timeline!F5,Headcount!$C$32,0)</f>
        <v/>
      </c>
      <c r="G38" s="4">
        <f>IF(Headcount!$D$32&lt;=Timeline!G5,Headcount!$C$32,0)</f>
        <v/>
      </c>
      <c r="H38" s="4">
        <f>IF(Headcount!$D$32&lt;=Timeline!H5,Headcount!$C$32,0)</f>
        <v/>
      </c>
      <c r="I38" s="4">
        <f>IF(Headcount!$D$32&lt;=Timeline!I5,Headcount!$C$32,0)</f>
        <v/>
      </c>
      <c r="J38" s="4">
        <f>IF(Headcount!$D$32&lt;=Timeline!J5,Headcount!$C$32,0)</f>
        <v/>
      </c>
      <c r="K38" s="4">
        <f>IF(Headcount!$D$32&lt;=Timeline!K5,Headcount!$C$32,0)</f>
        <v/>
      </c>
      <c r="L38" s="4">
        <f>IF(Headcount!$D$32&lt;=Timeline!L5,Headcount!$C$32,0)</f>
        <v/>
      </c>
      <c r="M38" s="4">
        <f>IF(Headcount!$D$32&lt;=Timeline!M5,Headcount!$C$32,0)</f>
        <v/>
      </c>
      <c r="N38" s="4">
        <f>IF(Headcount!$D$32&lt;=Timeline!N5,Headcount!$C$32,0)</f>
        <v/>
      </c>
      <c r="O38" s="4">
        <f>IF(Headcount!$D$32&lt;=Timeline!O5,Headcount!$C$32,0)</f>
        <v/>
      </c>
      <c r="P38" s="4">
        <f>IF(Headcount!$D$32&lt;=Timeline!P5,Headcount!$C$32,0)</f>
        <v/>
      </c>
      <c r="Q38" s="4">
        <f>IF(Headcount!$D$32&lt;=Timeline!Q5,Headcount!$C$32,0)</f>
        <v/>
      </c>
      <c r="R38" s="4">
        <f>IF(Headcount!$D$32&lt;=Timeline!R5,Headcount!$C$32,0)</f>
        <v/>
      </c>
      <c r="S38" s="4">
        <f>IF(Headcount!$D$32&lt;=Timeline!S5,Headcount!$C$32,0)</f>
        <v/>
      </c>
      <c r="T38" s="4">
        <f>IF(Headcount!$D$32&lt;=Timeline!T5,Headcount!$C$32,0)</f>
        <v/>
      </c>
      <c r="U38" s="4">
        <f>IF(Headcount!$D$32&lt;=Timeline!U5,Headcount!$C$32,0)</f>
        <v/>
      </c>
      <c r="V38" s="4">
        <f>IF(Headcount!$D$32&lt;=Timeline!V5,Headcount!$C$32,0)</f>
        <v/>
      </c>
      <c r="W38" s="4">
        <f>IF(Headcount!$D$32&lt;=Timeline!W5,Headcount!$C$32,0)</f>
        <v/>
      </c>
      <c r="X38" s="4">
        <f>IF(Headcount!$D$32&lt;=Timeline!X5,Headcount!$C$32,0)</f>
        <v/>
      </c>
      <c r="Y38" s="4">
        <f>IF(Headcount!$D$32&lt;=Timeline!Y5,Headcount!$C$32,0)</f>
        <v/>
      </c>
      <c r="Z38" s="4">
        <f>IF(Headcount!$D$32&lt;=Timeline!Z5,Headcount!$C$32,0)</f>
        <v/>
      </c>
      <c r="AA38" s="4">
        <f>IF(Headcount!$D$32&lt;=Timeline!AA5,Headcount!$C$32,0)</f>
        <v/>
      </c>
      <c r="AB38" s="4">
        <f>IF(Headcount!$D$32&lt;=Timeline!AB5,Headcount!$C$32,0)</f>
        <v/>
      </c>
      <c r="AC38" s="4">
        <f>IF(Headcount!$D$32&lt;=DATE(2029,12,31),Headcount!$C$32,0)</f>
        <v/>
      </c>
      <c r="AD38" s="4">
        <f>IF(Headcount!$D$32&lt;=DATE(2030,12,31),Headcount!$C$32,0)</f>
        <v/>
      </c>
      <c r="AE38" s="4">
        <f>IF(Headcount!$D$32&lt;=DATE(2031,12,31),Headcount!$C$32,0)</f>
        <v/>
      </c>
      <c r="AG38" s="4">
        <f>D38</f>
        <v/>
      </c>
      <c r="AH38" s="4">
        <f>P38</f>
        <v/>
      </c>
      <c r="AI38" s="4">
        <f>AB38</f>
        <v/>
      </c>
      <c r="AJ38" s="4">
        <f>AC38</f>
        <v/>
      </c>
      <c r="AK38" s="4">
        <f>AD38</f>
        <v/>
      </c>
      <c r="AL38" s="4">
        <f>AE38</f>
        <v/>
      </c>
    </row>
    <row r="39">
      <c r="A39">
        <f>Headcount!A33</f>
        <v/>
      </c>
      <c r="B39" s="2">
        <f>Headcount!B33</f>
        <v/>
      </c>
      <c r="C39" s="4">
        <f>IF(Headcount!$D$33&lt;=Timeline!C5,Headcount!$C$33,0)</f>
        <v/>
      </c>
      <c r="D39" s="4">
        <f>IF(Headcount!$D$33&lt;=Timeline!D5,Headcount!$C$33,0)</f>
        <v/>
      </c>
      <c r="E39" s="4">
        <f>IF(Headcount!$D$33&lt;=Timeline!E5,Headcount!$C$33,0)</f>
        <v/>
      </c>
      <c r="F39" s="4">
        <f>IF(Headcount!$D$33&lt;=Timeline!F5,Headcount!$C$33,0)</f>
        <v/>
      </c>
      <c r="G39" s="4">
        <f>IF(Headcount!$D$33&lt;=Timeline!G5,Headcount!$C$33,0)</f>
        <v/>
      </c>
      <c r="H39" s="4">
        <f>IF(Headcount!$D$33&lt;=Timeline!H5,Headcount!$C$33,0)</f>
        <v/>
      </c>
      <c r="I39" s="4">
        <f>IF(Headcount!$D$33&lt;=Timeline!I5,Headcount!$C$33,0)</f>
        <v/>
      </c>
      <c r="J39" s="4">
        <f>IF(Headcount!$D$33&lt;=Timeline!J5,Headcount!$C$33,0)</f>
        <v/>
      </c>
      <c r="K39" s="4">
        <f>IF(Headcount!$D$33&lt;=Timeline!K5,Headcount!$C$33,0)</f>
        <v/>
      </c>
      <c r="L39" s="4">
        <f>IF(Headcount!$D$33&lt;=Timeline!L5,Headcount!$C$33,0)</f>
        <v/>
      </c>
      <c r="M39" s="4">
        <f>IF(Headcount!$D$33&lt;=Timeline!M5,Headcount!$C$33,0)</f>
        <v/>
      </c>
      <c r="N39" s="4">
        <f>IF(Headcount!$D$33&lt;=Timeline!N5,Headcount!$C$33,0)</f>
        <v/>
      </c>
      <c r="O39" s="4">
        <f>IF(Headcount!$D$33&lt;=Timeline!O5,Headcount!$C$33,0)</f>
        <v/>
      </c>
      <c r="P39" s="4">
        <f>IF(Headcount!$D$33&lt;=Timeline!P5,Headcount!$C$33,0)</f>
        <v/>
      </c>
      <c r="Q39" s="4">
        <f>IF(Headcount!$D$33&lt;=Timeline!Q5,Headcount!$C$33,0)</f>
        <v/>
      </c>
      <c r="R39" s="4">
        <f>IF(Headcount!$D$33&lt;=Timeline!R5,Headcount!$C$33,0)</f>
        <v/>
      </c>
      <c r="S39" s="4">
        <f>IF(Headcount!$D$33&lt;=Timeline!S5,Headcount!$C$33,0)</f>
        <v/>
      </c>
      <c r="T39" s="4">
        <f>IF(Headcount!$D$33&lt;=Timeline!T5,Headcount!$C$33,0)</f>
        <v/>
      </c>
      <c r="U39" s="4">
        <f>IF(Headcount!$D$33&lt;=Timeline!U5,Headcount!$C$33,0)</f>
        <v/>
      </c>
      <c r="V39" s="4">
        <f>IF(Headcount!$D$33&lt;=Timeline!V5,Headcount!$C$33,0)</f>
        <v/>
      </c>
      <c r="W39" s="4">
        <f>IF(Headcount!$D$33&lt;=Timeline!W5,Headcount!$C$33,0)</f>
        <v/>
      </c>
      <c r="X39" s="4">
        <f>IF(Headcount!$D$33&lt;=Timeline!X5,Headcount!$C$33,0)</f>
        <v/>
      </c>
      <c r="Y39" s="4">
        <f>IF(Headcount!$D$33&lt;=Timeline!Y5,Headcount!$C$33,0)</f>
        <v/>
      </c>
      <c r="Z39" s="4">
        <f>IF(Headcount!$D$33&lt;=Timeline!Z5,Headcount!$C$33,0)</f>
        <v/>
      </c>
      <c r="AA39" s="4">
        <f>IF(Headcount!$D$33&lt;=Timeline!AA5,Headcount!$C$33,0)</f>
        <v/>
      </c>
      <c r="AB39" s="4">
        <f>IF(Headcount!$D$33&lt;=Timeline!AB5,Headcount!$C$33,0)</f>
        <v/>
      </c>
      <c r="AC39" s="4">
        <f>IF(Headcount!$D$33&lt;=DATE(2029,12,31),Headcount!$C$33,0)</f>
        <v/>
      </c>
      <c r="AD39" s="4">
        <f>IF(Headcount!$D$33&lt;=DATE(2030,12,31),Headcount!$C$33,0)</f>
        <v/>
      </c>
      <c r="AE39" s="4">
        <f>IF(Headcount!$D$33&lt;=DATE(2031,12,31),Headcount!$C$33,0)</f>
        <v/>
      </c>
      <c r="AG39" s="4">
        <f>D39</f>
        <v/>
      </c>
      <c r="AH39" s="4">
        <f>P39</f>
        <v/>
      </c>
      <c r="AI39" s="4">
        <f>AB39</f>
        <v/>
      </c>
      <c r="AJ39" s="4">
        <f>AC39</f>
        <v/>
      </c>
      <c r="AK39" s="4">
        <f>AD39</f>
        <v/>
      </c>
      <c r="AL39" s="4">
        <f>AE39</f>
        <v/>
      </c>
    </row>
    <row r="40">
      <c r="A40">
        <f>Headcount!A34</f>
        <v/>
      </c>
      <c r="B40" s="2">
        <f>Headcount!B34</f>
        <v/>
      </c>
      <c r="C40" s="4">
        <f>IF(Headcount!$D$34&lt;=Timeline!C5,Headcount!$C$34,0)</f>
        <v/>
      </c>
      <c r="D40" s="4">
        <f>IF(Headcount!$D$34&lt;=Timeline!D5,Headcount!$C$34,0)</f>
        <v/>
      </c>
      <c r="E40" s="4">
        <f>IF(Headcount!$D$34&lt;=Timeline!E5,Headcount!$C$34,0)</f>
        <v/>
      </c>
      <c r="F40" s="4">
        <f>IF(Headcount!$D$34&lt;=Timeline!F5,Headcount!$C$34,0)</f>
        <v/>
      </c>
      <c r="G40" s="4">
        <f>IF(Headcount!$D$34&lt;=Timeline!G5,Headcount!$C$34,0)</f>
        <v/>
      </c>
      <c r="H40" s="4">
        <f>IF(Headcount!$D$34&lt;=Timeline!H5,Headcount!$C$34,0)</f>
        <v/>
      </c>
      <c r="I40" s="4">
        <f>IF(Headcount!$D$34&lt;=Timeline!I5,Headcount!$C$34,0)</f>
        <v/>
      </c>
      <c r="J40" s="4">
        <f>IF(Headcount!$D$34&lt;=Timeline!J5,Headcount!$C$34,0)</f>
        <v/>
      </c>
      <c r="K40" s="4">
        <f>IF(Headcount!$D$34&lt;=Timeline!K5,Headcount!$C$34,0)</f>
        <v/>
      </c>
      <c r="L40" s="4">
        <f>IF(Headcount!$D$34&lt;=Timeline!L5,Headcount!$C$34,0)</f>
        <v/>
      </c>
      <c r="M40" s="4">
        <f>IF(Headcount!$D$34&lt;=Timeline!M5,Headcount!$C$34,0)</f>
        <v/>
      </c>
      <c r="N40" s="4">
        <f>IF(Headcount!$D$34&lt;=Timeline!N5,Headcount!$C$34,0)</f>
        <v/>
      </c>
      <c r="O40" s="4">
        <f>IF(Headcount!$D$34&lt;=Timeline!O5,Headcount!$C$34,0)</f>
        <v/>
      </c>
      <c r="P40" s="4">
        <f>IF(Headcount!$D$34&lt;=Timeline!P5,Headcount!$C$34,0)</f>
        <v/>
      </c>
      <c r="Q40" s="4">
        <f>IF(Headcount!$D$34&lt;=Timeline!Q5,Headcount!$C$34,0)</f>
        <v/>
      </c>
      <c r="R40" s="4">
        <f>IF(Headcount!$D$34&lt;=Timeline!R5,Headcount!$C$34,0)</f>
        <v/>
      </c>
      <c r="S40" s="4">
        <f>IF(Headcount!$D$34&lt;=Timeline!S5,Headcount!$C$34,0)</f>
        <v/>
      </c>
      <c r="T40" s="4">
        <f>IF(Headcount!$D$34&lt;=Timeline!T5,Headcount!$C$34,0)</f>
        <v/>
      </c>
      <c r="U40" s="4">
        <f>IF(Headcount!$D$34&lt;=Timeline!U5,Headcount!$C$34,0)</f>
        <v/>
      </c>
      <c r="V40" s="4">
        <f>IF(Headcount!$D$34&lt;=Timeline!V5,Headcount!$C$34,0)</f>
        <v/>
      </c>
      <c r="W40" s="4">
        <f>IF(Headcount!$D$34&lt;=Timeline!W5,Headcount!$C$34,0)</f>
        <v/>
      </c>
      <c r="X40" s="4">
        <f>IF(Headcount!$D$34&lt;=Timeline!X5,Headcount!$C$34,0)</f>
        <v/>
      </c>
      <c r="Y40" s="4">
        <f>IF(Headcount!$D$34&lt;=Timeline!Y5,Headcount!$C$34,0)</f>
        <v/>
      </c>
      <c r="Z40" s="4">
        <f>IF(Headcount!$D$34&lt;=Timeline!Z5,Headcount!$C$34,0)</f>
        <v/>
      </c>
      <c r="AA40" s="4">
        <f>IF(Headcount!$D$34&lt;=Timeline!AA5,Headcount!$C$34,0)</f>
        <v/>
      </c>
      <c r="AB40" s="4">
        <f>IF(Headcount!$D$34&lt;=Timeline!AB5,Headcount!$C$34,0)</f>
        <v/>
      </c>
      <c r="AC40" s="4">
        <f>IF(Headcount!$D$34&lt;=DATE(2029,12,31),Headcount!$C$34,0)</f>
        <v/>
      </c>
      <c r="AD40" s="4">
        <f>IF(Headcount!$D$34&lt;=DATE(2030,12,31),Headcount!$C$34,0)</f>
        <v/>
      </c>
      <c r="AE40" s="4">
        <f>IF(Headcount!$D$34&lt;=DATE(2031,12,31),Headcount!$C$34,0)</f>
        <v/>
      </c>
      <c r="AG40" s="4">
        <f>D40</f>
        <v/>
      </c>
      <c r="AH40" s="4">
        <f>P40</f>
        <v/>
      </c>
      <c r="AI40" s="4">
        <f>AB40</f>
        <v/>
      </c>
      <c r="AJ40" s="4">
        <f>AC40</f>
        <v/>
      </c>
      <c r="AK40" s="4">
        <f>AD40</f>
        <v/>
      </c>
      <c r="AL40" s="4">
        <f>AE40</f>
        <v/>
      </c>
    </row>
    <row r="41">
      <c r="A41">
        <f>Headcount!A35</f>
        <v/>
      </c>
      <c r="B41" s="2">
        <f>Headcount!B35</f>
        <v/>
      </c>
      <c r="C41" s="4">
        <f>IF(Headcount!$D$35&lt;=Timeline!C5,Headcount!$C$35,0)</f>
        <v/>
      </c>
      <c r="D41" s="4">
        <f>IF(Headcount!$D$35&lt;=Timeline!D5,Headcount!$C$35,0)</f>
        <v/>
      </c>
      <c r="E41" s="4">
        <f>IF(Headcount!$D$35&lt;=Timeline!E5,Headcount!$C$35,0)</f>
        <v/>
      </c>
      <c r="F41" s="4">
        <f>IF(Headcount!$D$35&lt;=Timeline!F5,Headcount!$C$35,0)</f>
        <v/>
      </c>
      <c r="G41" s="4">
        <f>IF(Headcount!$D$35&lt;=Timeline!G5,Headcount!$C$35,0)</f>
        <v/>
      </c>
      <c r="H41" s="4">
        <f>IF(Headcount!$D$35&lt;=Timeline!H5,Headcount!$C$35,0)</f>
        <v/>
      </c>
      <c r="I41" s="4">
        <f>IF(Headcount!$D$35&lt;=Timeline!I5,Headcount!$C$35,0)</f>
        <v/>
      </c>
      <c r="J41" s="4">
        <f>IF(Headcount!$D$35&lt;=Timeline!J5,Headcount!$C$35,0)</f>
        <v/>
      </c>
      <c r="K41" s="4">
        <f>IF(Headcount!$D$35&lt;=Timeline!K5,Headcount!$C$35,0)</f>
        <v/>
      </c>
      <c r="L41" s="4">
        <f>IF(Headcount!$D$35&lt;=Timeline!L5,Headcount!$C$35,0)</f>
        <v/>
      </c>
      <c r="M41" s="4">
        <f>IF(Headcount!$D$35&lt;=Timeline!M5,Headcount!$C$35,0)</f>
        <v/>
      </c>
      <c r="N41" s="4">
        <f>IF(Headcount!$D$35&lt;=Timeline!N5,Headcount!$C$35,0)</f>
        <v/>
      </c>
      <c r="O41" s="4">
        <f>IF(Headcount!$D$35&lt;=Timeline!O5,Headcount!$C$35,0)</f>
        <v/>
      </c>
      <c r="P41" s="4">
        <f>IF(Headcount!$D$35&lt;=Timeline!P5,Headcount!$C$35,0)</f>
        <v/>
      </c>
      <c r="Q41" s="4">
        <f>IF(Headcount!$D$35&lt;=Timeline!Q5,Headcount!$C$35,0)</f>
        <v/>
      </c>
      <c r="R41" s="4">
        <f>IF(Headcount!$D$35&lt;=Timeline!R5,Headcount!$C$35,0)</f>
        <v/>
      </c>
      <c r="S41" s="4">
        <f>IF(Headcount!$D$35&lt;=Timeline!S5,Headcount!$C$35,0)</f>
        <v/>
      </c>
      <c r="T41" s="4">
        <f>IF(Headcount!$D$35&lt;=Timeline!T5,Headcount!$C$35,0)</f>
        <v/>
      </c>
      <c r="U41" s="4">
        <f>IF(Headcount!$D$35&lt;=Timeline!U5,Headcount!$C$35,0)</f>
        <v/>
      </c>
      <c r="V41" s="4">
        <f>IF(Headcount!$D$35&lt;=Timeline!V5,Headcount!$C$35,0)</f>
        <v/>
      </c>
      <c r="W41" s="4">
        <f>IF(Headcount!$D$35&lt;=Timeline!W5,Headcount!$C$35,0)</f>
        <v/>
      </c>
      <c r="X41" s="4">
        <f>IF(Headcount!$D$35&lt;=Timeline!X5,Headcount!$C$35,0)</f>
        <v/>
      </c>
      <c r="Y41" s="4">
        <f>IF(Headcount!$D$35&lt;=Timeline!Y5,Headcount!$C$35,0)</f>
        <v/>
      </c>
      <c r="Z41" s="4">
        <f>IF(Headcount!$D$35&lt;=Timeline!Z5,Headcount!$C$35,0)</f>
        <v/>
      </c>
      <c r="AA41" s="4">
        <f>IF(Headcount!$D$35&lt;=Timeline!AA5,Headcount!$C$35,0)</f>
        <v/>
      </c>
      <c r="AB41" s="4">
        <f>IF(Headcount!$D$35&lt;=Timeline!AB5,Headcount!$C$35,0)</f>
        <v/>
      </c>
      <c r="AC41" s="4">
        <f>IF(Headcount!$D$35&lt;=DATE(2029,12,31),Headcount!$C$35,0)</f>
        <v/>
      </c>
      <c r="AD41" s="4">
        <f>IF(Headcount!$D$35&lt;=DATE(2030,12,31),Headcount!$C$35,0)</f>
        <v/>
      </c>
      <c r="AE41" s="4">
        <f>IF(Headcount!$D$35&lt;=DATE(2031,12,31),Headcount!$C$35,0)</f>
        <v/>
      </c>
      <c r="AG41" s="4">
        <f>D41</f>
        <v/>
      </c>
      <c r="AH41" s="4">
        <f>P41</f>
        <v/>
      </c>
      <c r="AI41" s="4">
        <f>AB41</f>
        <v/>
      </c>
      <c r="AJ41" s="4">
        <f>AC41</f>
        <v/>
      </c>
      <c r="AK41" s="4">
        <f>AD41</f>
        <v/>
      </c>
      <c r="AL41" s="4">
        <f>AE41</f>
        <v/>
      </c>
    </row>
    <row r="42">
      <c r="A42">
        <f>Headcount!A36</f>
        <v/>
      </c>
      <c r="B42" s="2">
        <f>Headcount!B36</f>
        <v/>
      </c>
      <c r="C42" s="4">
        <f>IF(Headcount!$D$36&lt;=Timeline!C5,Headcount!$C$36,0)</f>
        <v/>
      </c>
      <c r="D42" s="4">
        <f>IF(Headcount!$D$36&lt;=Timeline!D5,Headcount!$C$36,0)</f>
        <v/>
      </c>
      <c r="E42" s="4">
        <f>IF(Headcount!$D$36&lt;=Timeline!E5,Headcount!$C$36,0)</f>
        <v/>
      </c>
      <c r="F42" s="4">
        <f>IF(Headcount!$D$36&lt;=Timeline!F5,Headcount!$C$36,0)</f>
        <v/>
      </c>
      <c r="G42" s="4">
        <f>IF(Headcount!$D$36&lt;=Timeline!G5,Headcount!$C$36,0)</f>
        <v/>
      </c>
      <c r="H42" s="4">
        <f>IF(Headcount!$D$36&lt;=Timeline!H5,Headcount!$C$36,0)</f>
        <v/>
      </c>
      <c r="I42" s="4">
        <f>IF(Headcount!$D$36&lt;=Timeline!I5,Headcount!$C$36,0)</f>
        <v/>
      </c>
      <c r="J42" s="4">
        <f>IF(Headcount!$D$36&lt;=Timeline!J5,Headcount!$C$36,0)</f>
        <v/>
      </c>
      <c r="K42" s="4">
        <f>IF(Headcount!$D$36&lt;=Timeline!K5,Headcount!$C$36,0)</f>
        <v/>
      </c>
      <c r="L42" s="4">
        <f>IF(Headcount!$D$36&lt;=Timeline!L5,Headcount!$C$36,0)</f>
        <v/>
      </c>
      <c r="M42" s="4">
        <f>IF(Headcount!$D$36&lt;=Timeline!M5,Headcount!$C$36,0)</f>
        <v/>
      </c>
      <c r="N42" s="4">
        <f>IF(Headcount!$D$36&lt;=Timeline!N5,Headcount!$C$36,0)</f>
        <v/>
      </c>
      <c r="O42" s="4">
        <f>IF(Headcount!$D$36&lt;=Timeline!O5,Headcount!$C$36,0)</f>
        <v/>
      </c>
      <c r="P42" s="4">
        <f>IF(Headcount!$D$36&lt;=Timeline!P5,Headcount!$C$36,0)</f>
        <v/>
      </c>
      <c r="Q42" s="4">
        <f>IF(Headcount!$D$36&lt;=Timeline!Q5,Headcount!$C$36,0)</f>
        <v/>
      </c>
      <c r="R42" s="4">
        <f>IF(Headcount!$D$36&lt;=Timeline!R5,Headcount!$C$36,0)</f>
        <v/>
      </c>
      <c r="S42" s="4">
        <f>IF(Headcount!$D$36&lt;=Timeline!S5,Headcount!$C$36,0)</f>
        <v/>
      </c>
      <c r="T42" s="4">
        <f>IF(Headcount!$D$36&lt;=Timeline!T5,Headcount!$C$36,0)</f>
        <v/>
      </c>
      <c r="U42" s="4">
        <f>IF(Headcount!$D$36&lt;=Timeline!U5,Headcount!$C$36,0)</f>
        <v/>
      </c>
      <c r="V42" s="4">
        <f>IF(Headcount!$D$36&lt;=Timeline!V5,Headcount!$C$36,0)</f>
        <v/>
      </c>
      <c r="W42" s="4">
        <f>IF(Headcount!$D$36&lt;=Timeline!W5,Headcount!$C$36,0)</f>
        <v/>
      </c>
      <c r="X42" s="4">
        <f>IF(Headcount!$D$36&lt;=Timeline!X5,Headcount!$C$36,0)</f>
        <v/>
      </c>
      <c r="Y42" s="4">
        <f>IF(Headcount!$D$36&lt;=Timeline!Y5,Headcount!$C$36,0)</f>
        <v/>
      </c>
      <c r="Z42" s="4">
        <f>IF(Headcount!$D$36&lt;=Timeline!Z5,Headcount!$C$36,0)</f>
        <v/>
      </c>
      <c r="AA42" s="4">
        <f>IF(Headcount!$D$36&lt;=Timeline!AA5,Headcount!$C$36,0)</f>
        <v/>
      </c>
      <c r="AB42" s="4">
        <f>IF(Headcount!$D$36&lt;=Timeline!AB5,Headcount!$C$36,0)</f>
        <v/>
      </c>
      <c r="AC42" s="4">
        <f>IF(Headcount!$D$36&lt;=DATE(2029,12,31),Headcount!$C$36,0)</f>
        <v/>
      </c>
      <c r="AD42" s="4">
        <f>IF(Headcount!$D$36&lt;=DATE(2030,12,31),Headcount!$C$36,0)</f>
        <v/>
      </c>
      <c r="AE42" s="4">
        <f>IF(Headcount!$D$36&lt;=DATE(2031,12,31),Headcount!$C$36,0)</f>
        <v/>
      </c>
      <c r="AG42" s="4">
        <f>D42</f>
        <v/>
      </c>
      <c r="AH42" s="4">
        <f>P42</f>
        <v/>
      </c>
      <c r="AI42" s="4">
        <f>AB42</f>
        <v/>
      </c>
      <c r="AJ42" s="4">
        <f>AC42</f>
        <v/>
      </c>
      <c r="AK42" s="4">
        <f>AD42</f>
        <v/>
      </c>
      <c r="AL42" s="4">
        <f>AE42</f>
        <v/>
      </c>
    </row>
    <row r="43">
      <c r="A43">
        <f>Headcount!A37</f>
        <v/>
      </c>
      <c r="B43" s="2">
        <f>Headcount!B37</f>
        <v/>
      </c>
      <c r="C43" s="4">
        <f>IF(Headcount!$D$37&lt;=Timeline!C5,Headcount!$C$37,0)</f>
        <v/>
      </c>
      <c r="D43" s="4">
        <f>IF(Headcount!$D$37&lt;=Timeline!D5,Headcount!$C$37,0)</f>
        <v/>
      </c>
      <c r="E43" s="4">
        <f>IF(Headcount!$D$37&lt;=Timeline!E5,Headcount!$C$37,0)</f>
        <v/>
      </c>
      <c r="F43" s="4">
        <f>IF(Headcount!$D$37&lt;=Timeline!F5,Headcount!$C$37,0)</f>
        <v/>
      </c>
      <c r="G43" s="4">
        <f>IF(Headcount!$D$37&lt;=Timeline!G5,Headcount!$C$37,0)</f>
        <v/>
      </c>
      <c r="H43" s="4">
        <f>IF(Headcount!$D$37&lt;=Timeline!H5,Headcount!$C$37,0)</f>
        <v/>
      </c>
      <c r="I43" s="4">
        <f>IF(Headcount!$D$37&lt;=Timeline!I5,Headcount!$C$37,0)</f>
        <v/>
      </c>
      <c r="J43" s="4">
        <f>IF(Headcount!$D$37&lt;=Timeline!J5,Headcount!$C$37,0)</f>
        <v/>
      </c>
      <c r="K43" s="4">
        <f>IF(Headcount!$D$37&lt;=Timeline!K5,Headcount!$C$37,0)</f>
        <v/>
      </c>
      <c r="L43" s="4">
        <f>IF(Headcount!$D$37&lt;=Timeline!L5,Headcount!$C$37,0)</f>
        <v/>
      </c>
      <c r="M43" s="4">
        <f>IF(Headcount!$D$37&lt;=Timeline!M5,Headcount!$C$37,0)</f>
        <v/>
      </c>
      <c r="N43" s="4">
        <f>IF(Headcount!$D$37&lt;=Timeline!N5,Headcount!$C$37,0)</f>
        <v/>
      </c>
      <c r="O43" s="4">
        <f>IF(Headcount!$D$37&lt;=Timeline!O5,Headcount!$C$37,0)</f>
        <v/>
      </c>
      <c r="P43" s="4">
        <f>IF(Headcount!$D$37&lt;=Timeline!P5,Headcount!$C$37,0)</f>
        <v/>
      </c>
      <c r="Q43" s="4">
        <f>IF(Headcount!$D$37&lt;=Timeline!Q5,Headcount!$C$37,0)</f>
        <v/>
      </c>
      <c r="R43" s="4">
        <f>IF(Headcount!$D$37&lt;=Timeline!R5,Headcount!$C$37,0)</f>
        <v/>
      </c>
      <c r="S43" s="4">
        <f>IF(Headcount!$D$37&lt;=Timeline!S5,Headcount!$C$37,0)</f>
        <v/>
      </c>
      <c r="T43" s="4">
        <f>IF(Headcount!$D$37&lt;=Timeline!T5,Headcount!$C$37,0)</f>
        <v/>
      </c>
      <c r="U43" s="4">
        <f>IF(Headcount!$D$37&lt;=Timeline!U5,Headcount!$C$37,0)</f>
        <v/>
      </c>
      <c r="V43" s="4">
        <f>IF(Headcount!$D$37&lt;=Timeline!V5,Headcount!$C$37,0)</f>
        <v/>
      </c>
      <c r="W43" s="4">
        <f>IF(Headcount!$D$37&lt;=Timeline!W5,Headcount!$C$37,0)</f>
        <v/>
      </c>
      <c r="X43" s="4">
        <f>IF(Headcount!$D$37&lt;=Timeline!X5,Headcount!$C$37,0)</f>
        <v/>
      </c>
      <c r="Y43" s="4">
        <f>IF(Headcount!$D$37&lt;=Timeline!Y5,Headcount!$C$37,0)</f>
        <v/>
      </c>
      <c r="Z43" s="4">
        <f>IF(Headcount!$D$37&lt;=Timeline!Z5,Headcount!$C$37,0)</f>
        <v/>
      </c>
      <c r="AA43" s="4">
        <f>IF(Headcount!$D$37&lt;=Timeline!AA5,Headcount!$C$37,0)</f>
        <v/>
      </c>
      <c r="AB43" s="4">
        <f>IF(Headcount!$D$37&lt;=Timeline!AB5,Headcount!$C$37,0)</f>
        <v/>
      </c>
      <c r="AC43" s="4">
        <f>IF(Headcount!$D$37&lt;=DATE(2029,12,31),Headcount!$C$37,0)</f>
        <v/>
      </c>
      <c r="AD43" s="4">
        <f>IF(Headcount!$D$37&lt;=DATE(2030,12,31),Headcount!$C$37,0)</f>
        <v/>
      </c>
      <c r="AE43" s="4">
        <f>IF(Headcount!$D$37&lt;=DATE(2031,12,31),Headcount!$C$37,0)</f>
        <v/>
      </c>
      <c r="AG43" s="4">
        <f>D43</f>
        <v/>
      </c>
      <c r="AH43" s="4">
        <f>P43</f>
        <v/>
      </c>
      <c r="AI43" s="4">
        <f>AB43</f>
        <v/>
      </c>
      <c r="AJ43" s="4">
        <f>AC43</f>
        <v/>
      </c>
      <c r="AK43" s="4">
        <f>AD43</f>
        <v/>
      </c>
      <c r="AL43" s="4">
        <f>AE43</f>
        <v/>
      </c>
    </row>
    <row r="44">
      <c r="A44">
        <f>Headcount!A38</f>
        <v/>
      </c>
      <c r="B44" s="2">
        <f>Headcount!B38</f>
        <v/>
      </c>
      <c r="C44" s="4">
        <f>IF(Headcount!$D$38&lt;=Timeline!C5,Headcount!$C$38,0)</f>
        <v/>
      </c>
      <c r="D44" s="4">
        <f>IF(Headcount!$D$38&lt;=Timeline!D5,Headcount!$C$38,0)</f>
        <v/>
      </c>
      <c r="E44" s="4">
        <f>IF(Headcount!$D$38&lt;=Timeline!E5,Headcount!$C$38,0)</f>
        <v/>
      </c>
      <c r="F44" s="4">
        <f>IF(Headcount!$D$38&lt;=Timeline!F5,Headcount!$C$38,0)</f>
        <v/>
      </c>
      <c r="G44" s="4">
        <f>IF(Headcount!$D$38&lt;=Timeline!G5,Headcount!$C$38,0)</f>
        <v/>
      </c>
      <c r="H44" s="4">
        <f>IF(Headcount!$D$38&lt;=Timeline!H5,Headcount!$C$38,0)</f>
        <v/>
      </c>
      <c r="I44" s="4">
        <f>IF(Headcount!$D$38&lt;=Timeline!I5,Headcount!$C$38,0)</f>
        <v/>
      </c>
      <c r="J44" s="4">
        <f>IF(Headcount!$D$38&lt;=Timeline!J5,Headcount!$C$38,0)</f>
        <v/>
      </c>
      <c r="K44" s="4">
        <f>IF(Headcount!$D$38&lt;=Timeline!K5,Headcount!$C$38,0)</f>
        <v/>
      </c>
      <c r="L44" s="4">
        <f>IF(Headcount!$D$38&lt;=Timeline!L5,Headcount!$C$38,0)</f>
        <v/>
      </c>
      <c r="M44" s="4">
        <f>IF(Headcount!$D$38&lt;=Timeline!M5,Headcount!$C$38,0)</f>
        <v/>
      </c>
      <c r="N44" s="4">
        <f>IF(Headcount!$D$38&lt;=Timeline!N5,Headcount!$C$38,0)</f>
        <v/>
      </c>
      <c r="O44" s="4">
        <f>IF(Headcount!$D$38&lt;=Timeline!O5,Headcount!$C$38,0)</f>
        <v/>
      </c>
      <c r="P44" s="4">
        <f>IF(Headcount!$D$38&lt;=Timeline!P5,Headcount!$C$38,0)</f>
        <v/>
      </c>
      <c r="Q44" s="4">
        <f>IF(Headcount!$D$38&lt;=Timeline!Q5,Headcount!$C$38,0)</f>
        <v/>
      </c>
      <c r="R44" s="4">
        <f>IF(Headcount!$D$38&lt;=Timeline!R5,Headcount!$C$38,0)</f>
        <v/>
      </c>
      <c r="S44" s="4">
        <f>IF(Headcount!$D$38&lt;=Timeline!S5,Headcount!$C$38,0)</f>
        <v/>
      </c>
      <c r="T44" s="4">
        <f>IF(Headcount!$D$38&lt;=Timeline!T5,Headcount!$C$38,0)</f>
        <v/>
      </c>
      <c r="U44" s="4">
        <f>IF(Headcount!$D$38&lt;=Timeline!U5,Headcount!$C$38,0)</f>
        <v/>
      </c>
      <c r="V44" s="4">
        <f>IF(Headcount!$D$38&lt;=Timeline!V5,Headcount!$C$38,0)</f>
        <v/>
      </c>
      <c r="W44" s="4">
        <f>IF(Headcount!$D$38&lt;=Timeline!W5,Headcount!$C$38,0)</f>
        <v/>
      </c>
      <c r="X44" s="4">
        <f>IF(Headcount!$D$38&lt;=Timeline!X5,Headcount!$C$38,0)</f>
        <v/>
      </c>
      <c r="Y44" s="4">
        <f>IF(Headcount!$D$38&lt;=Timeline!Y5,Headcount!$C$38,0)</f>
        <v/>
      </c>
      <c r="Z44" s="4">
        <f>IF(Headcount!$D$38&lt;=Timeline!Z5,Headcount!$C$38,0)</f>
        <v/>
      </c>
      <c r="AA44" s="4">
        <f>IF(Headcount!$D$38&lt;=Timeline!AA5,Headcount!$C$38,0)</f>
        <v/>
      </c>
      <c r="AB44" s="4">
        <f>IF(Headcount!$D$38&lt;=Timeline!AB5,Headcount!$C$38,0)</f>
        <v/>
      </c>
      <c r="AC44" s="4">
        <f>IF(Headcount!$D$38&lt;=DATE(2029,12,31),Headcount!$C$38,0)</f>
        <v/>
      </c>
      <c r="AD44" s="4">
        <f>IF(Headcount!$D$38&lt;=DATE(2030,12,31),Headcount!$C$38,0)</f>
        <v/>
      </c>
      <c r="AE44" s="4">
        <f>IF(Headcount!$D$38&lt;=DATE(2031,12,31),Headcount!$C$38,0)</f>
        <v/>
      </c>
      <c r="AG44" s="4">
        <f>D44</f>
        <v/>
      </c>
      <c r="AH44" s="4">
        <f>P44</f>
        <v/>
      </c>
      <c r="AI44" s="4">
        <f>AB44</f>
        <v/>
      </c>
      <c r="AJ44" s="4">
        <f>AC44</f>
        <v/>
      </c>
      <c r="AK44" s="4">
        <f>AD44</f>
        <v/>
      </c>
      <c r="AL44" s="4">
        <f>AE44</f>
        <v/>
      </c>
    </row>
    <row r="45">
      <c r="A45">
        <f>Headcount!A39</f>
        <v/>
      </c>
      <c r="B45" s="2">
        <f>Headcount!B39</f>
        <v/>
      </c>
      <c r="C45" s="4">
        <f>IF(Headcount!$D$39&lt;=Timeline!C5,Headcount!$C$39,0)</f>
        <v/>
      </c>
      <c r="D45" s="4">
        <f>IF(Headcount!$D$39&lt;=Timeline!D5,Headcount!$C$39,0)</f>
        <v/>
      </c>
      <c r="E45" s="4">
        <f>IF(Headcount!$D$39&lt;=Timeline!E5,Headcount!$C$39,0)</f>
        <v/>
      </c>
      <c r="F45" s="4">
        <f>IF(Headcount!$D$39&lt;=Timeline!F5,Headcount!$C$39,0)</f>
        <v/>
      </c>
      <c r="G45" s="4">
        <f>IF(Headcount!$D$39&lt;=Timeline!G5,Headcount!$C$39,0)</f>
        <v/>
      </c>
      <c r="H45" s="4">
        <f>IF(Headcount!$D$39&lt;=Timeline!H5,Headcount!$C$39,0)</f>
        <v/>
      </c>
      <c r="I45" s="4">
        <f>IF(Headcount!$D$39&lt;=Timeline!I5,Headcount!$C$39,0)</f>
        <v/>
      </c>
      <c r="J45" s="4">
        <f>IF(Headcount!$D$39&lt;=Timeline!J5,Headcount!$C$39,0)</f>
        <v/>
      </c>
      <c r="K45" s="4">
        <f>IF(Headcount!$D$39&lt;=Timeline!K5,Headcount!$C$39,0)</f>
        <v/>
      </c>
      <c r="L45" s="4">
        <f>IF(Headcount!$D$39&lt;=Timeline!L5,Headcount!$C$39,0)</f>
        <v/>
      </c>
      <c r="M45" s="4">
        <f>IF(Headcount!$D$39&lt;=Timeline!M5,Headcount!$C$39,0)</f>
        <v/>
      </c>
      <c r="N45" s="4">
        <f>IF(Headcount!$D$39&lt;=Timeline!N5,Headcount!$C$39,0)</f>
        <v/>
      </c>
      <c r="O45" s="4">
        <f>IF(Headcount!$D$39&lt;=Timeline!O5,Headcount!$C$39,0)</f>
        <v/>
      </c>
      <c r="P45" s="4">
        <f>IF(Headcount!$D$39&lt;=Timeline!P5,Headcount!$C$39,0)</f>
        <v/>
      </c>
      <c r="Q45" s="4">
        <f>IF(Headcount!$D$39&lt;=Timeline!Q5,Headcount!$C$39,0)</f>
        <v/>
      </c>
      <c r="R45" s="4">
        <f>IF(Headcount!$D$39&lt;=Timeline!R5,Headcount!$C$39,0)</f>
        <v/>
      </c>
      <c r="S45" s="4">
        <f>IF(Headcount!$D$39&lt;=Timeline!S5,Headcount!$C$39,0)</f>
        <v/>
      </c>
      <c r="T45" s="4">
        <f>IF(Headcount!$D$39&lt;=Timeline!T5,Headcount!$C$39,0)</f>
        <v/>
      </c>
      <c r="U45" s="4">
        <f>IF(Headcount!$D$39&lt;=Timeline!U5,Headcount!$C$39,0)</f>
        <v/>
      </c>
      <c r="V45" s="4">
        <f>IF(Headcount!$D$39&lt;=Timeline!V5,Headcount!$C$39,0)</f>
        <v/>
      </c>
      <c r="W45" s="4">
        <f>IF(Headcount!$D$39&lt;=Timeline!W5,Headcount!$C$39,0)</f>
        <v/>
      </c>
      <c r="X45" s="4">
        <f>IF(Headcount!$D$39&lt;=Timeline!X5,Headcount!$C$39,0)</f>
        <v/>
      </c>
      <c r="Y45" s="4">
        <f>IF(Headcount!$D$39&lt;=Timeline!Y5,Headcount!$C$39,0)</f>
        <v/>
      </c>
      <c r="Z45" s="4">
        <f>IF(Headcount!$D$39&lt;=Timeline!Z5,Headcount!$C$39,0)</f>
        <v/>
      </c>
      <c r="AA45" s="4">
        <f>IF(Headcount!$D$39&lt;=Timeline!AA5,Headcount!$C$39,0)</f>
        <v/>
      </c>
      <c r="AB45" s="4">
        <f>IF(Headcount!$D$39&lt;=Timeline!AB5,Headcount!$C$39,0)</f>
        <v/>
      </c>
      <c r="AC45" s="4">
        <f>IF(Headcount!$D$39&lt;=DATE(2029,12,31),Headcount!$C$39,0)</f>
        <v/>
      </c>
      <c r="AD45" s="4">
        <f>IF(Headcount!$D$39&lt;=DATE(2030,12,31),Headcount!$C$39,0)</f>
        <v/>
      </c>
      <c r="AE45" s="4">
        <f>IF(Headcount!$D$39&lt;=DATE(2031,12,31),Headcount!$C$39,0)</f>
        <v/>
      </c>
      <c r="AG45" s="4">
        <f>D45</f>
        <v/>
      </c>
      <c r="AH45" s="4">
        <f>P45</f>
        <v/>
      </c>
      <c r="AI45" s="4">
        <f>AB45</f>
        <v/>
      </c>
      <c r="AJ45" s="4">
        <f>AC45</f>
        <v/>
      </c>
      <c r="AK45" s="4">
        <f>AD45</f>
        <v/>
      </c>
      <c r="AL45" s="4">
        <f>AE45</f>
        <v/>
      </c>
    </row>
    <row r="46">
      <c r="A46">
        <f>Headcount!A40</f>
        <v/>
      </c>
      <c r="B46" s="2">
        <f>Headcount!B40</f>
        <v/>
      </c>
      <c r="C46" s="4">
        <f>IF(Headcount!$D$40&lt;=Timeline!C5,Headcount!$C$40,0)</f>
        <v/>
      </c>
      <c r="D46" s="4">
        <f>IF(Headcount!$D$40&lt;=Timeline!D5,Headcount!$C$40,0)</f>
        <v/>
      </c>
      <c r="E46" s="4">
        <f>IF(Headcount!$D$40&lt;=Timeline!E5,Headcount!$C$40,0)</f>
        <v/>
      </c>
      <c r="F46" s="4">
        <f>IF(Headcount!$D$40&lt;=Timeline!F5,Headcount!$C$40,0)</f>
        <v/>
      </c>
      <c r="G46" s="4">
        <f>IF(Headcount!$D$40&lt;=Timeline!G5,Headcount!$C$40,0)</f>
        <v/>
      </c>
      <c r="H46" s="4">
        <f>IF(Headcount!$D$40&lt;=Timeline!H5,Headcount!$C$40,0)</f>
        <v/>
      </c>
      <c r="I46" s="4">
        <f>IF(Headcount!$D$40&lt;=Timeline!I5,Headcount!$C$40,0)</f>
        <v/>
      </c>
      <c r="J46" s="4">
        <f>IF(Headcount!$D$40&lt;=Timeline!J5,Headcount!$C$40,0)</f>
        <v/>
      </c>
      <c r="K46" s="4">
        <f>IF(Headcount!$D$40&lt;=Timeline!K5,Headcount!$C$40,0)</f>
        <v/>
      </c>
      <c r="L46" s="4">
        <f>IF(Headcount!$D$40&lt;=Timeline!L5,Headcount!$C$40,0)</f>
        <v/>
      </c>
      <c r="M46" s="4">
        <f>IF(Headcount!$D$40&lt;=Timeline!M5,Headcount!$C$40,0)</f>
        <v/>
      </c>
      <c r="N46" s="4">
        <f>IF(Headcount!$D$40&lt;=Timeline!N5,Headcount!$C$40,0)</f>
        <v/>
      </c>
      <c r="O46" s="4">
        <f>IF(Headcount!$D$40&lt;=Timeline!O5,Headcount!$C$40,0)</f>
        <v/>
      </c>
      <c r="P46" s="4">
        <f>IF(Headcount!$D$40&lt;=Timeline!P5,Headcount!$C$40,0)</f>
        <v/>
      </c>
      <c r="Q46" s="4">
        <f>IF(Headcount!$D$40&lt;=Timeline!Q5,Headcount!$C$40,0)</f>
        <v/>
      </c>
      <c r="R46" s="4">
        <f>IF(Headcount!$D$40&lt;=Timeline!R5,Headcount!$C$40,0)</f>
        <v/>
      </c>
      <c r="S46" s="4">
        <f>IF(Headcount!$D$40&lt;=Timeline!S5,Headcount!$C$40,0)</f>
        <v/>
      </c>
      <c r="T46" s="4">
        <f>IF(Headcount!$D$40&lt;=Timeline!T5,Headcount!$C$40,0)</f>
        <v/>
      </c>
      <c r="U46" s="4">
        <f>IF(Headcount!$D$40&lt;=Timeline!U5,Headcount!$C$40,0)</f>
        <v/>
      </c>
      <c r="V46" s="4">
        <f>IF(Headcount!$D$40&lt;=Timeline!V5,Headcount!$C$40,0)</f>
        <v/>
      </c>
      <c r="W46" s="4">
        <f>IF(Headcount!$D$40&lt;=Timeline!W5,Headcount!$C$40,0)</f>
        <v/>
      </c>
      <c r="X46" s="4">
        <f>IF(Headcount!$D$40&lt;=Timeline!X5,Headcount!$C$40,0)</f>
        <v/>
      </c>
      <c r="Y46" s="4">
        <f>IF(Headcount!$D$40&lt;=Timeline!Y5,Headcount!$C$40,0)</f>
        <v/>
      </c>
      <c r="Z46" s="4">
        <f>IF(Headcount!$D$40&lt;=Timeline!Z5,Headcount!$C$40,0)</f>
        <v/>
      </c>
      <c r="AA46" s="4">
        <f>IF(Headcount!$D$40&lt;=Timeline!AA5,Headcount!$C$40,0)</f>
        <v/>
      </c>
      <c r="AB46" s="4">
        <f>IF(Headcount!$D$40&lt;=Timeline!AB5,Headcount!$C$40,0)</f>
        <v/>
      </c>
      <c r="AC46" s="4">
        <f>IF(Headcount!$D$40&lt;=DATE(2029,12,31),Headcount!$C$40,0)</f>
        <v/>
      </c>
      <c r="AD46" s="4">
        <f>IF(Headcount!$D$40&lt;=DATE(2030,12,31),Headcount!$C$40,0)</f>
        <v/>
      </c>
      <c r="AE46" s="4">
        <f>IF(Headcount!$D$40&lt;=DATE(2031,12,31),Headcount!$C$40,0)</f>
        <v/>
      </c>
      <c r="AG46" s="4">
        <f>D46</f>
        <v/>
      </c>
      <c r="AH46" s="4">
        <f>P46</f>
        <v/>
      </c>
      <c r="AI46" s="4">
        <f>AB46</f>
        <v/>
      </c>
      <c r="AJ46" s="4">
        <f>AC46</f>
        <v/>
      </c>
      <c r="AK46" s="4">
        <f>AD46</f>
        <v/>
      </c>
      <c r="AL46" s="4">
        <f>AE46</f>
        <v/>
      </c>
    </row>
    <row r="47">
      <c r="A47">
        <f>Headcount!A41</f>
        <v/>
      </c>
      <c r="B47" s="2">
        <f>Headcount!B41</f>
        <v/>
      </c>
      <c r="C47" s="4">
        <f>IF(Headcount!$D$41&lt;=Timeline!C5,Headcount!$C$41,0)</f>
        <v/>
      </c>
      <c r="D47" s="4">
        <f>IF(Headcount!$D$41&lt;=Timeline!D5,Headcount!$C$41,0)</f>
        <v/>
      </c>
      <c r="E47" s="4">
        <f>IF(Headcount!$D$41&lt;=Timeline!E5,Headcount!$C$41,0)</f>
        <v/>
      </c>
      <c r="F47" s="4">
        <f>IF(Headcount!$D$41&lt;=Timeline!F5,Headcount!$C$41,0)</f>
        <v/>
      </c>
      <c r="G47" s="4">
        <f>IF(Headcount!$D$41&lt;=Timeline!G5,Headcount!$C$41,0)</f>
        <v/>
      </c>
      <c r="H47" s="4">
        <f>IF(Headcount!$D$41&lt;=Timeline!H5,Headcount!$C$41,0)</f>
        <v/>
      </c>
      <c r="I47" s="4">
        <f>IF(Headcount!$D$41&lt;=Timeline!I5,Headcount!$C$41,0)</f>
        <v/>
      </c>
      <c r="J47" s="4">
        <f>IF(Headcount!$D$41&lt;=Timeline!J5,Headcount!$C$41,0)</f>
        <v/>
      </c>
      <c r="K47" s="4">
        <f>IF(Headcount!$D$41&lt;=Timeline!K5,Headcount!$C$41,0)</f>
        <v/>
      </c>
      <c r="L47" s="4">
        <f>IF(Headcount!$D$41&lt;=Timeline!L5,Headcount!$C$41,0)</f>
        <v/>
      </c>
      <c r="M47" s="4">
        <f>IF(Headcount!$D$41&lt;=Timeline!M5,Headcount!$C$41,0)</f>
        <v/>
      </c>
      <c r="N47" s="4">
        <f>IF(Headcount!$D$41&lt;=Timeline!N5,Headcount!$C$41,0)</f>
        <v/>
      </c>
      <c r="O47" s="4">
        <f>IF(Headcount!$D$41&lt;=Timeline!O5,Headcount!$C$41,0)</f>
        <v/>
      </c>
      <c r="P47" s="4">
        <f>IF(Headcount!$D$41&lt;=Timeline!P5,Headcount!$C$41,0)</f>
        <v/>
      </c>
      <c r="Q47" s="4">
        <f>IF(Headcount!$D$41&lt;=Timeline!Q5,Headcount!$C$41,0)</f>
        <v/>
      </c>
      <c r="R47" s="4">
        <f>IF(Headcount!$D$41&lt;=Timeline!R5,Headcount!$C$41,0)</f>
        <v/>
      </c>
      <c r="S47" s="4">
        <f>IF(Headcount!$D$41&lt;=Timeline!S5,Headcount!$C$41,0)</f>
        <v/>
      </c>
      <c r="T47" s="4">
        <f>IF(Headcount!$D$41&lt;=Timeline!T5,Headcount!$C$41,0)</f>
        <v/>
      </c>
      <c r="U47" s="4">
        <f>IF(Headcount!$D$41&lt;=Timeline!U5,Headcount!$C$41,0)</f>
        <v/>
      </c>
      <c r="V47" s="4">
        <f>IF(Headcount!$D$41&lt;=Timeline!V5,Headcount!$C$41,0)</f>
        <v/>
      </c>
      <c r="W47" s="4">
        <f>IF(Headcount!$D$41&lt;=Timeline!W5,Headcount!$C$41,0)</f>
        <v/>
      </c>
      <c r="X47" s="4">
        <f>IF(Headcount!$D$41&lt;=Timeline!X5,Headcount!$C$41,0)</f>
        <v/>
      </c>
      <c r="Y47" s="4">
        <f>IF(Headcount!$D$41&lt;=Timeline!Y5,Headcount!$C$41,0)</f>
        <v/>
      </c>
      <c r="Z47" s="4">
        <f>IF(Headcount!$D$41&lt;=Timeline!Z5,Headcount!$C$41,0)</f>
        <v/>
      </c>
      <c r="AA47" s="4">
        <f>IF(Headcount!$D$41&lt;=Timeline!AA5,Headcount!$C$41,0)</f>
        <v/>
      </c>
      <c r="AB47" s="4">
        <f>IF(Headcount!$D$41&lt;=Timeline!AB5,Headcount!$C$41,0)</f>
        <v/>
      </c>
      <c r="AC47" s="4">
        <f>IF(Headcount!$D$41&lt;=DATE(2029,12,31),Headcount!$C$41,0)</f>
        <v/>
      </c>
      <c r="AD47" s="4">
        <f>IF(Headcount!$D$41&lt;=DATE(2030,12,31),Headcount!$C$41,0)</f>
        <v/>
      </c>
      <c r="AE47" s="4">
        <f>IF(Headcount!$D$41&lt;=DATE(2031,12,31),Headcount!$C$41,0)</f>
        <v/>
      </c>
      <c r="AG47" s="4">
        <f>D47</f>
        <v/>
      </c>
      <c r="AH47" s="4">
        <f>P47</f>
        <v/>
      </c>
      <c r="AI47" s="4">
        <f>AB47</f>
        <v/>
      </c>
      <c r="AJ47" s="4">
        <f>AC47</f>
        <v/>
      </c>
      <c r="AK47" s="4">
        <f>AD47</f>
        <v/>
      </c>
      <c r="AL47" s="4">
        <f>AE47</f>
        <v/>
      </c>
    </row>
    <row r="48">
      <c r="A48">
        <f>Headcount!A42</f>
        <v/>
      </c>
      <c r="B48" s="2">
        <f>Headcount!B42</f>
        <v/>
      </c>
      <c r="C48" s="4">
        <f>IF(Headcount!$D$42&lt;=Timeline!C5,Headcount!$C$42,0)</f>
        <v/>
      </c>
      <c r="D48" s="4">
        <f>IF(Headcount!$D$42&lt;=Timeline!D5,Headcount!$C$42,0)</f>
        <v/>
      </c>
      <c r="E48" s="4">
        <f>IF(Headcount!$D$42&lt;=Timeline!E5,Headcount!$C$42,0)</f>
        <v/>
      </c>
      <c r="F48" s="4">
        <f>IF(Headcount!$D$42&lt;=Timeline!F5,Headcount!$C$42,0)</f>
        <v/>
      </c>
      <c r="G48" s="4">
        <f>IF(Headcount!$D$42&lt;=Timeline!G5,Headcount!$C$42,0)</f>
        <v/>
      </c>
      <c r="H48" s="4">
        <f>IF(Headcount!$D$42&lt;=Timeline!H5,Headcount!$C$42,0)</f>
        <v/>
      </c>
      <c r="I48" s="4">
        <f>IF(Headcount!$D$42&lt;=Timeline!I5,Headcount!$C$42,0)</f>
        <v/>
      </c>
      <c r="J48" s="4">
        <f>IF(Headcount!$D$42&lt;=Timeline!J5,Headcount!$C$42,0)</f>
        <v/>
      </c>
      <c r="K48" s="4">
        <f>IF(Headcount!$D$42&lt;=Timeline!K5,Headcount!$C$42,0)</f>
        <v/>
      </c>
      <c r="L48" s="4">
        <f>IF(Headcount!$D$42&lt;=Timeline!L5,Headcount!$C$42,0)</f>
        <v/>
      </c>
      <c r="M48" s="4">
        <f>IF(Headcount!$D$42&lt;=Timeline!M5,Headcount!$C$42,0)</f>
        <v/>
      </c>
      <c r="N48" s="4">
        <f>IF(Headcount!$D$42&lt;=Timeline!N5,Headcount!$C$42,0)</f>
        <v/>
      </c>
      <c r="O48" s="4">
        <f>IF(Headcount!$D$42&lt;=Timeline!O5,Headcount!$C$42,0)</f>
        <v/>
      </c>
      <c r="P48" s="4">
        <f>IF(Headcount!$D$42&lt;=Timeline!P5,Headcount!$C$42,0)</f>
        <v/>
      </c>
      <c r="Q48" s="4">
        <f>IF(Headcount!$D$42&lt;=Timeline!Q5,Headcount!$C$42,0)</f>
        <v/>
      </c>
      <c r="R48" s="4">
        <f>IF(Headcount!$D$42&lt;=Timeline!R5,Headcount!$C$42,0)</f>
        <v/>
      </c>
      <c r="S48" s="4">
        <f>IF(Headcount!$D$42&lt;=Timeline!S5,Headcount!$C$42,0)</f>
        <v/>
      </c>
      <c r="T48" s="4">
        <f>IF(Headcount!$D$42&lt;=Timeline!T5,Headcount!$C$42,0)</f>
        <v/>
      </c>
      <c r="U48" s="4">
        <f>IF(Headcount!$D$42&lt;=Timeline!U5,Headcount!$C$42,0)</f>
        <v/>
      </c>
      <c r="V48" s="4">
        <f>IF(Headcount!$D$42&lt;=Timeline!V5,Headcount!$C$42,0)</f>
        <v/>
      </c>
      <c r="W48" s="4">
        <f>IF(Headcount!$D$42&lt;=Timeline!W5,Headcount!$C$42,0)</f>
        <v/>
      </c>
      <c r="X48" s="4">
        <f>IF(Headcount!$D$42&lt;=Timeline!X5,Headcount!$C$42,0)</f>
        <v/>
      </c>
      <c r="Y48" s="4">
        <f>IF(Headcount!$D$42&lt;=Timeline!Y5,Headcount!$C$42,0)</f>
        <v/>
      </c>
      <c r="Z48" s="4">
        <f>IF(Headcount!$D$42&lt;=Timeline!Z5,Headcount!$C$42,0)</f>
        <v/>
      </c>
      <c r="AA48" s="4">
        <f>IF(Headcount!$D$42&lt;=Timeline!AA5,Headcount!$C$42,0)</f>
        <v/>
      </c>
      <c r="AB48" s="4">
        <f>IF(Headcount!$D$42&lt;=Timeline!AB5,Headcount!$C$42,0)</f>
        <v/>
      </c>
      <c r="AC48" s="4">
        <f>IF(Headcount!$D$42&lt;=DATE(2029,12,31),Headcount!$C$42,0)</f>
        <v/>
      </c>
      <c r="AD48" s="4">
        <f>IF(Headcount!$D$42&lt;=DATE(2030,12,31),Headcount!$C$42,0)</f>
        <v/>
      </c>
      <c r="AE48" s="4">
        <f>IF(Headcount!$D$42&lt;=DATE(2031,12,31),Headcount!$C$42,0)</f>
        <v/>
      </c>
      <c r="AG48" s="4">
        <f>D48</f>
        <v/>
      </c>
      <c r="AH48" s="4">
        <f>P48</f>
        <v/>
      </c>
      <c r="AI48" s="4">
        <f>AB48</f>
        <v/>
      </c>
      <c r="AJ48" s="4">
        <f>AC48</f>
        <v/>
      </c>
      <c r="AK48" s="4">
        <f>AD48</f>
        <v/>
      </c>
      <c r="AL48" s="4">
        <f>AE48</f>
        <v/>
      </c>
    </row>
    <row r="49">
      <c r="A49">
        <f>Headcount!A43</f>
        <v/>
      </c>
      <c r="B49" s="2">
        <f>Headcount!B43</f>
        <v/>
      </c>
      <c r="C49" s="4">
        <f>IF(Headcount!$D$43&lt;=Timeline!C5,Headcount!$C$43,0)</f>
        <v/>
      </c>
      <c r="D49" s="4">
        <f>IF(Headcount!$D$43&lt;=Timeline!D5,Headcount!$C$43,0)</f>
        <v/>
      </c>
      <c r="E49" s="4">
        <f>IF(Headcount!$D$43&lt;=Timeline!E5,Headcount!$C$43,0)</f>
        <v/>
      </c>
      <c r="F49" s="4">
        <f>IF(Headcount!$D$43&lt;=Timeline!F5,Headcount!$C$43,0)</f>
        <v/>
      </c>
      <c r="G49" s="4">
        <f>IF(Headcount!$D$43&lt;=Timeline!G5,Headcount!$C$43,0)</f>
        <v/>
      </c>
      <c r="H49" s="4">
        <f>IF(Headcount!$D$43&lt;=Timeline!H5,Headcount!$C$43,0)</f>
        <v/>
      </c>
      <c r="I49" s="4">
        <f>IF(Headcount!$D$43&lt;=Timeline!I5,Headcount!$C$43,0)</f>
        <v/>
      </c>
      <c r="J49" s="4">
        <f>IF(Headcount!$D$43&lt;=Timeline!J5,Headcount!$C$43,0)</f>
        <v/>
      </c>
      <c r="K49" s="4">
        <f>IF(Headcount!$D$43&lt;=Timeline!K5,Headcount!$C$43,0)</f>
        <v/>
      </c>
      <c r="L49" s="4">
        <f>IF(Headcount!$D$43&lt;=Timeline!L5,Headcount!$C$43,0)</f>
        <v/>
      </c>
      <c r="M49" s="4">
        <f>IF(Headcount!$D$43&lt;=Timeline!M5,Headcount!$C$43,0)</f>
        <v/>
      </c>
      <c r="N49" s="4">
        <f>IF(Headcount!$D$43&lt;=Timeline!N5,Headcount!$C$43,0)</f>
        <v/>
      </c>
      <c r="O49" s="4">
        <f>IF(Headcount!$D$43&lt;=Timeline!O5,Headcount!$C$43,0)</f>
        <v/>
      </c>
      <c r="P49" s="4">
        <f>IF(Headcount!$D$43&lt;=Timeline!P5,Headcount!$C$43,0)</f>
        <v/>
      </c>
      <c r="Q49" s="4">
        <f>IF(Headcount!$D$43&lt;=Timeline!Q5,Headcount!$C$43,0)</f>
        <v/>
      </c>
      <c r="R49" s="4">
        <f>IF(Headcount!$D$43&lt;=Timeline!R5,Headcount!$C$43,0)</f>
        <v/>
      </c>
      <c r="S49" s="4">
        <f>IF(Headcount!$D$43&lt;=Timeline!S5,Headcount!$C$43,0)</f>
        <v/>
      </c>
      <c r="T49" s="4">
        <f>IF(Headcount!$D$43&lt;=Timeline!T5,Headcount!$C$43,0)</f>
        <v/>
      </c>
      <c r="U49" s="4">
        <f>IF(Headcount!$D$43&lt;=Timeline!U5,Headcount!$C$43,0)</f>
        <v/>
      </c>
      <c r="V49" s="4">
        <f>IF(Headcount!$D$43&lt;=Timeline!V5,Headcount!$C$43,0)</f>
        <v/>
      </c>
      <c r="W49" s="4">
        <f>IF(Headcount!$D$43&lt;=Timeline!W5,Headcount!$C$43,0)</f>
        <v/>
      </c>
      <c r="X49" s="4">
        <f>IF(Headcount!$D$43&lt;=Timeline!X5,Headcount!$C$43,0)</f>
        <v/>
      </c>
      <c r="Y49" s="4">
        <f>IF(Headcount!$D$43&lt;=Timeline!Y5,Headcount!$C$43,0)</f>
        <v/>
      </c>
      <c r="Z49" s="4">
        <f>IF(Headcount!$D$43&lt;=Timeline!Z5,Headcount!$C$43,0)</f>
        <v/>
      </c>
      <c r="AA49" s="4">
        <f>IF(Headcount!$D$43&lt;=Timeline!AA5,Headcount!$C$43,0)</f>
        <v/>
      </c>
      <c r="AB49" s="4">
        <f>IF(Headcount!$D$43&lt;=Timeline!AB5,Headcount!$C$43,0)</f>
        <v/>
      </c>
      <c r="AC49" s="4">
        <f>IF(Headcount!$D$43&lt;=DATE(2029,12,31),Headcount!$C$43,0)</f>
        <v/>
      </c>
      <c r="AD49" s="4">
        <f>IF(Headcount!$D$43&lt;=DATE(2030,12,31),Headcount!$C$43,0)</f>
        <v/>
      </c>
      <c r="AE49" s="4">
        <f>IF(Headcount!$D$43&lt;=DATE(2031,12,31),Headcount!$C$43,0)</f>
        <v/>
      </c>
      <c r="AG49" s="4">
        <f>D49</f>
        <v/>
      </c>
      <c r="AH49" s="4">
        <f>P49</f>
        <v/>
      </c>
      <c r="AI49" s="4">
        <f>AB49</f>
        <v/>
      </c>
      <c r="AJ49" s="4">
        <f>AC49</f>
        <v/>
      </c>
      <c r="AK49" s="4">
        <f>AD49</f>
        <v/>
      </c>
      <c r="AL49" s="4">
        <f>AE49</f>
        <v/>
      </c>
    </row>
    <row r="50">
      <c r="A50">
        <f>Headcount!A44</f>
        <v/>
      </c>
      <c r="B50" s="2">
        <f>Headcount!B44</f>
        <v/>
      </c>
      <c r="C50" s="4">
        <f>IF(Headcount!$D$44&lt;=Timeline!C5,Headcount!$C$44,0)</f>
        <v/>
      </c>
      <c r="D50" s="4">
        <f>IF(Headcount!$D$44&lt;=Timeline!D5,Headcount!$C$44,0)</f>
        <v/>
      </c>
      <c r="E50" s="4">
        <f>IF(Headcount!$D$44&lt;=Timeline!E5,Headcount!$C$44,0)</f>
        <v/>
      </c>
      <c r="F50" s="4">
        <f>IF(Headcount!$D$44&lt;=Timeline!F5,Headcount!$C$44,0)</f>
        <v/>
      </c>
      <c r="G50" s="4">
        <f>IF(Headcount!$D$44&lt;=Timeline!G5,Headcount!$C$44,0)</f>
        <v/>
      </c>
      <c r="H50" s="4">
        <f>IF(Headcount!$D$44&lt;=Timeline!H5,Headcount!$C$44,0)</f>
        <v/>
      </c>
      <c r="I50" s="4">
        <f>IF(Headcount!$D$44&lt;=Timeline!I5,Headcount!$C$44,0)</f>
        <v/>
      </c>
      <c r="J50" s="4">
        <f>IF(Headcount!$D$44&lt;=Timeline!J5,Headcount!$C$44,0)</f>
        <v/>
      </c>
      <c r="K50" s="4">
        <f>IF(Headcount!$D$44&lt;=Timeline!K5,Headcount!$C$44,0)</f>
        <v/>
      </c>
      <c r="L50" s="4">
        <f>IF(Headcount!$D$44&lt;=Timeline!L5,Headcount!$C$44,0)</f>
        <v/>
      </c>
      <c r="M50" s="4">
        <f>IF(Headcount!$D$44&lt;=Timeline!M5,Headcount!$C$44,0)</f>
        <v/>
      </c>
      <c r="N50" s="4">
        <f>IF(Headcount!$D$44&lt;=Timeline!N5,Headcount!$C$44,0)</f>
        <v/>
      </c>
      <c r="O50" s="4">
        <f>IF(Headcount!$D$44&lt;=Timeline!O5,Headcount!$C$44,0)</f>
        <v/>
      </c>
      <c r="P50" s="4">
        <f>IF(Headcount!$D$44&lt;=Timeline!P5,Headcount!$C$44,0)</f>
        <v/>
      </c>
      <c r="Q50" s="4">
        <f>IF(Headcount!$D$44&lt;=Timeline!Q5,Headcount!$C$44,0)</f>
        <v/>
      </c>
      <c r="R50" s="4">
        <f>IF(Headcount!$D$44&lt;=Timeline!R5,Headcount!$C$44,0)</f>
        <v/>
      </c>
      <c r="S50" s="4">
        <f>IF(Headcount!$D$44&lt;=Timeline!S5,Headcount!$C$44,0)</f>
        <v/>
      </c>
      <c r="T50" s="4">
        <f>IF(Headcount!$D$44&lt;=Timeline!T5,Headcount!$C$44,0)</f>
        <v/>
      </c>
      <c r="U50" s="4">
        <f>IF(Headcount!$D$44&lt;=Timeline!U5,Headcount!$C$44,0)</f>
        <v/>
      </c>
      <c r="V50" s="4">
        <f>IF(Headcount!$D$44&lt;=Timeline!V5,Headcount!$C$44,0)</f>
        <v/>
      </c>
      <c r="W50" s="4">
        <f>IF(Headcount!$D$44&lt;=Timeline!W5,Headcount!$C$44,0)</f>
        <v/>
      </c>
      <c r="X50" s="4">
        <f>IF(Headcount!$D$44&lt;=Timeline!X5,Headcount!$C$44,0)</f>
        <v/>
      </c>
      <c r="Y50" s="4">
        <f>IF(Headcount!$D$44&lt;=Timeline!Y5,Headcount!$C$44,0)</f>
        <v/>
      </c>
      <c r="Z50" s="4">
        <f>IF(Headcount!$D$44&lt;=Timeline!Z5,Headcount!$C$44,0)</f>
        <v/>
      </c>
      <c r="AA50" s="4">
        <f>IF(Headcount!$D$44&lt;=Timeline!AA5,Headcount!$C$44,0)</f>
        <v/>
      </c>
      <c r="AB50" s="4">
        <f>IF(Headcount!$D$44&lt;=Timeline!AB5,Headcount!$C$44,0)</f>
        <v/>
      </c>
      <c r="AC50" s="4">
        <f>IF(Headcount!$D$44&lt;=DATE(2029,12,31),Headcount!$C$44,0)</f>
        <v/>
      </c>
      <c r="AD50" s="4">
        <f>IF(Headcount!$D$44&lt;=DATE(2030,12,31),Headcount!$C$44,0)</f>
        <v/>
      </c>
      <c r="AE50" s="4">
        <f>IF(Headcount!$D$44&lt;=DATE(2031,12,31),Headcount!$C$44,0)</f>
        <v/>
      </c>
      <c r="AG50" s="4">
        <f>D50</f>
        <v/>
      </c>
      <c r="AH50" s="4">
        <f>P50</f>
        <v/>
      </c>
      <c r="AI50" s="4">
        <f>AB50</f>
        <v/>
      </c>
      <c r="AJ50" s="4">
        <f>AC50</f>
        <v/>
      </c>
      <c r="AK50" s="4">
        <f>AD50</f>
        <v/>
      </c>
      <c r="AL50" s="4">
        <f>AE50</f>
        <v/>
      </c>
    </row>
    <row r="51">
      <c r="A51">
        <f>Headcount!A45</f>
        <v/>
      </c>
      <c r="B51" s="2">
        <f>Headcount!B45</f>
        <v/>
      </c>
      <c r="C51" s="4">
        <f>IF(Headcount!$D$45&lt;=Timeline!C5,Headcount!$C$45,0)</f>
        <v/>
      </c>
      <c r="D51" s="4">
        <f>IF(Headcount!$D$45&lt;=Timeline!D5,Headcount!$C$45,0)</f>
        <v/>
      </c>
      <c r="E51" s="4">
        <f>IF(Headcount!$D$45&lt;=Timeline!E5,Headcount!$C$45,0)</f>
        <v/>
      </c>
      <c r="F51" s="4">
        <f>IF(Headcount!$D$45&lt;=Timeline!F5,Headcount!$C$45,0)</f>
        <v/>
      </c>
      <c r="G51" s="4">
        <f>IF(Headcount!$D$45&lt;=Timeline!G5,Headcount!$C$45,0)</f>
        <v/>
      </c>
      <c r="H51" s="4">
        <f>IF(Headcount!$D$45&lt;=Timeline!H5,Headcount!$C$45,0)</f>
        <v/>
      </c>
      <c r="I51" s="4">
        <f>IF(Headcount!$D$45&lt;=Timeline!I5,Headcount!$C$45,0)</f>
        <v/>
      </c>
      <c r="J51" s="4">
        <f>IF(Headcount!$D$45&lt;=Timeline!J5,Headcount!$C$45,0)</f>
        <v/>
      </c>
      <c r="K51" s="4">
        <f>IF(Headcount!$D$45&lt;=Timeline!K5,Headcount!$C$45,0)</f>
        <v/>
      </c>
      <c r="L51" s="4">
        <f>IF(Headcount!$D$45&lt;=Timeline!L5,Headcount!$C$45,0)</f>
        <v/>
      </c>
      <c r="M51" s="4">
        <f>IF(Headcount!$D$45&lt;=Timeline!M5,Headcount!$C$45,0)</f>
        <v/>
      </c>
      <c r="N51" s="4">
        <f>IF(Headcount!$D$45&lt;=Timeline!N5,Headcount!$C$45,0)</f>
        <v/>
      </c>
      <c r="O51" s="4">
        <f>IF(Headcount!$D$45&lt;=Timeline!O5,Headcount!$C$45,0)</f>
        <v/>
      </c>
      <c r="P51" s="4">
        <f>IF(Headcount!$D$45&lt;=Timeline!P5,Headcount!$C$45,0)</f>
        <v/>
      </c>
      <c r="Q51" s="4">
        <f>IF(Headcount!$D$45&lt;=Timeline!Q5,Headcount!$C$45,0)</f>
        <v/>
      </c>
      <c r="R51" s="4">
        <f>IF(Headcount!$D$45&lt;=Timeline!R5,Headcount!$C$45,0)</f>
        <v/>
      </c>
      <c r="S51" s="4">
        <f>IF(Headcount!$D$45&lt;=Timeline!S5,Headcount!$C$45,0)</f>
        <v/>
      </c>
      <c r="T51" s="4">
        <f>IF(Headcount!$D$45&lt;=Timeline!T5,Headcount!$C$45,0)</f>
        <v/>
      </c>
      <c r="U51" s="4">
        <f>IF(Headcount!$D$45&lt;=Timeline!U5,Headcount!$C$45,0)</f>
        <v/>
      </c>
      <c r="V51" s="4">
        <f>IF(Headcount!$D$45&lt;=Timeline!V5,Headcount!$C$45,0)</f>
        <v/>
      </c>
      <c r="W51" s="4">
        <f>IF(Headcount!$D$45&lt;=Timeline!W5,Headcount!$C$45,0)</f>
        <v/>
      </c>
      <c r="X51" s="4">
        <f>IF(Headcount!$D$45&lt;=Timeline!X5,Headcount!$C$45,0)</f>
        <v/>
      </c>
      <c r="Y51" s="4">
        <f>IF(Headcount!$D$45&lt;=Timeline!Y5,Headcount!$C$45,0)</f>
        <v/>
      </c>
      <c r="Z51" s="4">
        <f>IF(Headcount!$D$45&lt;=Timeline!Z5,Headcount!$C$45,0)</f>
        <v/>
      </c>
      <c r="AA51" s="4">
        <f>IF(Headcount!$D$45&lt;=Timeline!AA5,Headcount!$C$45,0)</f>
        <v/>
      </c>
      <c r="AB51" s="4">
        <f>IF(Headcount!$D$45&lt;=Timeline!AB5,Headcount!$C$45,0)</f>
        <v/>
      </c>
      <c r="AC51" s="4">
        <f>IF(Headcount!$D$45&lt;=DATE(2029,12,31),Headcount!$C$45,0)</f>
        <v/>
      </c>
      <c r="AD51" s="4">
        <f>IF(Headcount!$D$45&lt;=DATE(2030,12,31),Headcount!$C$45,0)</f>
        <v/>
      </c>
      <c r="AE51" s="4">
        <f>IF(Headcount!$D$45&lt;=DATE(2031,12,31),Headcount!$C$45,0)</f>
        <v/>
      </c>
      <c r="AG51" s="4">
        <f>D51</f>
        <v/>
      </c>
      <c r="AH51" s="4">
        <f>P51</f>
        <v/>
      </c>
      <c r="AI51" s="4">
        <f>AB51</f>
        <v/>
      </c>
      <c r="AJ51" s="4">
        <f>AC51</f>
        <v/>
      </c>
      <c r="AK51" s="4">
        <f>AD51</f>
        <v/>
      </c>
      <c r="AL51" s="4">
        <f>AE51</f>
        <v/>
      </c>
    </row>
    <row r="52">
      <c r="A52">
        <f>Headcount!A46</f>
        <v/>
      </c>
      <c r="B52" s="2">
        <f>Headcount!B46</f>
        <v/>
      </c>
      <c r="C52" s="4">
        <f>IF(Headcount!$D$46&lt;=Timeline!C5,Headcount!$C$46,0)</f>
        <v/>
      </c>
      <c r="D52" s="4">
        <f>IF(Headcount!$D$46&lt;=Timeline!D5,Headcount!$C$46,0)</f>
        <v/>
      </c>
      <c r="E52" s="4">
        <f>IF(Headcount!$D$46&lt;=Timeline!E5,Headcount!$C$46,0)</f>
        <v/>
      </c>
      <c r="F52" s="4">
        <f>IF(Headcount!$D$46&lt;=Timeline!F5,Headcount!$C$46,0)</f>
        <v/>
      </c>
      <c r="G52" s="4">
        <f>IF(Headcount!$D$46&lt;=Timeline!G5,Headcount!$C$46,0)</f>
        <v/>
      </c>
      <c r="H52" s="4">
        <f>IF(Headcount!$D$46&lt;=Timeline!H5,Headcount!$C$46,0)</f>
        <v/>
      </c>
      <c r="I52" s="4">
        <f>IF(Headcount!$D$46&lt;=Timeline!I5,Headcount!$C$46,0)</f>
        <v/>
      </c>
      <c r="J52" s="4">
        <f>IF(Headcount!$D$46&lt;=Timeline!J5,Headcount!$C$46,0)</f>
        <v/>
      </c>
      <c r="K52" s="4">
        <f>IF(Headcount!$D$46&lt;=Timeline!K5,Headcount!$C$46,0)</f>
        <v/>
      </c>
      <c r="L52" s="4">
        <f>IF(Headcount!$D$46&lt;=Timeline!L5,Headcount!$C$46,0)</f>
        <v/>
      </c>
      <c r="M52" s="4">
        <f>IF(Headcount!$D$46&lt;=Timeline!M5,Headcount!$C$46,0)</f>
        <v/>
      </c>
      <c r="N52" s="4">
        <f>IF(Headcount!$D$46&lt;=Timeline!N5,Headcount!$C$46,0)</f>
        <v/>
      </c>
      <c r="O52" s="4">
        <f>IF(Headcount!$D$46&lt;=Timeline!O5,Headcount!$C$46,0)</f>
        <v/>
      </c>
      <c r="P52" s="4">
        <f>IF(Headcount!$D$46&lt;=Timeline!P5,Headcount!$C$46,0)</f>
        <v/>
      </c>
      <c r="Q52" s="4">
        <f>IF(Headcount!$D$46&lt;=Timeline!Q5,Headcount!$C$46,0)</f>
        <v/>
      </c>
      <c r="R52" s="4">
        <f>IF(Headcount!$D$46&lt;=Timeline!R5,Headcount!$C$46,0)</f>
        <v/>
      </c>
      <c r="S52" s="4">
        <f>IF(Headcount!$D$46&lt;=Timeline!S5,Headcount!$C$46,0)</f>
        <v/>
      </c>
      <c r="T52" s="4">
        <f>IF(Headcount!$D$46&lt;=Timeline!T5,Headcount!$C$46,0)</f>
        <v/>
      </c>
      <c r="U52" s="4">
        <f>IF(Headcount!$D$46&lt;=Timeline!U5,Headcount!$C$46,0)</f>
        <v/>
      </c>
      <c r="V52" s="4">
        <f>IF(Headcount!$D$46&lt;=Timeline!V5,Headcount!$C$46,0)</f>
        <v/>
      </c>
      <c r="W52" s="4">
        <f>IF(Headcount!$D$46&lt;=Timeline!W5,Headcount!$C$46,0)</f>
        <v/>
      </c>
      <c r="X52" s="4">
        <f>IF(Headcount!$D$46&lt;=Timeline!X5,Headcount!$C$46,0)</f>
        <v/>
      </c>
      <c r="Y52" s="4">
        <f>IF(Headcount!$D$46&lt;=Timeline!Y5,Headcount!$C$46,0)</f>
        <v/>
      </c>
      <c r="Z52" s="4">
        <f>IF(Headcount!$D$46&lt;=Timeline!Z5,Headcount!$C$46,0)</f>
        <v/>
      </c>
      <c r="AA52" s="4">
        <f>IF(Headcount!$D$46&lt;=Timeline!AA5,Headcount!$C$46,0)</f>
        <v/>
      </c>
      <c r="AB52" s="4">
        <f>IF(Headcount!$D$46&lt;=Timeline!AB5,Headcount!$C$46,0)</f>
        <v/>
      </c>
      <c r="AC52" s="4">
        <f>IF(Headcount!$D$46&lt;=DATE(2029,12,31),Headcount!$C$46,0)</f>
        <v/>
      </c>
      <c r="AD52" s="4">
        <f>IF(Headcount!$D$46&lt;=DATE(2030,12,31),Headcount!$C$46,0)</f>
        <v/>
      </c>
      <c r="AE52" s="4">
        <f>IF(Headcount!$D$46&lt;=DATE(2031,12,31),Headcount!$C$46,0)</f>
        <v/>
      </c>
      <c r="AG52" s="4">
        <f>D52</f>
        <v/>
      </c>
      <c r="AH52" s="4">
        <f>P52</f>
        <v/>
      </c>
      <c r="AI52" s="4">
        <f>AB52</f>
        <v/>
      </c>
      <c r="AJ52" s="4">
        <f>AC52</f>
        <v/>
      </c>
      <c r="AK52" s="4">
        <f>AD52</f>
        <v/>
      </c>
      <c r="AL52" s="4">
        <f>AE52</f>
        <v/>
      </c>
    </row>
    <row r="54">
      <c r="A54" s="8" t="inlineStr">
        <is>
          <t>Personnel cost by role (salary x (1+burden) x inflation)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</row>
    <row r="55">
      <c r="A55">
        <f>Headcount!A4</f>
        <v/>
      </c>
      <c r="B55" s="2">
        <f>Headcount!B4</f>
        <v/>
      </c>
      <c r="C55" s="4">
        <f>IF(Headcount!$D$4&lt;=Timeline!C5,Headcount!$C$4*Headcount!$E$4/12*(1+burden)*(1+salary_infl)^MAX(0,2026-2027),0)</f>
        <v/>
      </c>
      <c r="D55" s="4">
        <f>IF(Headcount!$D$4&lt;=Timeline!D5,Headcount!$C$4*Headcount!$E$4/12*(1+burden)*(1+salary_infl)^MAX(0,2026-2027),0)</f>
        <v/>
      </c>
      <c r="E55" s="4">
        <f>IF(Headcount!$D$4&lt;=Timeline!E5,Headcount!$C$4*Headcount!$E$4/12*(1+burden)*(1+salary_infl)^MAX(0,2027-2027),0)</f>
        <v/>
      </c>
      <c r="F55" s="4">
        <f>IF(Headcount!$D$4&lt;=Timeline!F5,Headcount!$C$4*Headcount!$E$4/12*(1+burden)*(1+salary_infl)^MAX(0,2027-2027),0)</f>
        <v/>
      </c>
      <c r="G55" s="4">
        <f>IF(Headcount!$D$4&lt;=Timeline!G5,Headcount!$C$4*Headcount!$E$4/12*(1+burden)*(1+salary_infl)^MAX(0,2027-2027),0)</f>
        <v/>
      </c>
      <c r="H55" s="4">
        <f>IF(Headcount!$D$4&lt;=Timeline!H5,Headcount!$C$4*Headcount!$E$4/12*(1+burden)*(1+salary_infl)^MAX(0,2027-2027),0)</f>
        <v/>
      </c>
      <c r="I55" s="4">
        <f>IF(Headcount!$D$4&lt;=Timeline!I5,Headcount!$C$4*Headcount!$E$4/12*(1+burden)*(1+salary_infl)^MAX(0,2027-2027),0)</f>
        <v/>
      </c>
      <c r="J55" s="4">
        <f>IF(Headcount!$D$4&lt;=Timeline!J5,Headcount!$C$4*Headcount!$E$4/12*(1+burden)*(1+salary_infl)^MAX(0,2027-2027),0)</f>
        <v/>
      </c>
      <c r="K55" s="4">
        <f>IF(Headcount!$D$4&lt;=Timeline!K5,Headcount!$C$4*Headcount!$E$4/12*(1+burden)*(1+salary_infl)^MAX(0,2027-2027),0)</f>
        <v/>
      </c>
      <c r="L55" s="4">
        <f>IF(Headcount!$D$4&lt;=Timeline!L5,Headcount!$C$4*Headcount!$E$4/12*(1+burden)*(1+salary_infl)^MAX(0,2027-2027),0)</f>
        <v/>
      </c>
      <c r="M55" s="4">
        <f>IF(Headcount!$D$4&lt;=Timeline!M5,Headcount!$C$4*Headcount!$E$4/12*(1+burden)*(1+salary_infl)^MAX(0,2027-2027),0)</f>
        <v/>
      </c>
      <c r="N55" s="4">
        <f>IF(Headcount!$D$4&lt;=Timeline!N5,Headcount!$C$4*Headcount!$E$4/12*(1+burden)*(1+salary_infl)^MAX(0,2027-2027),0)</f>
        <v/>
      </c>
      <c r="O55" s="4">
        <f>IF(Headcount!$D$4&lt;=Timeline!O5,Headcount!$C$4*Headcount!$E$4/12*(1+burden)*(1+salary_infl)^MAX(0,2027-2027),0)</f>
        <v/>
      </c>
      <c r="P55" s="4">
        <f>IF(Headcount!$D$4&lt;=Timeline!P5,Headcount!$C$4*Headcount!$E$4/12*(1+burden)*(1+salary_infl)^MAX(0,2027-2027),0)</f>
        <v/>
      </c>
      <c r="Q55" s="4">
        <f>IF(Headcount!$D$4&lt;=Timeline!Q5,Headcount!$C$4*Headcount!$E$4/12*(1+burden)*(1+salary_infl)^MAX(0,2028-2027),0)</f>
        <v/>
      </c>
      <c r="R55" s="4">
        <f>IF(Headcount!$D$4&lt;=Timeline!R5,Headcount!$C$4*Headcount!$E$4/12*(1+burden)*(1+salary_infl)^MAX(0,2028-2027),0)</f>
        <v/>
      </c>
      <c r="S55" s="4">
        <f>IF(Headcount!$D$4&lt;=Timeline!S5,Headcount!$C$4*Headcount!$E$4/12*(1+burden)*(1+salary_infl)^MAX(0,2028-2027),0)</f>
        <v/>
      </c>
      <c r="T55" s="4">
        <f>IF(Headcount!$D$4&lt;=Timeline!T5,Headcount!$C$4*Headcount!$E$4/12*(1+burden)*(1+salary_infl)^MAX(0,2028-2027),0)</f>
        <v/>
      </c>
      <c r="U55" s="4">
        <f>IF(Headcount!$D$4&lt;=Timeline!U5,Headcount!$C$4*Headcount!$E$4/12*(1+burden)*(1+salary_infl)^MAX(0,2028-2027),0)</f>
        <v/>
      </c>
      <c r="V55" s="4">
        <f>IF(Headcount!$D$4&lt;=Timeline!V5,Headcount!$C$4*Headcount!$E$4/12*(1+burden)*(1+salary_infl)^MAX(0,2028-2027),0)</f>
        <v/>
      </c>
      <c r="W55" s="4">
        <f>IF(Headcount!$D$4&lt;=Timeline!W5,Headcount!$C$4*Headcount!$E$4/12*(1+burden)*(1+salary_infl)^MAX(0,2028-2027),0)</f>
        <v/>
      </c>
      <c r="X55" s="4">
        <f>IF(Headcount!$D$4&lt;=Timeline!X5,Headcount!$C$4*Headcount!$E$4/12*(1+burden)*(1+salary_infl)^MAX(0,2028-2027),0)</f>
        <v/>
      </c>
      <c r="Y55" s="4">
        <f>IF(Headcount!$D$4&lt;=Timeline!Y5,Headcount!$C$4*Headcount!$E$4/12*(1+burden)*(1+salary_infl)^MAX(0,2028-2027),0)</f>
        <v/>
      </c>
      <c r="Z55" s="4">
        <f>IF(Headcount!$D$4&lt;=Timeline!Z5,Headcount!$C$4*Headcount!$E$4/12*(1+burden)*(1+salary_infl)^MAX(0,2028-2027),0)</f>
        <v/>
      </c>
      <c r="AA55" s="4">
        <f>IF(Headcount!$D$4&lt;=Timeline!AA5,Headcount!$C$4*Headcount!$E$4/12*(1+burden)*(1+salary_infl)^MAX(0,2028-2027),0)</f>
        <v/>
      </c>
      <c r="AB55" s="4">
        <f>IF(Headcount!$D$4&lt;=Timeline!AB5,Headcount!$C$4*Headcount!$E$4/12*(1+burden)*(1+salary_infl)^MAX(0,2028-2027),0)</f>
        <v/>
      </c>
      <c r="AC55" s="4">
        <f>Headcount!$C$4*Headcount!$E$4*(1+burden)*(1+salary_infl)^MAX(0,2029-2027)*MAX(0,MIN(12,(2029-YEAR(Headcount!$D$4))*12+13-MONTH(Headcount!$D$4)))/12</f>
        <v/>
      </c>
      <c r="AD55" s="4">
        <f>Headcount!$C$4*Headcount!$E$4*(1+burden)*(1+salary_infl)^MAX(0,2030-2027)*MAX(0,MIN(12,(2030-YEAR(Headcount!$D$4))*12+13-MONTH(Headcount!$D$4)))/12</f>
        <v/>
      </c>
      <c r="AE55" s="4">
        <f>Headcount!$C$4*Headcount!$E$4*(1+burden)*(1+salary_infl)^MAX(0,2031-2027)*MAX(0,MIN(12,(2031-YEAR(Headcount!$D$4))*12+13-MONTH(Headcount!$D$4)))/12</f>
        <v/>
      </c>
      <c r="AG55" s="4">
        <f>SUMIF($C$3:$AE$3,AG$3,$C55:$AE55)</f>
        <v/>
      </c>
      <c r="AH55" s="4">
        <f>SUMIF($C$3:$AE$3,AH$3,$C55:$AE55)</f>
        <v/>
      </c>
      <c r="AI55" s="4">
        <f>SUMIF($C$3:$AE$3,AI$3,$C55:$AE55)</f>
        <v/>
      </c>
      <c r="AJ55" s="4">
        <f>SUMIF($C$3:$AE$3,AJ$3,$C55:$AE55)</f>
        <v/>
      </c>
      <c r="AK55" s="4">
        <f>SUMIF($C$3:$AE$3,AK$3,$C55:$AE55)</f>
        <v/>
      </c>
      <c r="AL55" s="4">
        <f>SUMIF($C$3:$AE$3,AL$3,$C55:$AE55)</f>
        <v/>
      </c>
    </row>
    <row r="56">
      <c r="A56">
        <f>Headcount!A5</f>
        <v/>
      </c>
      <c r="B56" s="2">
        <f>Headcount!B5</f>
        <v/>
      </c>
      <c r="C56" s="4">
        <f>IF(Headcount!$D$5&lt;=Timeline!C5,Headcount!$C$5*Headcount!$E$5/12*(1+burden)*(1+salary_infl)^MAX(0,2026-2027),0)</f>
        <v/>
      </c>
      <c r="D56" s="4">
        <f>IF(Headcount!$D$5&lt;=Timeline!D5,Headcount!$C$5*Headcount!$E$5/12*(1+burden)*(1+salary_infl)^MAX(0,2026-2027),0)</f>
        <v/>
      </c>
      <c r="E56" s="4">
        <f>IF(Headcount!$D$5&lt;=Timeline!E5,Headcount!$C$5*Headcount!$E$5/12*(1+burden)*(1+salary_infl)^MAX(0,2027-2027),0)</f>
        <v/>
      </c>
      <c r="F56" s="4">
        <f>IF(Headcount!$D$5&lt;=Timeline!F5,Headcount!$C$5*Headcount!$E$5/12*(1+burden)*(1+salary_infl)^MAX(0,2027-2027),0)</f>
        <v/>
      </c>
      <c r="G56" s="4">
        <f>IF(Headcount!$D$5&lt;=Timeline!G5,Headcount!$C$5*Headcount!$E$5/12*(1+burden)*(1+salary_infl)^MAX(0,2027-2027),0)</f>
        <v/>
      </c>
      <c r="H56" s="4">
        <f>IF(Headcount!$D$5&lt;=Timeline!H5,Headcount!$C$5*Headcount!$E$5/12*(1+burden)*(1+salary_infl)^MAX(0,2027-2027),0)</f>
        <v/>
      </c>
      <c r="I56" s="4">
        <f>IF(Headcount!$D$5&lt;=Timeline!I5,Headcount!$C$5*Headcount!$E$5/12*(1+burden)*(1+salary_infl)^MAX(0,2027-2027),0)</f>
        <v/>
      </c>
      <c r="J56" s="4">
        <f>IF(Headcount!$D$5&lt;=Timeline!J5,Headcount!$C$5*Headcount!$E$5/12*(1+burden)*(1+salary_infl)^MAX(0,2027-2027),0)</f>
        <v/>
      </c>
      <c r="K56" s="4">
        <f>IF(Headcount!$D$5&lt;=Timeline!K5,Headcount!$C$5*Headcount!$E$5/12*(1+burden)*(1+salary_infl)^MAX(0,2027-2027),0)</f>
        <v/>
      </c>
      <c r="L56" s="4">
        <f>IF(Headcount!$D$5&lt;=Timeline!L5,Headcount!$C$5*Headcount!$E$5/12*(1+burden)*(1+salary_infl)^MAX(0,2027-2027),0)</f>
        <v/>
      </c>
      <c r="M56" s="4">
        <f>IF(Headcount!$D$5&lt;=Timeline!M5,Headcount!$C$5*Headcount!$E$5/12*(1+burden)*(1+salary_infl)^MAX(0,2027-2027),0)</f>
        <v/>
      </c>
      <c r="N56" s="4">
        <f>IF(Headcount!$D$5&lt;=Timeline!N5,Headcount!$C$5*Headcount!$E$5/12*(1+burden)*(1+salary_infl)^MAX(0,2027-2027),0)</f>
        <v/>
      </c>
      <c r="O56" s="4">
        <f>IF(Headcount!$D$5&lt;=Timeline!O5,Headcount!$C$5*Headcount!$E$5/12*(1+burden)*(1+salary_infl)^MAX(0,2027-2027),0)</f>
        <v/>
      </c>
      <c r="P56" s="4">
        <f>IF(Headcount!$D$5&lt;=Timeline!P5,Headcount!$C$5*Headcount!$E$5/12*(1+burden)*(1+salary_infl)^MAX(0,2027-2027),0)</f>
        <v/>
      </c>
      <c r="Q56" s="4">
        <f>IF(Headcount!$D$5&lt;=Timeline!Q5,Headcount!$C$5*Headcount!$E$5/12*(1+burden)*(1+salary_infl)^MAX(0,2028-2027),0)</f>
        <v/>
      </c>
      <c r="R56" s="4">
        <f>IF(Headcount!$D$5&lt;=Timeline!R5,Headcount!$C$5*Headcount!$E$5/12*(1+burden)*(1+salary_infl)^MAX(0,2028-2027),0)</f>
        <v/>
      </c>
      <c r="S56" s="4">
        <f>IF(Headcount!$D$5&lt;=Timeline!S5,Headcount!$C$5*Headcount!$E$5/12*(1+burden)*(1+salary_infl)^MAX(0,2028-2027),0)</f>
        <v/>
      </c>
      <c r="T56" s="4">
        <f>IF(Headcount!$D$5&lt;=Timeline!T5,Headcount!$C$5*Headcount!$E$5/12*(1+burden)*(1+salary_infl)^MAX(0,2028-2027),0)</f>
        <v/>
      </c>
      <c r="U56" s="4">
        <f>IF(Headcount!$D$5&lt;=Timeline!U5,Headcount!$C$5*Headcount!$E$5/12*(1+burden)*(1+salary_infl)^MAX(0,2028-2027),0)</f>
        <v/>
      </c>
      <c r="V56" s="4">
        <f>IF(Headcount!$D$5&lt;=Timeline!V5,Headcount!$C$5*Headcount!$E$5/12*(1+burden)*(1+salary_infl)^MAX(0,2028-2027),0)</f>
        <v/>
      </c>
      <c r="W56" s="4">
        <f>IF(Headcount!$D$5&lt;=Timeline!W5,Headcount!$C$5*Headcount!$E$5/12*(1+burden)*(1+salary_infl)^MAX(0,2028-2027),0)</f>
        <v/>
      </c>
      <c r="X56" s="4">
        <f>IF(Headcount!$D$5&lt;=Timeline!X5,Headcount!$C$5*Headcount!$E$5/12*(1+burden)*(1+salary_infl)^MAX(0,2028-2027),0)</f>
        <v/>
      </c>
      <c r="Y56" s="4">
        <f>IF(Headcount!$D$5&lt;=Timeline!Y5,Headcount!$C$5*Headcount!$E$5/12*(1+burden)*(1+salary_infl)^MAX(0,2028-2027),0)</f>
        <v/>
      </c>
      <c r="Z56" s="4">
        <f>IF(Headcount!$D$5&lt;=Timeline!Z5,Headcount!$C$5*Headcount!$E$5/12*(1+burden)*(1+salary_infl)^MAX(0,2028-2027),0)</f>
        <v/>
      </c>
      <c r="AA56" s="4">
        <f>IF(Headcount!$D$5&lt;=Timeline!AA5,Headcount!$C$5*Headcount!$E$5/12*(1+burden)*(1+salary_infl)^MAX(0,2028-2027),0)</f>
        <v/>
      </c>
      <c r="AB56" s="4">
        <f>IF(Headcount!$D$5&lt;=Timeline!AB5,Headcount!$C$5*Headcount!$E$5/12*(1+burden)*(1+salary_infl)^MAX(0,2028-2027),0)</f>
        <v/>
      </c>
      <c r="AC56" s="4">
        <f>Headcount!$C$5*Headcount!$E$5*(1+burden)*(1+salary_infl)^MAX(0,2029-2027)*MAX(0,MIN(12,(2029-YEAR(Headcount!$D$5))*12+13-MONTH(Headcount!$D$5)))/12</f>
        <v/>
      </c>
      <c r="AD56" s="4">
        <f>Headcount!$C$5*Headcount!$E$5*(1+burden)*(1+salary_infl)^MAX(0,2030-2027)*MAX(0,MIN(12,(2030-YEAR(Headcount!$D$5))*12+13-MONTH(Headcount!$D$5)))/12</f>
        <v/>
      </c>
      <c r="AE56" s="4">
        <f>Headcount!$C$5*Headcount!$E$5*(1+burden)*(1+salary_infl)^MAX(0,2031-2027)*MAX(0,MIN(12,(2031-YEAR(Headcount!$D$5))*12+13-MONTH(Headcount!$D$5)))/12</f>
        <v/>
      </c>
      <c r="AG56" s="4">
        <f>SUMIF($C$3:$AE$3,AG$3,$C56:$AE56)</f>
        <v/>
      </c>
      <c r="AH56" s="4">
        <f>SUMIF($C$3:$AE$3,AH$3,$C56:$AE56)</f>
        <v/>
      </c>
      <c r="AI56" s="4">
        <f>SUMIF($C$3:$AE$3,AI$3,$C56:$AE56)</f>
        <v/>
      </c>
      <c r="AJ56" s="4">
        <f>SUMIF($C$3:$AE$3,AJ$3,$C56:$AE56)</f>
        <v/>
      </c>
      <c r="AK56" s="4">
        <f>SUMIF($C$3:$AE$3,AK$3,$C56:$AE56)</f>
        <v/>
      </c>
      <c r="AL56" s="4">
        <f>SUMIF($C$3:$AE$3,AL$3,$C56:$AE56)</f>
        <v/>
      </c>
    </row>
    <row r="57">
      <c r="A57">
        <f>Headcount!A6</f>
        <v/>
      </c>
      <c r="B57" s="2">
        <f>Headcount!B6</f>
        <v/>
      </c>
      <c r="C57" s="4">
        <f>IF(Headcount!$D$6&lt;=Timeline!C5,Headcount!$C$6*Headcount!$E$6/12*(1+burden)*(1+salary_infl)^MAX(0,2026-2027),0)</f>
        <v/>
      </c>
      <c r="D57" s="4">
        <f>IF(Headcount!$D$6&lt;=Timeline!D5,Headcount!$C$6*Headcount!$E$6/12*(1+burden)*(1+salary_infl)^MAX(0,2026-2027),0)</f>
        <v/>
      </c>
      <c r="E57" s="4">
        <f>IF(Headcount!$D$6&lt;=Timeline!E5,Headcount!$C$6*Headcount!$E$6/12*(1+burden)*(1+salary_infl)^MAX(0,2027-2027),0)</f>
        <v/>
      </c>
      <c r="F57" s="4">
        <f>IF(Headcount!$D$6&lt;=Timeline!F5,Headcount!$C$6*Headcount!$E$6/12*(1+burden)*(1+salary_infl)^MAX(0,2027-2027),0)</f>
        <v/>
      </c>
      <c r="G57" s="4">
        <f>IF(Headcount!$D$6&lt;=Timeline!G5,Headcount!$C$6*Headcount!$E$6/12*(1+burden)*(1+salary_infl)^MAX(0,2027-2027),0)</f>
        <v/>
      </c>
      <c r="H57" s="4">
        <f>IF(Headcount!$D$6&lt;=Timeline!H5,Headcount!$C$6*Headcount!$E$6/12*(1+burden)*(1+salary_infl)^MAX(0,2027-2027),0)</f>
        <v/>
      </c>
      <c r="I57" s="4">
        <f>IF(Headcount!$D$6&lt;=Timeline!I5,Headcount!$C$6*Headcount!$E$6/12*(1+burden)*(1+salary_infl)^MAX(0,2027-2027),0)</f>
        <v/>
      </c>
      <c r="J57" s="4">
        <f>IF(Headcount!$D$6&lt;=Timeline!J5,Headcount!$C$6*Headcount!$E$6/12*(1+burden)*(1+salary_infl)^MAX(0,2027-2027),0)</f>
        <v/>
      </c>
      <c r="K57" s="4">
        <f>IF(Headcount!$D$6&lt;=Timeline!K5,Headcount!$C$6*Headcount!$E$6/12*(1+burden)*(1+salary_infl)^MAX(0,2027-2027),0)</f>
        <v/>
      </c>
      <c r="L57" s="4">
        <f>IF(Headcount!$D$6&lt;=Timeline!L5,Headcount!$C$6*Headcount!$E$6/12*(1+burden)*(1+salary_infl)^MAX(0,2027-2027),0)</f>
        <v/>
      </c>
      <c r="M57" s="4">
        <f>IF(Headcount!$D$6&lt;=Timeline!M5,Headcount!$C$6*Headcount!$E$6/12*(1+burden)*(1+salary_infl)^MAX(0,2027-2027),0)</f>
        <v/>
      </c>
      <c r="N57" s="4">
        <f>IF(Headcount!$D$6&lt;=Timeline!N5,Headcount!$C$6*Headcount!$E$6/12*(1+burden)*(1+salary_infl)^MAX(0,2027-2027),0)</f>
        <v/>
      </c>
      <c r="O57" s="4">
        <f>IF(Headcount!$D$6&lt;=Timeline!O5,Headcount!$C$6*Headcount!$E$6/12*(1+burden)*(1+salary_infl)^MAX(0,2027-2027),0)</f>
        <v/>
      </c>
      <c r="P57" s="4">
        <f>IF(Headcount!$D$6&lt;=Timeline!P5,Headcount!$C$6*Headcount!$E$6/12*(1+burden)*(1+salary_infl)^MAX(0,2027-2027),0)</f>
        <v/>
      </c>
      <c r="Q57" s="4">
        <f>IF(Headcount!$D$6&lt;=Timeline!Q5,Headcount!$C$6*Headcount!$E$6/12*(1+burden)*(1+salary_infl)^MAX(0,2028-2027),0)</f>
        <v/>
      </c>
      <c r="R57" s="4">
        <f>IF(Headcount!$D$6&lt;=Timeline!R5,Headcount!$C$6*Headcount!$E$6/12*(1+burden)*(1+salary_infl)^MAX(0,2028-2027),0)</f>
        <v/>
      </c>
      <c r="S57" s="4">
        <f>IF(Headcount!$D$6&lt;=Timeline!S5,Headcount!$C$6*Headcount!$E$6/12*(1+burden)*(1+salary_infl)^MAX(0,2028-2027),0)</f>
        <v/>
      </c>
      <c r="T57" s="4">
        <f>IF(Headcount!$D$6&lt;=Timeline!T5,Headcount!$C$6*Headcount!$E$6/12*(1+burden)*(1+salary_infl)^MAX(0,2028-2027),0)</f>
        <v/>
      </c>
      <c r="U57" s="4">
        <f>IF(Headcount!$D$6&lt;=Timeline!U5,Headcount!$C$6*Headcount!$E$6/12*(1+burden)*(1+salary_infl)^MAX(0,2028-2027),0)</f>
        <v/>
      </c>
      <c r="V57" s="4">
        <f>IF(Headcount!$D$6&lt;=Timeline!V5,Headcount!$C$6*Headcount!$E$6/12*(1+burden)*(1+salary_infl)^MAX(0,2028-2027),0)</f>
        <v/>
      </c>
      <c r="W57" s="4">
        <f>IF(Headcount!$D$6&lt;=Timeline!W5,Headcount!$C$6*Headcount!$E$6/12*(1+burden)*(1+salary_infl)^MAX(0,2028-2027),0)</f>
        <v/>
      </c>
      <c r="X57" s="4">
        <f>IF(Headcount!$D$6&lt;=Timeline!X5,Headcount!$C$6*Headcount!$E$6/12*(1+burden)*(1+salary_infl)^MAX(0,2028-2027),0)</f>
        <v/>
      </c>
      <c r="Y57" s="4">
        <f>IF(Headcount!$D$6&lt;=Timeline!Y5,Headcount!$C$6*Headcount!$E$6/12*(1+burden)*(1+salary_infl)^MAX(0,2028-2027),0)</f>
        <v/>
      </c>
      <c r="Z57" s="4">
        <f>IF(Headcount!$D$6&lt;=Timeline!Z5,Headcount!$C$6*Headcount!$E$6/12*(1+burden)*(1+salary_infl)^MAX(0,2028-2027),0)</f>
        <v/>
      </c>
      <c r="AA57" s="4">
        <f>IF(Headcount!$D$6&lt;=Timeline!AA5,Headcount!$C$6*Headcount!$E$6/12*(1+burden)*(1+salary_infl)^MAX(0,2028-2027),0)</f>
        <v/>
      </c>
      <c r="AB57" s="4">
        <f>IF(Headcount!$D$6&lt;=Timeline!AB5,Headcount!$C$6*Headcount!$E$6/12*(1+burden)*(1+salary_infl)^MAX(0,2028-2027),0)</f>
        <v/>
      </c>
      <c r="AC57" s="4">
        <f>Headcount!$C$6*Headcount!$E$6*(1+burden)*(1+salary_infl)^MAX(0,2029-2027)*MAX(0,MIN(12,(2029-YEAR(Headcount!$D$6))*12+13-MONTH(Headcount!$D$6)))/12</f>
        <v/>
      </c>
      <c r="AD57" s="4">
        <f>Headcount!$C$6*Headcount!$E$6*(1+burden)*(1+salary_infl)^MAX(0,2030-2027)*MAX(0,MIN(12,(2030-YEAR(Headcount!$D$6))*12+13-MONTH(Headcount!$D$6)))/12</f>
        <v/>
      </c>
      <c r="AE57" s="4">
        <f>Headcount!$C$6*Headcount!$E$6*(1+burden)*(1+salary_infl)^MAX(0,2031-2027)*MAX(0,MIN(12,(2031-YEAR(Headcount!$D$6))*12+13-MONTH(Headcount!$D$6)))/12</f>
        <v/>
      </c>
      <c r="AG57" s="4">
        <f>SUMIF($C$3:$AE$3,AG$3,$C57:$AE57)</f>
        <v/>
      </c>
      <c r="AH57" s="4">
        <f>SUMIF($C$3:$AE$3,AH$3,$C57:$AE57)</f>
        <v/>
      </c>
      <c r="AI57" s="4">
        <f>SUMIF($C$3:$AE$3,AI$3,$C57:$AE57)</f>
        <v/>
      </c>
      <c r="AJ57" s="4">
        <f>SUMIF($C$3:$AE$3,AJ$3,$C57:$AE57)</f>
        <v/>
      </c>
      <c r="AK57" s="4">
        <f>SUMIF($C$3:$AE$3,AK$3,$C57:$AE57)</f>
        <v/>
      </c>
      <c r="AL57" s="4">
        <f>SUMIF($C$3:$AE$3,AL$3,$C57:$AE57)</f>
        <v/>
      </c>
    </row>
    <row r="58">
      <c r="A58">
        <f>Headcount!A7</f>
        <v/>
      </c>
      <c r="B58" s="2">
        <f>Headcount!B7</f>
        <v/>
      </c>
      <c r="C58" s="4">
        <f>IF(Headcount!$D$7&lt;=Timeline!C5,Headcount!$C$7*Headcount!$E$7/12*(1+burden)*(1+salary_infl)^MAX(0,2026-2027),0)</f>
        <v/>
      </c>
      <c r="D58" s="4">
        <f>IF(Headcount!$D$7&lt;=Timeline!D5,Headcount!$C$7*Headcount!$E$7/12*(1+burden)*(1+salary_infl)^MAX(0,2026-2027),0)</f>
        <v/>
      </c>
      <c r="E58" s="4">
        <f>IF(Headcount!$D$7&lt;=Timeline!E5,Headcount!$C$7*Headcount!$E$7/12*(1+burden)*(1+salary_infl)^MAX(0,2027-2027),0)</f>
        <v/>
      </c>
      <c r="F58" s="4">
        <f>IF(Headcount!$D$7&lt;=Timeline!F5,Headcount!$C$7*Headcount!$E$7/12*(1+burden)*(1+salary_infl)^MAX(0,2027-2027),0)</f>
        <v/>
      </c>
      <c r="G58" s="4">
        <f>IF(Headcount!$D$7&lt;=Timeline!G5,Headcount!$C$7*Headcount!$E$7/12*(1+burden)*(1+salary_infl)^MAX(0,2027-2027),0)</f>
        <v/>
      </c>
      <c r="H58" s="4">
        <f>IF(Headcount!$D$7&lt;=Timeline!H5,Headcount!$C$7*Headcount!$E$7/12*(1+burden)*(1+salary_infl)^MAX(0,2027-2027),0)</f>
        <v/>
      </c>
      <c r="I58" s="4">
        <f>IF(Headcount!$D$7&lt;=Timeline!I5,Headcount!$C$7*Headcount!$E$7/12*(1+burden)*(1+salary_infl)^MAX(0,2027-2027),0)</f>
        <v/>
      </c>
      <c r="J58" s="4">
        <f>IF(Headcount!$D$7&lt;=Timeline!J5,Headcount!$C$7*Headcount!$E$7/12*(1+burden)*(1+salary_infl)^MAX(0,2027-2027),0)</f>
        <v/>
      </c>
      <c r="K58" s="4">
        <f>IF(Headcount!$D$7&lt;=Timeline!K5,Headcount!$C$7*Headcount!$E$7/12*(1+burden)*(1+salary_infl)^MAX(0,2027-2027),0)</f>
        <v/>
      </c>
      <c r="L58" s="4">
        <f>IF(Headcount!$D$7&lt;=Timeline!L5,Headcount!$C$7*Headcount!$E$7/12*(1+burden)*(1+salary_infl)^MAX(0,2027-2027),0)</f>
        <v/>
      </c>
      <c r="M58" s="4">
        <f>IF(Headcount!$D$7&lt;=Timeline!M5,Headcount!$C$7*Headcount!$E$7/12*(1+burden)*(1+salary_infl)^MAX(0,2027-2027),0)</f>
        <v/>
      </c>
      <c r="N58" s="4">
        <f>IF(Headcount!$D$7&lt;=Timeline!N5,Headcount!$C$7*Headcount!$E$7/12*(1+burden)*(1+salary_infl)^MAX(0,2027-2027),0)</f>
        <v/>
      </c>
      <c r="O58" s="4">
        <f>IF(Headcount!$D$7&lt;=Timeline!O5,Headcount!$C$7*Headcount!$E$7/12*(1+burden)*(1+salary_infl)^MAX(0,2027-2027),0)</f>
        <v/>
      </c>
      <c r="P58" s="4">
        <f>IF(Headcount!$D$7&lt;=Timeline!P5,Headcount!$C$7*Headcount!$E$7/12*(1+burden)*(1+salary_infl)^MAX(0,2027-2027),0)</f>
        <v/>
      </c>
      <c r="Q58" s="4">
        <f>IF(Headcount!$D$7&lt;=Timeline!Q5,Headcount!$C$7*Headcount!$E$7/12*(1+burden)*(1+salary_infl)^MAX(0,2028-2027),0)</f>
        <v/>
      </c>
      <c r="R58" s="4">
        <f>IF(Headcount!$D$7&lt;=Timeline!R5,Headcount!$C$7*Headcount!$E$7/12*(1+burden)*(1+salary_infl)^MAX(0,2028-2027),0)</f>
        <v/>
      </c>
      <c r="S58" s="4">
        <f>IF(Headcount!$D$7&lt;=Timeline!S5,Headcount!$C$7*Headcount!$E$7/12*(1+burden)*(1+salary_infl)^MAX(0,2028-2027),0)</f>
        <v/>
      </c>
      <c r="T58" s="4">
        <f>IF(Headcount!$D$7&lt;=Timeline!T5,Headcount!$C$7*Headcount!$E$7/12*(1+burden)*(1+salary_infl)^MAX(0,2028-2027),0)</f>
        <v/>
      </c>
      <c r="U58" s="4">
        <f>IF(Headcount!$D$7&lt;=Timeline!U5,Headcount!$C$7*Headcount!$E$7/12*(1+burden)*(1+salary_infl)^MAX(0,2028-2027),0)</f>
        <v/>
      </c>
      <c r="V58" s="4">
        <f>IF(Headcount!$D$7&lt;=Timeline!V5,Headcount!$C$7*Headcount!$E$7/12*(1+burden)*(1+salary_infl)^MAX(0,2028-2027),0)</f>
        <v/>
      </c>
      <c r="W58" s="4">
        <f>IF(Headcount!$D$7&lt;=Timeline!W5,Headcount!$C$7*Headcount!$E$7/12*(1+burden)*(1+salary_infl)^MAX(0,2028-2027),0)</f>
        <v/>
      </c>
      <c r="X58" s="4">
        <f>IF(Headcount!$D$7&lt;=Timeline!X5,Headcount!$C$7*Headcount!$E$7/12*(1+burden)*(1+salary_infl)^MAX(0,2028-2027),0)</f>
        <v/>
      </c>
      <c r="Y58" s="4">
        <f>IF(Headcount!$D$7&lt;=Timeline!Y5,Headcount!$C$7*Headcount!$E$7/12*(1+burden)*(1+salary_infl)^MAX(0,2028-2027),0)</f>
        <v/>
      </c>
      <c r="Z58" s="4">
        <f>IF(Headcount!$D$7&lt;=Timeline!Z5,Headcount!$C$7*Headcount!$E$7/12*(1+burden)*(1+salary_infl)^MAX(0,2028-2027),0)</f>
        <v/>
      </c>
      <c r="AA58" s="4">
        <f>IF(Headcount!$D$7&lt;=Timeline!AA5,Headcount!$C$7*Headcount!$E$7/12*(1+burden)*(1+salary_infl)^MAX(0,2028-2027),0)</f>
        <v/>
      </c>
      <c r="AB58" s="4">
        <f>IF(Headcount!$D$7&lt;=Timeline!AB5,Headcount!$C$7*Headcount!$E$7/12*(1+burden)*(1+salary_infl)^MAX(0,2028-2027),0)</f>
        <v/>
      </c>
      <c r="AC58" s="4">
        <f>Headcount!$C$7*Headcount!$E$7*(1+burden)*(1+salary_infl)^MAX(0,2029-2027)*MAX(0,MIN(12,(2029-YEAR(Headcount!$D$7))*12+13-MONTH(Headcount!$D$7)))/12</f>
        <v/>
      </c>
      <c r="AD58" s="4">
        <f>Headcount!$C$7*Headcount!$E$7*(1+burden)*(1+salary_infl)^MAX(0,2030-2027)*MAX(0,MIN(12,(2030-YEAR(Headcount!$D$7))*12+13-MONTH(Headcount!$D$7)))/12</f>
        <v/>
      </c>
      <c r="AE58" s="4">
        <f>Headcount!$C$7*Headcount!$E$7*(1+burden)*(1+salary_infl)^MAX(0,2031-2027)*MAX(0,MIN(12,(2031-YEAR(Headcount!$D$7))*12+13-MONTH(Headcount!$D$7)))/12</f>
        <v/>
      </c>
      <c r="AG58" s="4">
        <f>SUMIF($C$3:$AE$3,AG$3,$C58:$AE58)</f>
        <v/>
      </c>
      <c r="AH58" s="4">
        <f>SUMIF($C$3:$AE$3,AH$3,$C58:$AE58)</f>
        <v/>
      </c>
      <c r="AI58" s="4">
        <f>SUMIF($C$3:$AE$3,AI$3,$C58:$AE58)</f>
        <v/>
      </c>
      <c r="AJ58" s="4">
        <f>SUMIF($C$3:$AE$3,AJ$3,$C58:$AE58)</f>
        <v/>
      </c>
      <c r="AK58" s="4">
        <f>SUMIF($C$3:$AE$3,AK$3,$C58:$AE58)</f>
        <v/>
      </c>
      <c r="AL58" s="4">
        <f>SUMIF($C$3:$AE$3,AL$3,$C58:$AE58)</f>
        <v/>
      </c>
    </row>
    <row r="59">
      <c r="A59">
        <f>Headcount!A8</f>
        <v/>
      </c>
      <c r="B59" s="2">
        <f>Headcount!B8</f>
        <v/>
      </c>
      <c r="C59" s="4">
        <f>IF(Headcount!$D$8&lt;=Timeline!C5,Headcount!$C$8*Headcount!$E$8/12*(1+burden)*(1+salary_infl)^MAX(0,2026-2027),0)</f>
        <v/>
      </c>
      <c r="D59" s="4">
        <f>IF(Headcount!$D$8&lt;=Timeline!D5,Headcount!$C$8*Headcount!$E$8/12*(1+burden)*(1+salary_infl)^MAX(0,2026-2027),0)</f>
        <v/>
      </c>
      <c r="E59" s="4">
        <f>IF(Headcount!$D$8&lt;=Timeline!E5,Headcount!$C$8*Headcount!$E$8/12*(1+burden)*(1+salary_infl)^MAX(0,2027-2027),0)</f>
        <v/>
      </c>
      <c r="F59" s="4">
        <f>IF(Headcount!$D$8&lt;=Timeline!F5,Headcount!$C$8*Headcount!$E$8/12*(1+burden)*(1+salary_infl)^MAX(0,2027-2027),0)</f>
        <v/>
      </c>
      <c r="G59" s="4">
        <f>IF(Headcount!$D$8&lt;=Timeline!G5,Headcount!$C$8*Headcount!$E$8/12*(1+burden)*(1+salary_infl)^MAX(0,2027-2027),0)</f>
        <v/>
      </c>
      <c r="H59" s="4">
        <f>IF(Headcount!$D$8&lt;=Timeline!H5,Headcount!$C$8*Headcount!$E$8/12*(1+burden)*(1+salary_infl)^MAX(0,2027-2027),0)</f>
        <v/>
      </c>
      <c r="I59" s="4">
        <f>IF(Headcount!$D$8&lt;=Timeline!I5,Headcount!$C$8*Headcount!$E$8/12*(1+burden)*(1+salary_infl)^MAX(0,2027-2027),0)</f>
        <v/>
      </c>
      <c r="J59" s="4">
        <f>IF(Headcount!$D$8&lt;=Timeline!J5,Headcount!$C$8*Headcount!$E$8/12*(1+burden)*(1+salary_infl)^MAX(0,2027-2027),0)</f>
        <v/>
      </c>
      <c r="K59" s="4">
        <f>IF(Headcount!$D$8&lt;=Timeline!K5,Headcount!$C$8*Headcount!$E$8/12*(1+burden)*(1+salary_infl)^MAX(0,2027-2027),0)</f>
        <v/>
      </c>
      <c r="L59" s="4">
        <f>IF(Headcount!$D$8&lt;=Timeline!L5,Headcount!$C$8*Headcount!$E$8/12*(1+burden)*(1+salary_infl)^MAX(0,2027-2027),0)</f>
        <v/>
      </c>
      <c r="M59" s="4">
        <f>IF(Headcount!$D$8&lt;=Timeline!M5,Headcount!$C$8*Headcount!$E$8/12*(1+burden)*(1+salary_infl)^MAX(0,2027-2027),0)</f>
        <v/>
      </c>
      <c r="N59" s="4">
        <f>IF(Headcount!$D$8&lt;=Timeline!N5,Headcount!$C$8*Headcount!$E$8/12*(1+burden)*(1+salary_infl)^MAX(0,2027-2027),0)</f>
        <v/>
      </c>
      <c r="O59" s="4">
        <f>IF(Headcount!$D$8&lt;=Timeline!O5,Headcount!$C$8*Headcount!$E$8/12*(1+burden)*(1+salary_infl)^MAX(0,2027-2027),0)</f>
        <v/>
      </c>
      <c r="P59" s="4">
        <f>IF(Headcount!$D$8&lt;=Timeline!P5,Headcount!$C$8*Headcount!$E$8/12*(1+burden)*(1+salary_infl)^MAX(0,2027-2027),0)</f>
        <v/>
      </c>
      <c r="Q59" s="4">
        <f>IF(Headcount!$D$8&lt;=Timeline!Q5,Headcount!$C$8*Headcount!$E$8/12*(1+burden)*(1+salary_infl)^MAX(0,2028-2027),0)</f>
        <v/>
      </c>
      <c r="R59" s="4">
        <f>IF(Headcount!$D$8&lt;=Timeline!R5,Headcount!$C$8*Headcount!$E$8/12*(1+burden)*(1+salary_infl)^MAX(0,2028-2027),0)</f>
        <v/>
      </c>
      <c r="S59" s="4">
        <f>IF(Headcount!$D$8&lt;=Timeline!S5,Headcount!$C$8*Headcount!$E$8/12*(1+burden)*(1+salary_infl)^MAX(0,2028-2027),0)</f>
        <v/>
      </c>
      <c r="T59" s="4">
        <f>IF(Headcount!$D$8&lt;=Timeline!T5,Headcount!$C$8*Headcount!$E$8/12*(1+burden)*(1+salary_infl)^MAX(0,2028-2027),0)</f>
        <v/>
      </c>
      <c r="U59" s="4">
        <f>IF(Headcount!$D$8&lt;=Timeline!U5,Headcount!$C$8*Headcount!$E$8/12*(1+burden)*(1+salary_infl)^MAX(0,2028-2027),0)</f>
        <v/>
      </c>
      <c r="V59" s="4">
        <f>IF(Headcount!$D$8&lt;=Timeline!V5,Headcount!$C$8*Headcount!$E$8/12*(1+burden)*(1+salary_infl)^MAX(0,2028-2027),0)</f>
        <v/>
      </c>
      <c r="W59" s="4">
        <f>IF(Headcount!$D$8&lt;=Timeline!W5,Headcount!$C$8*Headcount!$E$8/12*(1+burden)*(1+salary_infl)^MAX(0,2028-2027),0)</f>
        <v/>
      </c>
      <c r="X59" s="4">
        <f>IF(Headcount!$D$8&lt;=Timeline!X5,Headcount!$C$8*Headcount!$E$8/12*(1+burden)*(1+salary_infl)^MAX(0,2028-2027),0)</f>
        <v/>
      </c>
      <c r="Y59" s="4">
        <f>IF(Headcount!$D$8&lt;=Timeline!Y5,Headcount!$C$8*Headcount!$E$8/12*(1+burden)*(1+salary_infl)^MAX(0,2028-2027),0)</f>
        <v/>
      </c>
      <c r="Z59" s="4">
        <f>IF(Headcount!$D$8&lt;=Timeline!Z5,Headcount!$C$8*Headcount!$E$8/12*(1+burden)*(1+salary_infl)^MAX(0,2028-2027),0)</f>
        <v/>
      </c>
      <c r="AA59" s="4">
        <f>IF(Headcount!$D$8&lt;=Timeline!AA5,Headcount!$C$8*Headcount!$E$8/12*(1+burden)*(1+salary_infl)^MAX(0,2028-2027),0)</f>
        <v/>
      </c>
      <c r="AB59" s="4">
        <f>IF(Headcount!$D$8&lt;=Timeline!AB5,Headcount!$C$8*Headcount!$E$8/12*(1+burden)*(1+salary_infl)^MAX(0,2028-2027),0)</f>
        <v/>
      </c>
      <c r="AC59" s="4">
        <f>Headcount!$C$8*Headcount!$E$8*(1+burden)*(1+salary_infl)^MAX(0,2029-2027)*MAX(0,MIN(12,(2029-YEAR(Headcount!$D$8))*12+13-MONTH(Headcount!$D$8)))/12</f>
        <v/>
      </c>
      <c r="AD59" s="4">
        <f>Headcount!$C$8*Headcount!$E$8*(1+burden)*(1+salary_infl)^MAX(0,2030-2027)*MAX(0,MIN(12,(2030-YEAR(Headcount!$D$8))*12+13-MONTH(Headcount!$D$8)))/12</f>
        <v/>
      </c>
      <c r="AE59" s="4">
        <f>Headcount!$C$8*Headcount!$E$8*(1+burden)*(1+salary_infl)^MAX(0,2031-2027)*MAX(0,MIN(12,(2031-YEAR(Headcount!$D$8))*12+13-MONTH(Headcount!$D$8)))/12</f>
        <v/>
      </c>
      <c r="AG59" s="4">
        <f>SUMIF($C$3:$AE$3,AG$3,$C59:$AE59)</f>
        <v/>
      </c>
      <c r="AH59" s="4">
        <f>SUMIF($C$3:$AE$3,AH$3,$C59:$AE59)</f>
        <v/>
      </c>
      <c r="AI59" s="4">
        <f>SUMIF($C$3:$AE$3,AI$3,$C59:$AE59)</f>
        <v/>
      </c>
      <c r="AJ59" s="4">
        <f>SUMIF($C$3:$AE$3,AJ$3,$C59:$AE59)</f>
        <v/>
      </c>
      <c r="AK59" s="4">
        <f>SUMIF($C$3:$AE$3,AK$3,$C59:$AE59)</f>
        <v/>
      </c>
      <c r="AL59" s="4">
        <f>SUMIF($C$3:$AE$3,AL$3,$C59:$AE59)</f>
        <v/>
      </c>
    </row>
    <row r="60">
      <c r="A60">
        <f>Headcount!A9</f>
        <v/>
      </c>
      <c r="B60" s="2">
        <f>Headcount!B9</f>
        <v/>
      </c>
      <c r="C60" s="4">
        <f>IF(Headcount!$D$9&lt;=Timeline!C5,Headcount!$C$9*Headcount!$E$9/12*(1+burden)*(1+salary_infl)^MAX(0,2026-2027),0)</f>
        <v/>
      </c>
      <c r="D60" s="4">
        <f>IF(Headcount!$D$9&lt;=Timeline!D5,Headcount!$C$9*Headcount!$E$9/12*(1+burden)*(1+salary_infl)^MAX(0,2026-2027),0)</f>
        <v/>
      </c>
      <c r="E60" s="4">
        <f>IF(Headcount!$D$9&lt;=Timeline!E5,Headcount!$C$9*Headcount!$E$9/12*(1+burden)*(1+salary_infl)^MAX(0,2027-2027),0)</f>
        <v/>
      </c>
      <c r="F60" s="4">
        <f>IF(Headcount!$D$9&lt;=Timeline!F5,Headcount!$C$9*Headcount!$E$9/12*(1+burden)*(1+salary_infl)^MAX(0,2027-2027),0)</f>
        <v/>
      </c>
      <c r="G60" s="4">
        <f>IF(Headcount!$D$9&lt;=Timeline!G5,Headcount!$C$9*Headcount!$E$9/12*(1+burden)*(1+salary_infl)^MAX(0,2027-2027),0)</f>
        <v/>
      </c>
      <c r="H60" s="4">
        <f>IF(Headcount!$D$9&lt;=Timeline!H5,Headcount!$C$9*Headcount!$E$9/12*(1+burden)*(1+salary_infl)^MAX(0,2027-2027),0)</f>
        <v/>
      </c>
      <c r="I60" s="4">
        <f>IF(Headcount!$D$9&lt;=Timeline!I5,Headcount!$C$9*Headcount!$E$9/12*(1+burden)*(1+salary_infl)^MAX(0,2027-2027),0)</f>
        <v/>
      </c>
      <c r="J60" s="4">
        <f>IF(Headcount!$D$9&lt;=Timeline!J5,Headcount!$C$9*Headcount!$E$9/12*(1+burden)*(1+salary_infl)^MAX(0,2027-2027),0)</f>
        <v/>
      </c>
      <c r="K60" s="4">
        <f>IF(Headcount!$D$9&lt;=Timeline!K5,Headcount!$C$9*Headcount!$E$9/12*(1+burden)*(1+salary_infl)^MAX(0,2027-2027),0)</f>
        <v/>
      </c>
      <c r="L60" s="4">
        <f>IF(Headcount!$D$9&lt;=Timeline!L5,Headcount!$C$9*Headcount!$E$9/12*(1+burden)*(1+salary_infl)^MAX(0,2027-2027),0)</f>
        <v/>
      </c>
      <c r="M60" s="4">
        <f>IF(Headcount!$D$9&lt;=Timeline!M5,Headcount!$C$9*Headcount!$E$9/12*(1+burden)*(1+salary_infl)^MAX(0,2027-2027),0)</f>
        <v/>
      </c>
      <c r="N60" s="4">
        <f>IF(Headcount!$D$9&lt;=Timeline!N5,Headcount!$C$9*Headcount!$E$9/12*(1+burden)*(1+salary_infl)^MAX(0,2027-2027),0)</f>
        <v/>
      </c>
      <c r="O60" s="4">
        <f>IF(Headcount!$D$9&lt;=Timeline!O5,Headcount!$C$9*Headcount!$E$9/12*(1+burden)*(1+salary_infl)^MAX(0,2027-2027),0)</f>
        <v/>
      </c>
      <c r="P60" s="4">
        <f>IF(Headcount!$D$9&lt;=Timeline!P5,Headcount!$C$9*Headcount!$E$9/12*(1+burden)*(1+salary_infl)^MAX(0,2027-2027),0)</f>
        <v/>
      </c>
      <c r="Q60" s="4">
        <f>IF(Headcount!$D$9&lt;=Timeline!Q5,Headcount!$C$9*Headcount!$E$9/12*(1+burden)*(1+salary_infl)^MAX(0,2028-2027),0)</f>
        <v/>
      </c>
      <c r="R60" s="4">
        <f>IF(Headcount!$D$9&lt;=Timeline!R5,Headcount!$C$9*Headcount!$E$9/12*(1+burden)*(1+salary_infl)^MAX(0,2028-2027),0)</f>
        <v/>
      </c>
      <c r="S60" s="4">
        <f>IF(Headcount!$D$9&lt;=Timeline!S5,Headcount!$C$9*Headcount!$E$9/12*(1+burden)*(1+salary_infl)^MAX(0,2028-2027),0)</f>
        <v/>
      </c>
      <c r="T60" s="4">
        <f>IF(Headcount!$D$9&lt;=Timeline!T5,Headcount!$C$9*Headcount!$E$9/12*(1+burden)*(1+salary_infl)^MAX(0,2028-2027),0)</f>
        <v/>
      </c>
      <c r="U60" s="4">
        <f>IF(Headcount!$D$9&lt;=Timeline!U5,Headcount!$C$9*Headcount!$E$9/12*(1+burden)*(1+salary_infl)^MAX(0,2028-2027),0)</f>
        <v/>
      </c>
      <c r="V60" s="4">
        <f>IF(Headcount!$D$9&lt;=Timeline!V5,Headcount!$C$9*Headcount!$E$9/12*(1+burden)*(1+salary_infl)^MAX(0,2028-2027),0)</f>
        <v/>
      </c>
      <c r="W60" s="4">
        <f>IF(Headcount!$D$9&lt;=Timeline!W5,Headcount!$C$9*Headcount!$E$9/12*(1+burden)*(1+salary_infl)^MAX(0,2028-2027),0)</f>
        <v/>
      </c>
      <c r="X60" s="4">
        <f>IF(Headcount!$D$9&lt;=Timeline!X5,Headcount!$C$9*Headcount!$E$9/12*(1+burden)*(1+salary_infl)^MAX(0,2028-2027),0)</f>
        <v/>
      </c>
      <c r="Y60" s="4">
        <f>IF(Headcount!$D$9&lt;=Timeline!Y5,Headcount!$C$9*Headcount!$E$9/12*(1+burden)*(1+salary_infl)^MAX(0,2028-2027),0)</f>
        <v/>
      </c>
      <c r="Z60" s="4">
        <f>IF(Headcount!$D$9&lt;=Timeline!Z5,Headcount!$C$9*Headcount!$E$9/12*(1+burden)*(1+salary_infl)^MAX(0,2028-2027),0)</f>
        <v/>
      </c>
      <c r="AA60" s="4">
        <f>IF(Headcount!$D$9&lt;=Timeline!AA5,Headcount!$C$9*Headcount!$E$9/12*(1+burden)*(1+salary_infl)^MAX(0,2028-2027),0)</f>
        <v/>
      </c>
      <c r="AB60" s="4">
        <f>IF(Headcount!$D$9&lt;=Timeline!AB5,Headcount!$C$9*Headcount!$E$9/12*(1+burden)*(1+salary_infl)^MAX(0,2028-2027),0)</f>
        <v/>
      </c>
      <c r="AC60" s="4">
        <f>Headcount!$C$9*Headcount!$E$9*(1+burden)*(1+salary_infl)^MAX(0,2029-2027)*MAX(0,MIN(12,(2029-YEAR(Headcount!$D$9))*12+13-MONTH(Headcount!$D$9)))/12</f>
        <v/>
      </c>
      <c r="AD60" s="4">
        <f>Headcount!$C$9*Headcount!$E$9*(1+burden)*(1+salary_infl)^MAX(0,2030-2027)*MAX(0,MIN(12,(2030-YEAR(Headcount!$D$9))*12+13-MONTH(Headcount!$D$9)))/12</f>
        <v/>
      </c>
      <c r="AE60" s="4">
        <f>Headcount!$C$9*Headcount!$E$9*(1+burden)*(1+salary_infl)^MAX(0,2031-2027)*MAX(0,MIN(12,(2031-YEAR(Headcount!$D$9))*12+13-MONTH(Headcount!$D$9)))/12</f>
        <v/>
      </c>
      <c r="AG60" s="4">
        <f>SUMIF($C$3:$AE$3,AG$3,$C60:$AE60)</f>
        <v/>
      </c>
      <c r="AH60" s="4">
        <f>SUMIF($C$3:$AE$3,AH$3,$C60:$AE60)</f>
        <v/>
      </c>
      <c r="AI60" s="4">
        <f>SUMIF($C$3:$AE$3,AI$3,$C60:$AE60)</f>
        <v/>
      </c>
      <c r="AJ60" s="4">
        <f>SUMIF($C$3:$AE$3,AJ$3,$C60:$AE60)</f>
        <v/>
      </c>
      <c r="AK60" s="4">
        <f>SUMIF($C$3:$AE$3,AK$3,$C60:$AE60)</f>
        <v/>
      </c>
      <c r="AL60" s="4">
        <f>SUMIF($C$3:$AE$3,AL$3,$C60:$AE60)</f>
        <v/>
      </c>
    </row>
    <row r="61">
      <c r="A61">
        <f>Headcount!A10</f>
        <v/>
      </c>
      <c r="B61" s="2">
        <f>Headcount!B10</f>
        <v/>
      </c>
      <c r="C61" s="4">
        <f>IF(Headcount!$D$10&lt;=Timeline!C5,Headcount!$C$10*Headcount!$E$10/12*(1+burden)*(1+salary_infl)^MAX(0,2026-2027),0)</f>
        <v/>
      </c>
      <c r="D61" s="4">
        <f>IF(Headcount!$D$10&lt;=Timeline!D5,Headcount!$C$10*Headcount!$E$10/12*(1+burden)*(1+salary_infl)^MAX(0,2026-2027),0)</f>
        <v/>
      </c>
      <c r="E61" s="4">
        <f>IF(Headcount!$D$10&lt;=Timeline!E5,Headcount!$C$10*Headcount!$E$10/12*(1+burden)*(1+salary_infl)^MAX(0,2027-2027),0)</f>
        <v/>
      </c>
      <c r="F61" s="4">
        <f>IF(Headcount!$D$10&lt;=Timeline!F5,Headcount!$C$10*Headcount!$E$10/12*(1+burden)*(1+salary_infl)^MAX(0,2027-2027),0)</f>
        <v/>
      </c>
      <c r="G61" s="4">
        <f>IF(Headcount!$D$10&lt;=Timeline!G5,Headcount!$C$10*Headcount!$E$10/12*(1+burden)*(1+salary_infl)^MAX(0,2027-2027),0)</f>
        <v/>
      </c>
      <c r="H61" s="4">
        <f>IF(Headcount!$D$10&lt;=Timeline!H5,Headcount!$C$10*Headcount!$E$10/12*(1+burden)*(1+salary_infl)^MAX(0,2027-2027),0)</f>
        <v/>
      </c>
      <c r="I61" s="4">
        <f>IF(Headcount!$D$10&lt;=Timeline!I5,Headcount!$C$10*Headcount!$E$10/12*(1+burden)*(1+salary_infl)^MAX(0,2027-2027),0)</f>
        <v/>
      </c>
      <c r="J61" s="4">
        <f>IF(Headcount!$D$10&lt;=Timeline!J5,Headcount!$C$10*Headcount!$E$10/12*(1+burden)*(1+salary_infl)^MAX(0,2027-2027),0)</f>
        <v/>
      </c>
      <c r="K61" s="4">
        <f>IF(Headcount!$D$10&lt;=Timeline!K5,Headcount!$C$10*Headcount!$E$10/12*(1+burden)*(1+salary_infl)^MAX(0,2027-2027),0)</f>
        <v/>
      </c>
      <c r="L61" s="4">
        <f>IF(Headcount!$D$10&lt;=Timeline!L5,Headcount!$C$10*Headcount!$E$10/12*(1+burden)*(1+salary_infl)^MAX(0,2027-2027),0)</f>
        <v/>
      </c>
      <c r="M61" s="4">
        <f>IF(Headcount!$D$10&lt;=Timeline!M5,Headcount!$C$10*Headcount!$E$10/12*(1+burden)*(1+salary_infl)^MAX(0,2027-2027),0)</f>
        <v/>
      </c>
      <c r="N61" s="4">
        <f>IF(Headcount!$D$10&lt;=Timeline!N5,Headcount!$C$10*Headcount!$E$10/12*(1+burden)*(1+salary_infl)^MAX(0,2027-2027),0)</f>
        <v/>
      </c>
      <c r="O61" s="4">
        <f>IF(Headcount!$D$10&lt;=Timeline!O5,Headcount!$C$10*Headcount!$E$10/12*(1+burden)*(1+salary_infl)^MAX(0,2027-2027),0)</f>
        <v/>
      </c>
      <c r="P61" s="4">
        <f>IF(Headcount!$D$10&lt;=Timeline!P5,Headcount!$C$10*Headcount!$E$10/12*(1+burden)*(1+salary_infl)^MAX(0,2027-2027),0)</f>
        <v/>
      </c>
      <c r="Q61" s="4">
        <f>IF(Headcount!$D$10&lt;=Timeline!Q5,Headcount!$C$10*Headcount!$E$10/12*(1+burden)*(1+salary_infl)^MAX(0,2028-2027),0)</f>
        <v/>
      </c>
      <c r="R61" s="4">
        <f>IF(Headcount!$D$10&lt;=Timeline!R5,Headcount!$C$10*Headcount!$E$10/12*(1+burden)*(1+salary_infl)^MAX(0,2028-2027),0)</f>
        <v/>
      </c>
      <c r="S61" s="4">
        <f>IF(Headcount!$D$10&lt;=Timeline!S5,Headcount!$C$10*Headcount!$E$10/12*(1+burden)*(1+salary_infl)^MAX(0,2028-2027),0)</f>
        <v/>
      </c>
      <c r="T61" s="4">
        <f>IF(Headcount!$D$10&lt;=Timeline!T5,Headcount!$C$10*Headcount!$E$10/12*(1+burden)*(1+salary_infl)^MAX(0,2028-2027),0)</f>
        <v/>
      </c>
      <c r="U61" s="4">
        <f>IF(Headcount!$D$10&lt;=Timeline!U5,Headcount!$C$10*Headcount!$E$10/12*(1+burden)*(1+salary_infl)^MAX(0,2028-2027),0)</f>
        <v/>
      </c>
      <c r="V61" s="4">
        <f>IF(Headcount!$D$10&lt;=Timeline!V5,Headcount!$C$10*Headcount!$E$10/12*(1+burden)*(1+salary_infl)^MAX(0,2028-2027),0)</f>
        <v/>
      </c>
      <c r="W61" s="4">
        <f>IF(Headcount!$D$10&lt;=Timeline!W5,Headcount!$C$10*Headcount!$E$10/12*(1+burden)*(1+salary_infl)^MAX(0,2028-2027),0)</f>
        <v/>
      </c>
      <c r="X61" s="4">
        <f>IF(Headcount!$D$10&lt;=Timeline!X5,Headcount!$C$10*Headcount!$E$10/12*(1+burden)*(1+salary_infl)^MAX(0,2028-2027),0)</f>
        <v/>
      </c>
      <c r="Y61" s="4">
        <f>IF(Headcount!$D$10&lt;=Timeline!Y5,Headcount!$C$10*Headcount!$E$10/12*(1+burden)*(1+salary_infl)^MAX(0,2028-2027),0)</f>
        <v/>
      </c>
      <c r="Z61" s="4">
        <f>IF(Headcount!$D$10&lt;=Timeline!Z5,Headcount!$C$10*Headcount!$E$10/12*(1+burden)*(1+salary_infl)^MAX(0,2028-2027),0)</f>
        <v/>
      </c>
      <c r="AA61" s="4">
        <f>IF(Headcount!$D$10&lt;=Timeline!AA5,Headcount!$C$10*Headcount!$E$10/12*(1+burden)*(1+salary_infl)^MAX(0,2028-2027),0)</f>
        <v/>
      </c>
      <c r="AB61" s="4">
        <f>IF(Headcount!$D$10&lt;=Timeline!AB5,Headcount!$C$10*Headcount!$E$10/12*(1+burden)*(1+salary_infl)^MAX(0,2028-2027),0)</f>
        <v/>
      </c>
      <c r="AC61" s="4">
        <f>Headcount!$C$10*Headcount!$E$10*(1+burden)*(1+salary_infl)^MAX(0,2029-2027)*MAX(0,MIN(12,(2029-YEAR(Headcount!$D$10))*12+13-MONTH(Headcount!$D$10)))/12</f>
        <v/>
      </c>
      <c r="AD61" s="4">
        <f>Headcount!$C$10*Headcount!$E$10*(1+burden)*(1+salary_infl)^MAX(0,2030-2027)*MAX(0,MIN(12,(2030-YEAR(Headcount!$D$10))*12+13-MONTH(Headcount!$D$10)))/12</f>
        <v/>
      </c>
      <c r="AE61" s="4">
        <f>Headcount!$C$10*Headcount!$E$10*(1+burden)*(1+salary_infl)^MAX(0,2031-2027)*MAX(0,MIN(12,(2031-YEAR(Headcount!$D$10))*12+13-MONTH(Headcount!$D$10)))/12</f>
        <v/>
      </c>
      <c r="AG61" s="4">
        <f>SUMIF($C$3:$AE$3,AG$3,$C61:$AE61)</f>
        <v/>
      </c>
      <c r="AH61" s="4">
        <f>SUMIF($C$3:$AE$3,AH$3,$C61:$AE61)</f>
        <v/>
      </c>
      <c r="AI61" s="4">
        <f>SUMIF($C$3:$AE$3,AI$3,$C61:$AE61)</f>
        <v/>
      </c>
      <c r="AJ61" s="4">
        <f>SUMIF($C$3:$AE$3,AJ$3,$C61:$AE61)</f>
        <v/>
      </c>
      <c r="AK61" s="4">
        <f>SUMIF($C$3:$AE$3,AK$3,$C61:$AE61)</f>
        <v/>
      </c>
      <c r="AL61" s="4">
        <f>SUMIF($C$3:$AE$3,AL$3,$C61:$AE61)</f>
        <v/>
      </c>
    </row>
    <row r="62">
      <c r="A62">
        <f>Headcount!A11</f>
        <v/>
      </c>
      <c r="B62" s="2">
        <f>Headcount!B11</f>
        <v/>
      </c>
      <c r="C62" s="4">
        <f>IF(Headcount!$D$11&lt;=Timeline!C5,Headcount!$C$11*Headcount!$E$11/12*(1+burden)*(1+salary_infl)^MAX(0,2026-2027),0)</f>
        <v/>
      </c>
      <c r="D62" s="4">
        <f>IF(Headcount!$D$11&lt;=Timeline!D5,Headcount!$C$11*Headcount!$E$11/12*(1+burden)*(1+salary_infl)^MAX(0,2026-2027),0)</f>
        <v/>
      </c>
      <c r="E62" s="4">
        <f>IF(Headcount!$D$11&lt;=Timeline!E5,Headcount!$C$11*Headcount!$E$11/12*(1+burden)*(1+salary_infl)^MAX(0,2027-2027),0)</f>
        <v/>
      </c>
      <c r="F62" s="4">
        <f>IF(Headcount!$D$11&lt;=Timeline!F5,Headcount!$C$11*Headcount!$E$11/12*(1+burden)*(1+salary_infl)^MAX(0,2027-2027),0)</f>
        <v/>
      </c>
      <c r="G62" s="4">
        <f>IF(Headcount!$D$11&lt;=Timeline!G5,Headcount!$C$11*Headcount!$E$11/12*(1+burden)*(1+salary_infl)^MAX(0,2027-2027),0)</f>
        <v/>
      </c>
      <c r="H62" s="4">
        <f>IF(Headcount!$D$11&lt;=Timeline!H5,Headcount!$C$11*Headcount!$E$11/12*(1+burden)*(1+salary_infl)^MAX(0,2027-2027),0)</f>
        <v/>
      </c>
      <c r="I62" s="4">
        <f>IF(Headcount!$D$11&lt;=Timeline!I5,Headcount!$C$11*Headcount!$E$11/12*(1+burden)*(1+salary_infl)^MAX(0,2027-2027),0)</f>
        <v/>
      </c>
      <c r="J62" s="4">
        <f>IF(Headcount!$D$11&lt;=Timeline!J5,Headcount!$C$11*Headcount!$E$11/12*(1+burden)*(1+salary_infl)^MAX(0,2027-2027),0)</f>
        <v/>
      </c>
      <c r="K62" s="4">
        <f>IF(Headcount!$D$11&lt;=Timeline!K5,Headcount!$C$11*Headcount!$E$11/12*(1+burden)*(1+salary_infl)^MAX(0,2027-2027),0)</f>
        <v/>
      </c>
      <c r="L62" s="4">
        <f>IF(Headcount!$D$11&lt;=Timeline!L5,Headcount!$C$11*Headcount!$E$11/12*(1+burden)*(1+salary_infl)^MAX(0,2027-2027),0)</f>
        <v/>
      </c>
      <c r="M62" s="4">
        <f>IF(Headcount!$D$11&lt;=Timeline!M5,Headcount!$C$11*Headcount!$E$11/12*(1+burden)*(1+salary_infl)^MAX(0,2027-2027),0)</f>
        <v/>
      </c>
      <c r="N62" s="4">
        <f>IF(Headcount!$D$11&lt;=Timeline!N5,Headcount!$C$11*Headcount!$E$11/12*(1+burden)*(1+salary_infl)^MAX(0,2027-2027),0)</f>
        <v/>
      </c>
      <c r="O62" s="4">
        <f>IF(Headcount!$D$11&lt;=Timeline!O5,Headcount!$C$11*Headcount!$E$11/12*(1+burden)*(1+salary_infl)^MAX(0,2027-2027),0)</f>
        <v/>
      </c>
      <c r="P62" s="4">
        <f>IF(Headcount!$D$11&lt;=Timeline!P5,Headcount!$C$11*Headcount!$E$11/12*(1+burden)*(1+salary_infl)^MAX(0,2027-2027),0)</f>
        <v/>
      </c>
      <c r="Q62" s="4">
        <f>IF(Headcount!$D$11&lt;=Timeline!Q5,Headcount!$C$11*Headcount!$E$11/12*(1+burden)*(1+salary_infl)^MAX(0,2028-2027),0)</f>
        <v/>
      </c>
      <c r="R62" s="4">
        <f>IF(Headcount!$D$11&lt;=Timeline!R5,Headcount!$C$11*Headcount!$E$11/12*(1+burden)*(1+salary_infl)^MAX(0,2028-2027),0)</f>
        <v/>
      </c>
      <c r="S62" s="4">
        <f>IF(Headcount!$D$11&lt;=Timeline!S5,Headcount!$C$11*Headcount!$E$11/12*(1+burden)*(1+salary_infl)^MAX(0,2028-2027),0)</f>
        <v/>
      </c>
      <c r="T62" s="4">
        <f>IF(Headcount!$D$11&lt;=Timeline!T5,Headcount!$C$11*Headcount!$E$11/12*(1+burden)*(1+salary_infl)^MAX(0,2028-2027),0)</f>
        <v/>
      </c>
      <c r="U62" s="4">
        <f>IF(Headcount!$D$11&lt;=Timeline!U5,Headcount!$C$11*Headcount!$E$11/12*(1+burden)*(1+salary_infl)^MAX(0,2028-2027),0)</f>
        <v/>
      </c>
      <c r="V62" s="4">
        <f>IF(Headcount!$D$11&lt;=Timeline!V5,Headcount!$C$11*Headcount!$E$11/12*(1+burden)*(1+salary_infl)^MAX(0,2028-2027),0)</f>
        <v/>
      </c>
      <c r="W62" s="4">
        <f>IF(Headcount!$D$11&lt;=Timeline!W5,Headcount!$C$11*Headcount!$E$11/12*(1+burden)*(1+salary_infl)^MAX(0,2028-2027),0)</f>
        <v/>
      </c>
      <c r="X62" s="4">
        <f>IF(Headcount!$D$11&lt;=Timeline!X5,Headcount!$C$11*Headcount!$E$11/12*(1+burden)*(1+salary_infl)^MAX(0,2028-2027),0)</f>
        <v/>
      </c>
      <c r="Y62" s="4">
        <f>IF(Headcount!$D$11&lt;=Timeline!Y5,Headcount!$C$11*Headcount!$E$11/12*(1+burden)*(1+salary_infl)^MAX(0,2028-2027),0)</f>
        <v/>
      </c>
      <c r="Z62" s="4">
        <f>IF(Headcount!$D$11&lt;=Timeline!Z5,Headcount!$C$11*Headcount!$E$11/12*(1+burden)*(1+salary_infl)^MAX(0,2028-2027),0)</f>
        <v/>
      </c>
      <c r="AA62" s="4">
        <f>IF(Headcount!$D$11&lt;=Timeline!AA5,Headcount!$C$11*Headcount!$E$11/12*(1+burden)*(1+salary_infl)^MAX(0,2028-2027),0)</f>
        <v/>
      </c>
      <c r="AB62" s="4">
        <f>IF(Headcount!$D$11&lt;=Timeline!AB5,Headcount!$C$11*Headcount!$E$11/12*(1+burden)*(1+salary_infl)^MAX(0,2028-2027),0)</f>
        <v/>
      </c>
      <c r="AC62" s="4">
        <f>Headcount!$C$11*Headcount!$E$11*(1+burden)*(1+salary_infl)^MAX(0,2029-2027)*MAX(0,MIN(12,(2029-YEAR(Headcount!$D$11))*12+13-MONTH(Headcount!$D$11)))/12</f>
        <v/>
      </c>
      <c r="AD62" s="4">
        <f>Headcount!$C$11*Headcount!$E$11*(1+burden)*(1+salary_infl)^MAX(0,2030-2027)*MAX(0,MIN(12,(2030-YEAR(Headcount!$D$11))*12+13-MONTH(Headcount!$D$11)))/12</f>
        <v/>
      </c>
      <c r="AE62" s="4">
        <f>Headcount!$C$11*Headcount!$E$11*(1+burden)*(1+salary_infl)^MAX(0,2031-2027)*MAX(0,MIN(12,(2031-YEAR(Headcount!$D$11))*12+13-MONTH(Headcount!$D$11)))/12</f>
        <v/>
      </c>
      <c r="AG62" s="4">
        <f>SUMIF($C$3:$AE$3,AG$3,$C62:$AE62)</f>
        <v/>
      </c>
      <c r="AH62" s="4">
        <f>SUMIF($C$3:$AE$3,AH$3,$C62:$AE62)</f>
        <v/>
      </c>
      <c r="AI62" s="4">
        <f>SUMIF($C$3:$AE$3,AI$3,$C62:$AE62)</f>
        <v/>
      </c>
      <c r="AJ62" s="4">
        <f>SUMIF($C$3:$AE$3,AJ$3,$C62:$AE62)</f>
        <v/>
      </c>
      <c r="AK62" s="4">
        <f>SUMIF($C$3:$AE$3,AK$3,$C62:$AE62)</f>
        <v/>
      </c>
      <c r="AL62" s="4">
        <f>SUMIF($C$3:$AE$3,AL$3,$C62:$AE62)</f>
        <v/>
      </c>
    </row>
    <row r="63">
      <c r="A63">
        <f>Headcount!A12</f>
        <v/>
      </c>
      <c r="B63" s="2">
        <f>Headcount!B12</f>
        <v/>
      </c>
      <c r="C63" s="4">
        <f>IF(Headcount!$D$12&lt;=Timeline!C5,Headcount!$C$12*Headcount!$E$12/12*(1+burden)*(1+salary_infl)^MAX(0,2026-2027),0)</f>
        <v/>
      </c>
      <c r="D63" s="4">
        <f>IF(Headcount!$D$12&lt;=Timeline!D5,Headcount!$C$12*Headcount!$E$12/12*(1+burden)*(1+salary_infl)^MAX(0,2026-2027),0)</f>
        <v/>
      </c>
      <c r="E63" s="4">
        <f>IF(Headcount!$D$12&lt;=Timeline!E5,Headcount!$C$12*Headcount!$E$12/12*(1+burden)*(1+salary_infl)^MAX(0,2027-2027),0)</f>
        <v/>
      </c>
      <c r="F63" s="4">
        <f>IF(Headcount!$D$12&lt;=Timeline!F5,Headcount!$C$12*Headcount!$E$12/12*(1+burden)*(1+salary_infl)^MAX(0,2027-2027),0)</f>
        <v/>
      </c>
      <c r="G63" s="4">
        <f>IF(Headcount!$D$12&lt;=Timeline!G5,Headcount!$C$12*Headcount!$E$12/12*(1+burden)*(1+salary_infl)^MAX(0,2027-2027),0)</f>
        <v/>
      </c>
      <c r="H63" s="4">
        <f>IF(Headcount!$D$12&lt;=Timeline!H5,Headcount!$C$12*Headcount!$E$12/12*(1+burden)*(1+salary_infl)^MAX(0,2027-2027),0)</f>
        <v/>
      </c>
      <c r="I63" s="4">
        <f>IF(Headcount!$D$12&lt;=Timeline!I5,Headcount!$C$12*Headcount!$E$12/12*(1+burden)*(1+salary_infl)^MAX(0,2027-2027),0)</f>
        <v/>
      </c>
      <c r="J63" s="4">
        <f>IF(Headcount!$D$12&lt;=Timeline!J5,Headcount!$C$12*Headcount!$E$12/12*(1+burden)*(1+salary_infl)^MAX(0,2027-2027),0)</f>
        <v/>
      </c>
      <c r="K63" s="4">
        <f>IF(Headcount!$D$12&lt;=Timeline!K5,Headcount!$C$12*Headcount!$E$12/12*(1+burden)*(1+salary_infl)^MAX(0,2027-2027),0)</f>
        <v/>
      </c>
      <c r="L63" s="4">
        <f>IF(Headcount!$D$12&lt;=Timeline!L5,Headcount!$C$12*Headcount!$E$12/12*(1+burden)*(1+salary_infl)^MAX(0,2027-2027),0)</f>
        <v/>
      </c>
      <c r="M63" s="4">
        <f>IF(Headcount!$D$12&lt;=Timeline!M5,Headcount!$C$12*Headcount!$E$12/12*(1+burden)*(1+salary_infl)^MAX(0,2027-2027),0)</f>
        <v/>
      </c>
      <c r="N63" s="4">
        <f>IF(Headcount!$D$12&lt;=Timeline!N5,Headcount!$C$12*Headcount!$E$12/12*(1+burden)*(1+salary_infl)^MAX(0,2027-2027),0)</f>
        <v/>
      </c>
      <c r="O63" s="4">
        <f>IF(Headcount!$D$12&lt;=Timeline!O5,Headcount!$C$12*Headcount!$E$12/12*(1+burden)*(1+salary_infl)^MAX(0,2027-2027),0)</f>
        <v/>
      </c>
      <c r="P63" s="4">
        <f>IF(Headcount!$D$12&lt;=Timeline!P5,Headcount!$C$12*Headcount!$E$12/12*(1+burden)*(1+salary_infl)^MAX(0,2027-2027),0)</f>
        <v/>
      </c>
      <c r="Q63" s="4">
        <f>IF(Headcount!$D$12&lt;=Timeline!Q5,Headcount!$C$12*Headcount!$E$12/12*(1+burden)*(1+salary_infl)^MAX(0,2028-2027),0)</f>
        <v/>
      </c>
      <c r="R63" s="4">
        <f>IF(Headcount!$D$12&lt;=Timeline!R5,Headcount!$C$12*Headcount!$E$12/12*(1+burden)*(1+salary_infl)^MAX(0,2028-2027),0)</f>
        <v/>
      </c>
      <c r="S63" s="4">
        <f>IF(Headcount!$D$12&lt;=Timeline!S5,Headcount!$C$12*Headcount!$E$12/12*(1+burden)*(1+salary_infl)^MAX(0,2028-2027),0)</f>
        <v/>
      </c>
      <c r="T63" s="4">
        <f>IF(Headcount!$D$12&lt;=Timeline!T5,Headcount!$C$12*Headcount!$E$12/12*(1+burden)*(1+salary_infl)^MAX(0,2028-2027),0)</f>
        <v/>
      </c>
      <c r="U63" s="4">
        <f>IF(Headcount!$D$12&lt;=Timeline!U5,Headcount!$C$12*Headcount!$E$12/12*(1+burden)*(1+salary_infl)^MAX(0,2028-2027),0)</f>
        <v/>
      </c>
      <c r="V63" s="4">
        <f>IF(Headcount!$D$12&lt;=Timeline!V5,Headcount!$C$12*Headcount!$E$12/12*(1+burden)*(1+salary_infl)^MAX(0,2028-2027),0)</f>
        <v/>
      </c>
      <c r="W63" s="4">
        <f>IF(Headcount!$D$12&lt;=Timeline!W5,Headcount!$C$12*Headcount!$E$12/12*(1+burden)*(1+salary_infl)^MAX(0,2028-2027),0)</f>
        <v/>
      </c>
      <c r="X63" s="4">
        <f>IF(Headcount!$D$12&lt;=Timeline!X5,Headcount!$C$12*Headcount!$E$12/12*(1+burden)*(1+salary_infl)^MAX(0,2028-2027),0)</f>
        <v/>
      </c>
      <c r="Y63" s="4">
        <f>IF(Headcount!$D$12&lt;=Timeline!Y5,Headcount!$C$12*Headcount!$E$12/12*(1+burden)*(1+salary_infl)^MAX(0,2028-2027),0)</f>
        <v/>
      </c>
      <c r="Z63" s="4">
        <f>IF(Headcount!$D$12&lt;=Timeline!Z5,Headcount!$C$12*Headcount!$E$12/12*(1+burden)*(1+salary_infl)^MAX(0,2028-2027),0)</f>
        <v/>
      </c>
      <c r="AA63" s="4">
        <f>IF(Headcount!$D$12&lt;=Timeline!AA5,Headcount!$C$12*Headcount!$E$12/12*(1+burden)*(1+salary_infl)^MAX(0,2028-2027),0)</f>
        <v/>
      </c>
      <c r="AB63" s="4">
        <f>IF(Headcount!$D$12&lt;=Timeline!AB5,Headcount!$C$12*Headcount!$E$12/12*(1+burden)*(1+salary_infl)^MAX(0,2028-2027),0)</f>
        <v/>
      </c>
      <c r="AC63" s="4">
        <f>Headcount!$C$12*Headcount!$E$12*(1+burden)*(1+salary_infl)^MAX(0,2029-2027)*MAX(0,MIN(12,(2029-YEAR(Headcount!$D$12))*12+13-MONTH(Headcount!$D$12)))/12</f>
        <v/>
      </c>
      <c r="AD63" s="4">
        <f>Headcount!$C$12*Headcount!$E$12*(1+burden)*(1+salary_infl)^MAX(0,2030-2027)*MAX(0,MIN(12,(2030-YEAR(Headcount!$D$12))*12+13-MONTH(Headcount!$D$12)))/12</f>
        <v/>
      </c>
      <c r="AE63" s="4">
        <f>Headcount!$C$12*Headcount!$E$12*(1+burden)*(1+salary_infl)^MAX(0,2031-2027)*MAX(0,MIN(12,(2031-YEAR(Headcount!$D$12))*12+13-MONTH(Headcount!$D$12)))/12</f>
        <v/>
      </c>
      <c r="AG63" s="4">
        <f>SUMIF($C$3:$AE$3,AG$3,$C63:$AE63)</f>
        <v/>
      </c>
      <c r="AH63" s="4">
        <f>SUMIF($C$3:$AE$3,AH$3,$C63:$AE63)</f>
        <v/>
      </c>
      <c r="AI63" s="4">
        <f>SUMIF($C$3:$AE$3,AI$3,$C63:$AE63)</f>
        <v/>
      </c>
      <c r="AJ63" s="4">
        <f>SUMIF($C$3:$AE$3,AJ$3,$C63:$AE63)</f>
        <v/>
      </c>
      <c r="AK63" s="4">
        <f>SUMIF($C$3:$AE$3,AK$3,$C63:$AE63)</f>
        <v/>
      </c>
      <c r="AL63" s="4">
        <f>SUMIF($C$3:$AE$3,AL$3,$C63:$AE63)</f>
        <v/>
      </c>
    </row>
    <row r="64">
      <c r="A64">
        <f>Headcount!A13</f>
        <v/>
      </c>
      <c r="B64" s="2">
        <f>Headcount!B13</f>
        <v/>
      </c>
      <c r="C64" s="4">
        <f>IF(Headcount!$D$13&lt;=Timeline!C5,Headcount!$C$13*Headcount!$E$13/12*(1+burden)*(1+salary_infl)^MAX(0,2026-2027),0)</f>
        <v/>
      </c>
      <c r="D64" s="4">
        <f>IF(Headcount!$D$13&lt;=Timeline!D5,Headcount!$C$13*Headcount!$E$13/12*(1+burden)*(1+salary_infl)^MAX(0,2026-2027),0)</f>
        <v/>
      </c>
      <c r="E64" s="4">
        <f>IF(Headcount!$D$13&lt;=Timeline!E5,Headcount!$C$13*Headcount!$E$13/12*(1+burden)*(1+salary_infl)^MAX(0,2027-2027),0)</f>
        <v/>
      </c>
      <c r="F64" s="4">
        <f>IF(Headcount!$D$13&lt;=Timeline!F5,Headcount!$C$13*Headcount!$E$13/12*(1+burden)*(1+salary_infl)^MAX(0,2027-2027),0)</f>
        <v/>
      </c>
      <c r="G64" s="4">
        <f>IF(Headcount!$D$13&lt;=Timeline!G5,Headcount!$C$13*Headcount!$E$13/12*(1+burden)*(1+salary_infl)^MAX(0,2027-2027),0)</f>
        <v/>
      </c>
      <c r="H64" s="4">
        <f>IF(Headcount!$D$13&lt;=Timeline!H5,Headcount!$C$13*Headcount!$E$13/12*(1+burden)*(1+salary_infl)^MAX(0,2027-2027),0)</f>
        <v/>
      </c>
      <c r="I64" s="4">
        <f>IF(Headcount!$D$13&lt;=Timeline!I5,Headcount!$C$13*Headcount!$E$13/12*(1+burden)*(1+salary_infl)^MAX(0,2027-2027),0)</f>
        <v/>
      </c>
      <c r="J64" s="4">
        <f>IF(Headcount!$D$13&lt;=Timeline!J5,Headcount!$C$13*Headcount!$E$13/12*(1+burden)*(1+salary_infl)^MAX(0,2027-2027),0)</f>
        <v/>
      </c>
      <c r="K64" s="4">
        <f>IF(Headcount!$D$13&lt;=Timeline!K5,Headcount!$C$13*Headcount!$E$13/12*(1+burden)*(1+salary_infl)^MAX(0,2027-2027),0)</f>
        <v/>
      </c>
      <c r="L64" s="4">
        <f>IF(Headcount!$D$13&lt;=Timeline!L5,Headcount!$C$13*Headcount!$E$13/12*(1+burden)*(1+salary_infl)^MAX(0,2027-2027),0)</f>
        <v/>
      </c>
      <c r="M64" s="4">
        <f>IF(Headcount!$D$13&lt;=Timeline!M5,Headcount!$C$13*Headcount!$E$13/12*(1+burden)*(1+salary_infl)^MAX(0,2027-2027),0)</f>
        <v/>
      </c>
      <c r="N64" s="4">
        <f>IF(Headcount!$D$13&lt;=Timeline!N5,Headcount!$C$13*Headcount!$E$13/12*(1+burden)*(1+salary_infl)^MAX(0,2027-2027),0)</f>
        <v/>
      </c>
      <c r="O64" s="4">
        <f>IF(Headcount!$D$13&lt;=Timeline!O5,Headcount!$C$13*Headcount!$E$13/12*(1+burden)*(1+salary_infl)^MAX(0,2027-2027),0)</f>
        <v/>
      </c>
      <c r="P64" s="4">
        <f>IF(Headcount!$D$13&lt;=Timeline!P5,Headcount!$C$13*Headcount!$E$13/12*(1+burden)*(1+salary_infl)^MAX(0,2027-2027),0)</f>
        <v/>
      </c>
      <c r="Q64" s="4">
        <f>IF(Headcount!$D$13&lt;=Timeline!Q5,Headcount!$C$13*Headcount!$E$13/12*(1+burden)*(1+salary_infl)^MAX(0,2028-2027),0)</f>
        <v/>
      </c>
      <c r="R64" s="4">
        <f>IF(Headcount!$D$13&lt;=Timeline!R5,Headcount!$C$13*Headcount!$E$13/12*(1+burden)*(1+salary_infl)^MAX(0,2028-2027),0)</f>
        <v/>
      </c>
      <c r="S64" s="4">
        <f>IF(Headcount!$D$13&lt;=Timeline!S5,Headcount!$C$13*Headcount!$E$13/12*(1+burden)*(1+salary_infl)^MAX(0,2028-2027),0)</f>
        <v/>
      </c>
      <c r="T64" s="4">
        <f>IF(Headcount!$D$13&lt;=Timeline!T5,Headcount!$C$13*Headcount!$E$13/12*(1+burden)*(1+salary_infl)^MAX(0,2028-2027),0)</f>
        <v/>
      </c>
      <c r="U64" s="4">
        <f>IF(Headcount!$D$13&lt;=Timeline!U5,Headcount!$C$13*Headcount!$E$13/12*(1+burden)*(1+salary_infl)^MAX(0,2028-2027),0)</f>
        <v/>
      </c>
      <c r="V64" s="4">
        <f>IF(Headcount!$D$13&lt;=Timeline!V5,Headcount!$C$13*Headcount!$E$13/12*(1+burden)*(1+salary_infl)^MAX(0,2028-2027),0)</f>
        <v/>
      </c>
      <c r="W64" s="4">
        <f>IF(Headcount!$D$13&lt;=Timeline!W5,Headcount!$C$13*Headcount!$E$13/12*(1+burden)*(1+salary_infl)^MAX(0,2028-2027),0)</f>
        <v/>
      </c>
      <c r="X64" s="4">
        <f>IF(Headcount!$D$13&lt;=Timeline!X5,Headcount!$C$13*Headcount!$E$13/12*(1+burden)*(1+salary_infl)^MAX(0,2028-2027),0)</f>
        <v/>
      </c>
      <c r="Y64" s="4">
        <f>IF(Headcount!$D$13&lt;=Timeline!Y5,Headcount!$C$13*Headcount!$E$13/12*(1+burden)*(1+salary_infl)^MAX(0,2028-2027),0)</f>
        <v/>
      </c>
      <c r="Z64" s="4">
        <f>IF(Headcount!$D$13&lt;=Timeline!Z5,Headcount!$C$13*Headcount!$E$13/12*(1+burden)*(1+salary_infl)^MAX(0,2028-2027),0)</f>
        <v/>
      </c>
      <c r="AA64" s="4">
        <f>IF(Headcount!$D$13&lt;=Timeline!AA5,Headcount!$C$13*Headcount!$E$13/12*(1+burden)*(1+salary_infl)^MAX(0,2028-2027),0)</f>
        <v/>
      </c>
      <c r="AB64" s="4">
        <f>IF(Headcount!$D$13&lt;=Timeline!AB5,Headcount!$C$13*Headcount!$E$13/12*(1+burden)*(1+salary_infl)^MAX(0,2028-2027),0)</f>
        <v/>
      </c>
      <c r="AC64" s="4">
        <f>Headcount!$C$13*Headcount!$E$13*(1+burden)*(1+salary_infl)^MAX(0,2029-2027)*MAX(0,MIN(12,(2029-YEAR(Headcount!$D$13))*12+13-MONTH(Headcount!$D$13)))/12</f>
        <v/>
      </c>
      <c r="AD64" s="4">
        <f>Headcount!$C$13*Headcount!$E$13*(1+burden)*(1+salary_infl)^MAX(0,2030-2027)*MAX(0,MIN(12,(2030-YEAR(Headcount!$D$13))*12+13-MONTH(Headcount!$D$13)))/12</f>
        <v/>
      </c>
      <c r="AE64" s="4">
        <f>Headcount!$C$13*Headcount!$E$13*(1+burden)*(1+salary_infl)^MAX(0,2031-2027)*MAX(0,MIN(12,(2031-YEAR(Headcount!$D$13))*12+13-MONTH(Headcount!$D$13)))/12</f>
        <v/>
      </c>
      <c r="AG64" s="4">
        <f>SUMIF($C$3:$AE$3,AG$3,$C64:$AE64)</f>
        <v/>
      </c>
      <c r="AH64" s="4">
        <f>SUMIF($C$3:$AE$3,AH$3,$C64:$AE64)</f>
        <v/>
      </c>
      <c r="AI64" s="4">
        <f>SUMIF($C$3:$AE$3,AI$3,$C64:$AE64)</f>
        <v/>
      </c>
      <c r="AJ64" s="4">
        <f>SUMIF($C$3:$AE$3,AJ$3,$C64:$AE64)</f>
        <v/>
      </c>
      <c r="AK64" s="4">
        <f>SUMIF($C$3:$AE$3,AK$3,$C64:$AE64)</f>
        <v/>
      </c>
      <c r="AL64" s="4">
        <f>SUMIF($C$3:$AE$3,AL$3,$C64:$AE64)</f>
        <v/>
      </c>
    </row>
    <row r="65">
      <c r="A65">
        <f>Headcount!A14</f>
        <v/>
      </c>
      <c r="B65" s="2">
        <f>Headcount!B14</f>
        <v/>
      </c>
      <c r="C65" s="4">
        <f>IF(Headcount!$D$14&lt;=Timeline!C5,Headcount!$C$14*Headcount!$E$14/12*(1+burden)*(1+salary_infl)^MAX(0,2026-2027),0)</f>
        <v/>
      </c>
      <c r="D65" s="4">
        <f>IF(Headcount!$D$14&lt;=Timeline!D5,Headcount!$C$14*Headcount!$E$14/12*(1+burden)*(1+salary_infl)^MAX(0,2026-2027),0)</f>
        <v/>
      </c>
      <c r="E65" s="4">
        <f>IF(Headcount!$D$14&lt;=Timeline!E5,Headcount!$C$14*Headcount!$E$14/12*(1+burden)*(1+salary_infl)^MAX(0,2027-2027),0)</f>
        <v/>
      </c>
      <c r="F65" s="4">
        <f>IF(Headcount!$D$14&lt;=Timeline!F5,Headcount!$C$14*Headcount!$E$14/12*(1+burden)*(1+salary_infl)^MAX(0,2027-2027),0)</f>
        <v/>
      </c>
      <c r="G65" s="4">
        <f>IF(Headcount!$D$14&lt;=Timeline!G5,Headcount!$C$14*Headcount!$E$14/12*(1+burden)*(1+salary_infl)^MAX(0,2027-2027),0)</f>
        <v/>
      </c>
      <c r="H65" s="4">
        <f>IF(Headcount!$D$14&lt;=Timeline!H5,Headcount!$C$14*Headcount!$E$14/12*(1+burden)*(1+salary_infl)^MAX(0,2027-2027),0)</f>
        <v/>
      </c>
      <c r="I65" s="4">
        <f>IF(Headcount!$D$14&lt;=Timeline!I5,Headcount!$C$14*Headcount!$E$14/12*(1+burden)*(1+salary_infl)^MAX(0,2027-2027),0)</f>
        <v/>
      </c>
      <c r="J65" s="4">
        <f>IF(Headcount!$D$14&lt;=Timeline!J5,Headcount!$C$14*Headcount!$E$14/12*(1+burden)*(1+salary_infl)^MAX(0,2027-2027),0)</f>
        <v/>
      </c>
      <c r="K65" s="4">
        <f>IF(Headcount!$D$14&lt;=Timeline!K5,Headcount!$C$14*Headcount!$E$14/12*(1+burden)*(1+salary_infl)^MAX(0,2027-2027),0)</f>
        <v/>
      </c>
      <c r="L65" s="4">
        <f>IF(Headcount!$D$14&lt;=Timeline!L5,Headcount!$C$14*Headcount!$E$14/12*(1+burden)*(1+salary_infl)^MAX(0,2027-2027),0)</f>
        <v/>
      </c>
      <c r="M65" s="4">
        <f>IF(Headcount!$D$14&lt;=Timeline!M5,Headcount!$C$14*Headcount!$E$14/12*(1+burden)*(1+salary_infl)^MAX(0,2027-2027),0)</f>
        <v/>
      </c>
      <c r="N65" s="4">
        <f>IF(Headcount!$D$14&lt;=Timeline!N5,Headcount!$C$14*Headcount!$E$14/12*(1+burden)*(1+salary_infl)^MAX(0,2027-2027),0)</f>
        <v/>
      </c>
      <c r="O65" s="4">
        <f>IF(Headcount!$D$14&lt;=Timeline!O5,Headcount!$C$14*Headcount!$E$14/12*(1+burden)*(1+salary_infl)^MAX(0,2027-2027),0)</f>
        <v/>
      </c>
      <c r="P65" s="4">
        <f>IF(Headcount!$D$14&lt;=Timeline!P5,Headcount!$C$14*Headcount!$E$14/12*(1+burden)*(1+salary_infl)^MAX(0,2027-2027),0)</f>
        <v/>
      </c>
      <c r="Q65" s="4">
        <f>IF(Headcount!$D$14&lt;=Timeline!Q5,Headcount!$C$14*Headcount!$E$14/12*(1+burden)*(1+salary_infl)^MAX(0,2028-2027),0)</f>
        <v/>
      </c>
      <c r="R65" s="4">
        <f>IF(Headcount!$D$14&lt;=Timeline!R5,Headcount!$C$14*Headcount!$E$14/12*(1+burden)*(1+salary_infl)^MAX(0,2028-2027),0)</f>
        <v/>
      </c>
      <c r="S65" s="4">
        <f>IF(Headcount!$D$14&lt;=Timeline!S5,Headcount!$C$14*Headcount!$E$14/12*(1+burden)*(1+salary_infl)^MAX(0,2028-2027),0)</f>
        <v/>
      </c>
      <c r="T65" s="4">
        <f>IF(Headcount!$D$14&lt;=Timeline!T5,Headcount!$C$14*Headcount!$E$14/12*(1+burden)*(1+salary_infl)^MAX(0,2028-2027),0)</f>
        <v/>
      </c>
      <c r="U65" s="4">
        <f>IF(Headcount!$D$14&lt;=Timeline!U5,Headcount!$C$14*Headcount!$E$14/12*(1+burden)*(1+salary_infl)^MAX(0,2028-2027),0)</f>
        <v/>
      </c>
      <c r="V65" s="4">
        <f>IF(Headcount!$D$14&lt;=Timeline!V5,Headcount!$C$14*Headcount!$E$14/12*(1+burden)*(1+salary_infl)^MAX(0,2028-2027),0)</f>
        <v/>
      </c>
      <c r="W65" s="4">
        <f>IF(Headcount!$D$14&lt;=Timeline!W5,Headcount!$C$14*Headcount!$E$14/12*(1+burden)*(1+salary_infl)^MAX(0,2028-2027),0)</f>
        <v/>
      </c>
      <c r="X65" s="4">
        <f>IF(Headcount!$D$14&lt;=Timeline!X5,Headcount!$C$14*Headcount!$E$14/12*(1+burden)*(1+salary_infl)^MAX(0,2028-2027),0)</f>
        <v/>
      </c>
      <c r="Y65" s="4">
        <f>IF(Headcount!$D$14&lt;=Timeline!Y5,Headcount!$C$14*Headcount!$E$14/12*(1+burden)*(1+salary_infl)^MAX(0,2028-2027),0)</f>
        <v/>
      </c>
      <c r="Z65" s="4">
        <f>IF(Headcount!$D$14&lt;=Timeline!Z5,Headcount!$C$14*Headcount!$E$14/12*(1+burden)*(1+salary_infl)^MAX(0,2028-2027),0)</f>
        <v/>
      </c>
      <c r="AA65" s="4">
        <f>IF(Headcount!$D$14&lt;=Timeline!AA5,Headcount!$C$14*Headcount!$E$14/12*(1+burden)*(1+salary_infl)^MAX(0,2028-2027),0)</f>
        <v/>
      </c>
      <c r="AB65" s="4">
        <f>IF(Headcount!$D$14&lt;=Timeline!AB5,Headcount!$C$14*Headcount!$E$14/12*(1+burden)*(1+salary_infl)^MAX(0,2028-2027),0)</f>
        <v/>
      </c>
      <c r="AC65" s="4">
        <f>Headcount!$C$14*Headcount!$E$14*(1+burden)*(1+salary_infl)^MAX(0,2029-2027)*MAX(0,MIN(12,(2029-YEAR(Headcount!$D$14))*12+13-MONTH(Headcount!$D$14)))/12</f>
        <v/>
      </c>
      <c r="AD65" s="4">
        <f>Headcount!$C$14*Headcount!$E$14*(1+burden)*(1+salary_infl)^MAX(0,2030-2027)*MAX(0,MIN(12,(2030-YEAR(Headcount!$D$14))*12+13-MONTH(Headcount!$D$14)))/12</f>
        <v/>
      </c>
      <c r="AE65" s="4">
        <f>Headcount!$C$14*Headcount!$E$14*(1+burden)*(1+salary_infl)^MAX(0,2031-2027)*MAX(0,MIN(12,(2031-YEAR(Headcount!$D$14))*12+13-MONTH(Headcount!$D$14)))/12</f>
        <v/>
      </c>
      <c r="AG65" s="4">
        <f>SUMIF($C$3:$AE$3,AG$3,$C65:$AE65)</f>
        <v/>
      </c>
      <c r="AH65" s="4">
        <f>SUMIF($C$3:$AE$3,AH$3,$C65:$AE65)</f>
        <v/>
      </c>
      <c r="AI65" s="4">
        <f>SUMIF($C$3:$AE$3,AI$3,$C65:$AE65)</f>
        <v/>
      </c>
      <c r="AJ65" s="4">
        <f>SUMIF($C$3:$AE$3,AJ$3,$C65:$AE65)</f>
        <v/>
      </c>
      <c r="AK65" s="4">
        <f>SUMIF($C$3:$AE$3,AK$3,$C65:$AE65)</f>
        <v/>
      </c>
      <c r="AL65" s="4">
        <f>SUMIF($C$3:$AE$3,AL$3,$C65:$AE65)</f>
        <v/>
      </c>
    </row>
    <row r="66">
      <c r="A66">
        <f>Headcount!A15</f>
        <v/>
      </c>
      <c r="B66" s="2">
        <f>Headcount!B15</f>
        <v/>
      </c>
      <c r="C66" s="4">
        <f>IF(Headcount!$D$15&lt;=Timeline!C5,Headcount!$C$15*Headcount!$E$15/12*(1+burden)*(1+salary_infl)^MAX(0,2026-2027),0)</f>
        <v/>
      </c>
      <c r="D66" s="4">
        <f>IF(Headcount!$D$15&lt;=Timeline!D5,Headcount!$C$15*Headcount!$E$15/12*(1+burden)*(1+salary_infl)^MAX(0,2026-2027),0)</f>
        <v/>
      </c>
      <c r="E66" s="4">
        <f>IF(Headcount!$D$15&lt;=Timeline!E5,Headcount!$C$15*Headcount!$E$15/12*(1+burden)*(1+salary_infl)^MAX(0,2027-2027),0)</f>
        <v/>
      </c>
      <c r="F66" s="4">
        <f>IF(Headcount!$D$15&lt;=Timeline!F5,Headcount!$C$15*Headcount!$E$15/12*(1+burden)*(1+salary_infl)^MAX(0,2027-2027),0)</f>
        <v/>
      </c>
      <c r="G66" s="4">
        <f>IF(Headcount!$D$15&lt;=Timeline!G5,Headcount!$C$15*Headcount!$E$15/12*(1+burden)*(1+salary_infl)^MAX(0,2027-2027),0)</f>
        <v/>
      </c>
      <c r="H66" s="4">
        <f>IF(Headcount!$D$15&lt;=Timeline!H5,Headcount!$C$15*Headcount!$E$15/12*(1+burden)*(1+salary_infl)^MAX(0,2027-2027),0)</f>
        <v/>
      </c>
      <c r="I66" s="4">
        <f>IF(Headcount!$D$15&lt;=Timeline!I5,Headcount!$C$15*Headcount!$E$15/12*(1+burden)*(1+salary_infl)^MAX(0,2027-2027),0)</f>
        <v/>
      </c>
      <c r="J66" s="4">
        <f>IF(Headcount!$D$15&lt;=Timeline!J5,Headcount!$C$15*Headcount!$E$15/12*(1+burden)*(1+salary_infl)^MAX(0,2027-2027),0)</f>
        <v/>
      </c>
      <c r="K66" s="4">
        <f>IF(Headcount!$D$15&lt;=Timeline!K5,Headcount!$C$15*Headcount!$E$15/12*(1+burden)*(1+salary_infl)^MAX(0,2027-2027),0)</f>
        <v/>
      </c>
      <c r="L66" s="4">
        <f>IF(Headcount!$D$15&lt;=Timeline!L5,Headcount!$C$15*Headcount!$E$15/12*(1+burden)*(1+salary_infl)^MAX(0,2027-2027),0)</f>
        <v/>
      </c>
      <c r="M66" s="4">
        <f>IF(Headcount!$D$15&lt;=Timeline!M5,Headcount!$C$15*Headcount!$E$15/12*(1+burden)*(1+salary_infl)^MAX(0,2027-2027),0)</f>
        <v/>
      </c>
      <c r="N66" s="4">
        <f>IF(Headcount!$D$15&lt;=Timeline!N5,Headcount!$C$15*Headcount!$E$15/12*(1+burden)*(1+salary_infl)^MAX(0,2027-2027),0)</f>
        <v/>
      </c>
      <c r="O66" s="4">
        <f>IF(Headcount!$D$15&lt;=Timeline!O5,Headcount!$C$15*Headcount!$E$15/12*(1+burden)*(1+salary_infl)^MAX(0,2027-2027),0)</f>
        <v/>
      </c>
      <c r="P66" s="4">
        <f>IF(Headcount!$D$15&lt;=Timeline!P5,Headcount!$C$15*Headcount!$E$15/12*(1+burden)*(1+salary_infl)^MAX(0,2027-2027),0)</f>
        <v/>
      </c>
      <c r="Q66" s="4">
        <f>IF(Headcount!$D$15&lt;=Timeline!Q5,Headcount!$C$15*Headcount!$E$15/12*(1+burden)*(1+salary_infl)^MAX(0,2028-2027),0)</f>
        <v/>
      </c>
      <c r="R66" s="4">
        <f>IF(Headcount!$D$15&lt;=Timeline!R5,Headcount!$C$15*Headcount!$E$15/12*(1+burden)*(1+salary_infl)^MAX(0,2028-2027),0)</f>
        <v/>
      </c>
      <c r="S66" s="4">
        <f>IF(Headcount!$D$15&lt;=Timeline!S5,Headcount!$C$15*Headcount!$E$15/12*(1+burden)*(1+salary_infl)^MAX(0,2028-2027),0)</f>
        <v/>
      </c>
      <c r="T66" s="4">
        <f>IF(Headcount!$D$15&lt;=Timeline!T5,Headcount!$C$15*Headcount!$E$15/12*(1+burden)*(1+salary_infl)^MAX(0,2028-2027),0)</f>
        <v/>
      </c>
      <c r="U66" s="4">
        <f>IF(Headcount!$D$15&lt;=Timeline!U5,Headcount!$C$15*Headcount!$E$15/12*(1+burden)*(1+salary_infl)^MAX(0,2028-2027),0)</f>
        <v/>
      </c>
      <c r="V66" s="4">
        <f>IF(Headcount!$D$15&lt;=Timeline!V5,Headcount!$C$15*Headcount!$E$15/12*(1+burden)*(1+salary_infl)^MAX(0,2028-2027),0)</f>
        <v/>
      </c>
      <c r="W66" s="4">
        <f>IF(Headcount!$D$15&lt;=Timeline!W5,Headcount!$C$15*Headcount!$E$15/12*(1+burden)*(1+salary_infl)^MAX(0,2028-2027),0)</f>
        <v/>
      </c>
      <c r="X66" s="4">
        <f>IF(Headcount!$D$15&lt;=Timeline!X5,Headcount!$C$15*Headcount!$E$15/12*(1+burden)*(1+salary_infl)^MAX(0,2028-2027),0)</f>
        <v/>
      </c>
      <c r="Y66" s="4">
        <f>IF(Headcount!$D$15&lt;=Timeline!Y5,Headcount!$C$15*Headcount!$E$15/12*(1+burden)*(1+salary_infl)^MAX(0,2028-2027),0)</f>
        <v/>
      </c>
      <c r="Z66" s="4">
        <f>IF(Headcount!$D$15&lt;=Timeline!Z5,Headcount!$C$15*Headcount!$E$15/12*(1+burden)*(1+salary_infl)^MAX(0,2028-2027),0)</f>
        <v/>
      </c>
      <c r="AA66" s="4">
        <f>IF(Headcount!$D$15&lt;=Timeline!AA5,Headcount!$C$15*Headcount!$E$15/12*(1+burden)*(1+salary_infl)^MAX(0,2028-2027),0)</f>
        <v/>
      </c>
      <c r="AB66" s="4">
        <f>IF(Headcount!$D$15&lt;=Timeline!AB5,Headcount!$C$15*Headcount!$E$15/12*(1+burden)*(1+salary_infl)^MAX(0,2028-2027),0)</f>
        <v/>
      </c>
      <c r="AC66" s="4">
        <f>Headcount!$C$15*Headcount!$E$15*(1+burden)*(1+salary_infl)^MAX(0,2029-2027)*MAX(0,MIN(12,(2029-YEAR(Headcount!$D$15))*12+13-MONTH(Headcount!$D$15)))/12</f>
        <v/>
      </c>
      <c r="AD66" s="4">
        <f>Headcount!$C$15*Headcount!$E$15*(1+burden)*(1+salary_infl)^MAX(0,2030-2027)*MAX(0,MIN(12,(2030-YEAR(Headcount!$D$15))*12+13-MONTH(Headcount!$D$15)))/12</f>
        <v/>
      </c>
      <c r="AE66" s="4">
        <f>Headcount!$C$15*Headcount!$E$15*(1+burden)*(1+salary_infl)^MAX(0,2031-2027)*MAX(0,MIN(12,(2031-YEAR(Headcount!$D$15))*12+13-MONTH(Headcount!$D$15)))/12</f>
        <v/>
      </c>
      <c r="AG66" s="4">
        <f>SUMIF($C$3:$AE$3,AG$3,$C66:$AE66)</f>
        <v/>
      </c>
      <c r="AH66" s="4">
        <f>SUMIF($C$3:$AE$3,AH$3,$C66:$AE66)</f>
        <v/>
      </c>
      <c r="AI66" s="4">
        <f>SUMIF($C$3:$AE$3,AI$3,$C66:$AE66)</f>
        <v/>
      </c>
      <c r="AJ66" s="4">
        <f>SUMIF($C$3:$AE$3,AJ$3,$C66:$AE66)</f>
        <v/>
      </c>
      <c r="AK66" s="4">
        <f>SUMIF($C$3:$AE$3,AK$3,$C66:$AE66)</f>
        <v/>
      </c>
      <c r="AL66" s="4">
        <f>SUMIF($C$3:$AE$3,AL$3,$C66:$AE66)</f>
        <v/>
      </c>
    </row>
    <row r="67">
      <c r="A67">
        <f>Headcount!A16</f>
        <v/>
      </c>
      <c r="B67" s="2">
        <f>Headcount!B16</f>
        <v/>
      </c>
      <c r="C67" s="4">
        <f>IF(Headcount!$D$16&lt;=Timeline!C5,Headcount!$C$16*Headcount!$E$16/12*(1+burden)*(1+salary_infl)^MAX(0,2026-2027),0)</f>
        <v/>
      </c>
      <c r="D67" s="4">
        <f>IF(Headcount!$D$16&lt;=Timeline!D5,Headcount!$C$16*Headcount!$E$16/12*(1+burden)*(1+salary_infl)^MAX(0,2026-2027),0)</f>
        <v/>
      </c>
      <c r="E67" s="4">
        <f>IF(Headcount!$D$16&lt;=Timeline!E5,Headcount!$C$16*Headcount!$E$16/12*(1+burden)*(1+salary_infl)^MAX(0,2027-2027),0)</f>
        <v/>
      </c>
      <c r="F67" s="4">
        <f>IF(Headcount!$D$16&lt;=Timeline!F5,Headcount!$C$16*Headcount!$E$16/12*(1+burden)*(1+salary_infl)^MAX(0,2027-2027),0)</f>
        <v/>
      </c>
      <c r="G67" s="4">
        <f>IF(Headcount!$D$16&lt;=Timeline!G5,Headcount!$C$16*Headcount!$E$16/12*(1+burden)*(1+salary_infl)^MAX(0,2027-2027),0)</f>
        <v/>
      </c>
      <c r="H67" s="4">
        <f>IF(Headcount!$D$16&lt;=Timeline!H5,Headcount!$C$16*Headcount!$E$16/12*(1+burden)*(1+salary_infl)^MAX(0,2027-2027),0)</f>
        <v/>
      </c>
      <c r="I67" s="4">
        <f>IF(Headcount!$D$16&lt;=Timeline!I5,Headcount!$C$16*Headcount!$E$16/12*(1+burden)*(1+salary_infl)^MAX(0,2027-2027),0)</f>
        <v/>
      </c>
      <c r="J67" s="4">
        <f>IF(Headcount!$D$16&lt;=Timeline!J5,Headcount!$C$16*Headcount!$E$16/12*(1+burden)*(1+salary_infl)^MAX(0,2027-2027),0)</f>
        <v/>
      </c>
      <c r="K67" s="4">
        <f>IF(Headcount!$D$16&lt;=Timeline!K5,Headcount!$C$16*Headcount!$E$16/12*(1+burden)*(1+salary_infl)^MAX(0,2027-2027),0)</f>
        <v/>
      </c>
      <c r="L67" s="4">
        <f>IF(Headcount!$D$16&lt;=Timeline!L5,Headcount!$C$16*Headcount!$E$16/12*(1+burden)*(1+salary_infl)^MAX(0,2027-2027),0)</f>
        <v/>
      </c>
      <c r="M67" s="4">
        <f>IF(Headcount!$D$16&lt;=Timeline!M5,Headcount!$C$16*Headcount!$E$16/12*(1+burden)*(1+salary_infl)^MAX(0,2027-2027),0)</f>
        <v/>
      </c>
      <c r="N67" s="4">
        <f>IF(Headcount!$D$16&lt;=Timeline!N5,Headcount!$C$16*Headcount!$E$16/12*(1+burden)*(1+salary_infl)^MAX(0,2027-2027),0)</f>
        <v/>
      </c>
      <c r="O67" s="4">
        <f>IF(Headcount!$D$16&lt;=Timeline!O5,Headcount!$C$16*Headcount!$E$16/12*(1+burden)*(1+salary_infl)^MAX(0,2027-2027),0)</f>
        <v/>
      </c>
      <c r="P67" s="4">
        <f>IF(Headcount!$D$16&lt;=Timeline!P5,Headcount!$C$16*Headcount!$E$16/12*(1+burden)*(1+salary_infl)^MAX(0,2027-2027),0)</f>
        <v/>
      </c>
      <c r="Q67" s="4">
        <f>IF(Headcount!$D$16&lt;=Timeline!Q5,Headcount!$C$16*Headcount!$E$16/12*(1+burden)*(1+salary_infl)^MAX(0,2028-2027),0)</f>
        <v/>
      </c>
      <c r="R67" s="4">
        <f>IF(Headcount!$D$16&lt;=Timeline!R5,Headcount!$C$16*Headcount!$E$16/12*(1+burden)*(1+salary_infl)^MAX(0,2028-2027),0)</f>
        <v/>
      </c>
      <c r="S67" s="4">
        <f>IF(Headcount!$D$16&lt;=Timeline!S5,Headcount!$C$16*Headcount!$E$16/12*(1+burden)*(1+salary_infl)^MAX(0,2028-2027),0)</f>
        <v/>
      </c>
      <c r="T67" s="4">
        <f>IF(Headcount!$D$16&lt;=Timeline!T5,Headcount!$C$16*Headcount!$E$16/12*(1+burden)*(1+salary_infl)^MAX(0,2028-2027),0)</f>
        <v/>
      </c>
      <c r="U67" s="4">
        <f>IF(Headcount!$D$16&lt;=Timeline!U5,Headcount!$C$16*Headcount!$E$16/12*(1+burden)*(1+salary_infl)^MAX(0,2028-2027),0)</f>
        <v/>
      </c>
      <c r="V67" s="4">
        <f>IF(Headcount!$D$16&lt;=Timeline!V5,Headcount!$C$16*Headcount!$E$16/12*(1+burden)*(1+salary_infl)^MAX(0,2028-2027),0)</f>
        <v/>
      </c>
      <c r="W67" s="4">
        <f>IF(Headcount!$D$16&lt;=Timeline!W5,Headcount!$C$16*Headcount!$E$16/12*(1+burden)*(1+salary_infl)^MAX(0,2028-2027),0)</f>
        <v/>
      </c>
      <c r="X67" s="4">
        <f>IF(Headcount!$D$16&lt;=Timeline!X5,Headcount!$C$16*Headcount!$E$16/12*(1+burden)*(1+salary_infl)^MAX(0,2028-2027),0)</f>
        <v/>
      </c>
      <c r="Y67" s="4">
        <f>IF(Headcount!$D$16&lt;=Timeline!Y5,Headcount!$C$16*Headcount!$E$16/12*(1+burden)*(1+salary_infl)^MAX(0,2028-2027),0)</f>
        <v/>
      </c>
      <c r="Z67" s="4">
        <f>IF(Headcount!$D$16&lt;=Timeline!Z5,Headcount!$C$16*Headcount!$E$16/12*(1+burden)*(1+salary_infl)^MAX(0,2028-2027),0)</f>
        <v/>
      </c>
      <c r="AA67" s="4">
        <f>IF(Headcount!$D$16&lt;=Timeline!AA5,Headcount!$C$16*Headcount!$E$16/12*(1+burden)*(1+salary_infl)^MAX(0,2028-2027),0)</f>
        <v/>
      </c>
      <c r="AB67" s="4">
        <f>IF(Headcount!$D$16&lt;=Timeline!AB5,Headcount!$C$16*Headcount!$E$16/12*(1+burden)*(1+salary_infl)^MAX(0,2028-2027),0)</f>
        <v/>
      </c>
      <c r="AC67" s="4">
        <f>Headcount!$C$16*Headcount!$E$16*(1+burden)*(1+salary_infl)^MAX(0,2029-2027)*MAX(0,MIN(12,(2029-YEAR(Headcount!$D$16))*12+13-MONTH(Headcount!$D$16)))/12</f>
        <v/>
      </c>
      <c r="AD67" s="4">
        <f>Headcount!$C$16*Headcount!$E$16*(1+burden)*(1+salary_infl)^MAX(0,2030-2027)*MAX(0,MIN(12,(2030-YEAR(Headcount!$D$16))*12+13-MONTH(Headcount!$D$16)))/12</f>
        <v/>
      </c>
      <c r="AE67" s="4">
        <f>Headcount!$C$16*Headcount!$E$16*(1+burden)*(1+salary_infl)^MAX(0,2031-2027)*MAX(0,MIN(12,(2031-YEAR(Headcount!$D$16))*12+13-MONTH(Headcount!$D$16)))/12</f>
        <v/>
      </c>
      <c r="AG67" s="4">
        <f>SUMIF($C$3:$AE$3,AG$3,$C67:$AE67)</f>
        <v/>
      </c>
      <c r="AH67" s="4">
        <f>SUMIF($C$3:$AE$3,AH$3,$C67:$AE67)</f>
        <v/>
      </c>
      <c r="AI67" s="4">
        <f>SUMIF($C$3:$AE$3,AI$3,$C67:$AE67)</f>
        <v/>
      </c>
      <c r="AJ67" s="4">
        <f>SUMIF($C$3:$AE$3,AJ$3,$C67:$AE67)</f>
        <v/>
      </c>
      <c r="AK67" s="4">
        <f>SUMIF($C$3:$AE$3,AK$3,$C67:$AE67)</f>
        <v/>
      </c>
      <c r="AL67" s="4">
        <f>SUMIF($C$3:$AE$3,AL$3,$C67:$AE67)</f>
        <v/>
      </c>
    </row>
    <row r="68">
      <c r="A68">
        <f>Headcount!A17</f>
        <v/>
      </c>
      <c r="B68" s="2">
        <f>Headcount!B17</f>
        <v/>
      </c>
      <c r="C68" s="4">
        <f>IF(Headcount!$D$17&lt;=Timeline!C5,Headcount!$C$17*Headcount!$E$17/12*(1+burden)*(1+salary_infl)^MAX(0,2026-2027),0)</f>
        <v/>
      </c>
      <c r="D68" s="4">
        <f>IF(Headcount!$D$17&lt;=Timeline!D5,Headcount!$C$17*Headcount!$E$17/12*(1+burden)*(1+salary_infl)^MAX(0,2026-2027),0)</f>
        <v/>
      </c>
      <c r="E68" s="4">
        <f>IF(Headcount!$D$17&lt;=Timeline!E5,Headcount!$C$17*Headcount!$E$17/12*(1+burden)*(1+salary_infl)^MAX(0,2027-2027),0)</f>
        <v/>
      </c>
      <c r="F68" s="4">
        <f>IF(Headcount!$D$17&lt;=Timeline!F5,Headcount!$C$17*Headcount!$E$17/12*(1+burden)*(1+salary_infl)^MAX(0,2027-2027),0)</f>
        <v/>
      </c>
      <c r="G68" s="4">
        <f>IF(Headcount!$D$17&lt;=Timeline!G5,Headcount!$C$17*Headcount!$E$17/12*(1+burden)*(1+salary_infl)^MAX(0,2027-2027),0)</f>
        <v/>
      </c>
      <c r="H68" s="4">
        <f>IF(Headcount!$D$17&lt;=Timeline!H5,Headcount!$C$17*Headcount!$E$17/12*(1+burden)*(1+salary_infl)^MAX(0,2027-2027),0)</f>
        <v/>
      </c>
      <c r="I68" s="4">
        <f>IF(Headcount!$D$17&lt;=Timeline!I5,Headcount!$C$17*Headcount!$E$17/12*(1+burden)*(1+salary_infl)^MAX(0,2027-2027),0)</f>
        <v/>
      </c>
      <c r="J68" s="4">
        <f>IF(Headcount!$D$17&lt;=Timeline!J5,Headcount!$C$17*Headcount!$E$17/12*(1+burden)*(1+salary_infl)^MAX(0,2027-2027),0)</f>
        <v/>
      </c>
      <c r="K68" s="4">
        <f>IF(Headcount!$D$17&lt;=Timeline!K5,Headcount!$C$17*Headcount!$E$17/12*(1+burden)*(1+salary_infl)^MAX(0,2027-2027),0)</f>
        <v/>
      </c>
      <c r="L68" s="4">
        <f>IF(Headcount!$D$17&lt;=Timeline!L5,Headcount!$C$17*Headcount!$E$17/12*(1+burden)*(1+salary_infl)^MAX(0,2027-2027),0)</f>
        <v/>
      </c>
      <c r="M68" s="4">
        <f>IF(Headcount!$D$17&lt;=Timeline!M5,Headcount!$C$17*Headcount!$E$17/12*(1+burden)*(1+salary_infl)^MAX(0,2027-2027),0)</f>
        <v/>
      </c>
      <c r="N68" s="4">
        <f>IF(Headcount!$D$17&lt;=Timeline!N5,Headcount!$C$17*Headcount!$E$17/12*(1+burden)*(1+salary_infl)^MAX(0,2027-2027),0)</f>
        <v/>
      </c>
      <c r="O68" s="4">
        <f>IF(Headcount!$D$17&lt;=Timeline!O5,Headcount!$C$17*Headcount!$E$17/12*(1+burden)*(1+salary_infl)^MAX(0,2027-2027),0)</f>
        <v/>
      </c>
      <c r="P68" s="4">
        <f>IF(Headcount!$D$17&lt;=Timeline!P5,Headcount!$C$17*Headcount!$E$17/12*(1+burden)*(1+salary_infl)^MAX(0,2027-2027),0)</f>
        <v/>
      </c>
      <c r="Q68" s="4">
        <f>IF(Headcount!$D$17&lt;=Timeline!Q5,Headcount!$C$17*Headcount!$E$17/12*(1+burden)*(1+salary_infl)^MAX(0,2028-2027),0)</f>
        <v/>
      </c>
      <c r="R68" s="4">
        <f>IF(Headcount!$D$17&lt;=Timeline!R5,Headcount!$C$17*Headcount!$E$17/12*(1+burden)*(1+salary_infl)^MAX(0,2028-2027),0)</f>
        <v/>
      </c>
      <c r="S68" s="4">
        <f>IF(Headcount!$D$17&lt;=Timeline!S5,Headcount!$C$17*Headcount!$E$17/12*(1+burden)*(1+salary_infl)^MAX(0,2028-2027),0)</f>
        <v/>
      </c>
      <c r="T68" s="4">
        <f>IF(Headcount!$D$17&lt;=Timeline!T5,Headcount!$C$17*Headcount!$E$17/12*(1+burden)*(1+salary_infl)^MAX(0,2028-2027),0)</f>
        <v/>
      </c>
      <c r="U68" s="4">
        <f>IF(Headcount!$D$17&lt;=Timeline!U5,Headcount!$C$17*Headcount!$E$17/12*(1+burden)*(1+salary_infl)^MAX(0,2028-2027),0)</f>
        <v/>
      </c>
      <c r="V68" s="4">
        <f>IF(Headcount!$D$17&lt;=Timeline!V5,Headcount!$C$17*Headcount!$E$17/12*(1+burden)*(1+salary_infl)^MAX(0,2028-2027),0)</f>
        <v/>
      </c>
      <c r="W68" s="4">
        <f>IF(Headcount!$D$17&lt;=Timeline!W5,Headcount!$C$17*Headcount!$E$17/12*(1+burden)*(1+salary_infl)^MAX(0,2028-2027),0)</f>
        <v/>
      </c>
      <c r="X68" s="4">
        <f>IF(Headcount!$D$17&lt;=Timeline!X5,Headcount!$C$17*Headcount!$E$17/12*(1+burden)*(1+salary_infl)^MAX(0,2028-2027),0)</f>
        <v/>
      </c>
      <c r="Y68" s="4">
        <f>IF(Headcount!$D$17&lt;=Timeline!Y5,Headcount!$C$17*Headcount!$E$17/12*(1+burden)*(1+salary_infl)^MAX(0,2028-2027),0)</f>
        <v/>
      </c>
      <c r="Z68" s="4">
        <f>IF(Headcount!$D$17&lt;=Timeline!Z5,Headcount!$C$17*Headcount!$E$17/12*(1+burden)*(1+salary_infl)^MAX(0,2028-2027),0)</f>
        <v/>
      </c>
      <c r="AA68" s="4">
        <f>IF(Headcount!$D$17&lt;=Timeline!AA5,Headcount!$C$17*Headcount!$E$17/12*(1+burden)*(1+salary_infl)^MAX(0,2028-2027),0)</f>
        <v/>
      </c>
      <c r="AB68" s="4">
        <f>IF(Headcount!$D$17&lt;=Timeline!AB5,Headcount!$C$17*Headcount!$E$17/12*(1+burden)*(1+salary_infl)^MAX(0,2028-2027),0)</f>
        <v/>
      </c>
      <c r="AC68" s="4">
        <f>Headcount!$C$17*Headcount!$E$17*(1+burden)*(1+salary_infl)^MAX(0,2029-2027)*MAX(0,MIN(12,(2029-YEAR(Headcount!$D$17))*12+13-MONTH(Headcount!$D$17)))/12</f>
        <v/>
      </c>
      <c r="AD68" s="4">
        <f>Headcount!$C$17*Headcount!$E$17*(1+burden)*(1+salary_infl)^MAX(0,2030-2027)*MAX(0,MIN(12,(2030-YEAR(Headcount!$D$17))*12+13-MONTH(Headcount!$D$17)))/12</f>
        <v/>
      </c>
      <c r="AE68" s="4">
        <f>Headcount!$C$17*Headcount!$E$17*(1+burden)*(1+salary_infl)^MAX(0,2031-2027)*MAX(0,MIN(12,(2031-YEAR(Headcount!$D$17))*12+13-MONTH(Headcount!$D$17)))/12</f>
        <v/>
      </c>
      <c r="AG68" s="4">
        <f>SUMIF($C$3:$AE$3,AG$3,$C68:$AE68)</f>
        <v/>
      </c>
      <c r="AH68" s="4">
        <f>SUMIF($C$3:$AE$3,AH$3,$C68:$AE68)</f>
        <v/>
      </c>
      <c r="AI68" s="4">
        <f>SUMIF($C$3:$AE$3,AI$3,$C68:$AE68)</f>
        <v/>
      </c>
      <c r="AJ68" s="4">
        <f>SUMIF($C$3:$AE$3,AJ$3,$C68:$AE68)</f>
        <v/>
      </c>
      <c r="AK68" s="4">
        <f>SUMIF($C$3:$AE$3,AK$3,$C68:$AE68)</f>
        <v/>
      </c>
      <c r="AL68" s="4">
        <f>SUMIF($C$3:$AE$3,AL$3,$C68:$AE68)</f>
        <v/>
      </c>
    </row>
    <row r="69">
      <c r="A69">
        <f>Headcount!A18</f>
        <v/>
      </c>
      <c r="B69" s="2">
        <f>Headcount!B18</f>
        <v/>
      </c>
      <c r="C69" s="4">
        <f>IF(Headcount!$D$18&lt;=Timeline!C5,Headcount!$C$18*Headcount!$E$18/12*(1+burden)*(1+salary_infl)^MAX(0,2026-2027),0)</f>
        <v/>
      </c>
      <c r="D69" s="4">
        <f>IF(Headcount!$D$18&lt;=Timeline!D5,Headcount!$C$18*Headcount!$E$18/12*(1+burden)*(1+salary_infl)^MAX(0,2026-2027),0)</f>
        <v/>
      </c>
      <c r="E69" s="4">
        <f>IF(Headcount!$D$18&lt;=Timeline!E5,Headcount!$C$18*Headcount!$E$18/12*(1+burden)*(1+salary_infl)^MAX(0,2027-2027),0)</f>
        <v/>
      </c>
      <c r="F69" s="4">
        <f>IF(Headcount!$D$18&lt;=Timeline!F5,Headcount!$C$18*Headcount!$E$18/12*(1+burden)*(1+salary_infl)^MAX(0,2027-2027),0)</f>
        <v/>
      </c>
      <c r="G69" s="4">
        <f>IF(Headcount!$D$18&lt;=Timeline!G5,Headcount!$C$18*Headcount!$E$18/12*(1+burden)*(1+salary_infl)^MAX(0,2027-2027),0)</f>
        <v/>
      </c>
      <c r="H69" s="4">
        <f>IF(Headcount!$D$18&lt;=Timeline!H5,Headcount!$C$18*Headcount!$E$18/12*(1+burden)*(1+salary_infl)^MAX(0,2027-2027),0)</f>
        <v/>
      </c>
      <c r="I69" s="4">
        <f>IF(Headcount!$D$18&lt;=Timeline!I5,Headcount!$C$18*Headcount!$E$18/12*(1+burden)*(1+salary_infl)^MAX(0,2027-2027),0)</f>
        <v/>
      </c>
      <c r="J69" s="4">
        <f>IF(Headcount!$D$18&lt;=Timeline!J5,Headcount!$C$18*Headcount!$E$18/12*(1+burden)*(1+salary_infl)^MAX(0,2027-2027),0)</f>
        <v/>
      </c>
      <c r="K69" s="4">
        <f>IF(Headcount!$D$18&lt;=Timeline!K5,Headcount!$C$18*Headcount!$E$18/12*(1+burden)*(1+salary_infl)^MAX(0,2027-2027),0)</f>
        <v/>
      </c>
      <c r="L69" s="4">
        <f>IF(Headcount!$D$18&lt;=Timeline!L5,Headcount!$C$18*Headcount!$E$18/12*(1+burden)*(1+salary_infl)^MAX(0,2027-2027),0)</f>
        <v/>
      </c>
      <c r="M69" s="4">
        <f>IF(Headcount!$D$18&lt;=Timeline!M5,Headcount!$C$18*Headcount!$E$18/12*(1+burden)*(1+salary_infl)^MAX(0,2027-2027),0)</f>
        <v/>
      </c>
      <c r="N69" s="4">
        <f>IF(Headcount!$D$18&lt;=Timeline!N5,Headcount!$C$18*Headcount!$E$18/12*(1+burden)*(1+salary_infl)^MAX(0,2027-2027),0)</f>
        <v/>
      </c>
      <c r="O69" s="4">
        <f>IF(Headcount!$D$18&lt;=Timeline!O5,Headcount!$C$18*Headcount!$E$18/12*(1+burden)*(1+salary_infl)^MAX(0,2027-2027),0)</f>
        <v/>
      </c>
      <c r="P69" s="4">
        <f>IF(Headcount!$D$18&lt;=Timeline!P5,Headcount!$C$18*Headcount!$E$18/12*(1+burden)*(1+salary_infl)^MAX(0,2027-2027),0)</f>
        <v/>
      </c>
      <c r="Q69" s="4">
        <f>IF(Headcount!$D$18&lt;=Timeline!Q5,Headcount!$C$18*Headcount!$E$18/12*(1+burden)*(1+salary_infl)^MAX(0,2028-2027),0)</f>
        <v/>
      </c>
      <c r="R69" s="4">
        <f>IF(Headcount!$D$18&lt;=Timeline!R5,Headcount!$C$18*Headcount!$E$18/12*(1+burden)*(1+salary_infl)^MAX(0,2028-2027),0)</f>
        <v/>
      </c>
      <c r="S69" s="4">
        <f>IF(Headcount!$D$18&lt;=Timeline!S5,Headcount!$C$18*Headcount!$E$18/12*(1+burden)*(1+salary_infl)^MAX(0,2028-2027),0)</f>
        <v/>
      </c>
      <c r="T69" s="4">
        <f>IF(Headcount!$D$18&lt;=Timeline!T5,Headcount!$C$18*Headcount!$E$18/12*(1+burden)*(1+salary_infl)^MAX(0,2028-2027),0)</f>
        <v/>
      </c>
      <c r="U69" s="4">
        <f>IF(Headcount!$D$18&lt;=Timeline!U5,Headcount!$C$18*Headcount!$E$18/12*(1+burden)*(1+salary_infl)^MAX(0,2028-2027),0)</f>
        <v/>
      </c>
      <c r="V69" s="4">
        <f>IF(Headcount!$D$18&lt;=Timeline!V5,Headcount!$C$18*Headcount!$E$18/12*(1+burden)*(1+salary_infl)^MAX(0,2028-2027),0)</f>
        <v/>
      </c>
      <c r="W69" s="4">
        <f>IF(Headcount!$D$18&lt;=Timeline!W5,Headcount!$C$18*Headcount!$E$18/12*(1+burden)*(1+salary_infl)^MAX(0,2028-2027),0)</f>
        <v/>
      </c>
      <c r="X69" s="4">
        <f>IF(Headcount!$D$18&lt;=Timeline!X5,Headcount!$C$18*Headcount!$E$18/12*(1+burden)*(1+salary_infl)^MAX(0,2028-2027),0)</f>
        <v/>
      </c>
      <c r="Y69" s="4">
        <f>IF(Headcount!$D$18&lt;=Timeline!Y5,Headcount!$C$18*Headcount!$E$18/12*(1+burden)*(1+salary_infl)^MAX(0,2028-2027),0)</f>
        <v/>
      </c>
      <c r="Z69" s="4">
        <f>IF(Headcount!$D$18&lt;=Timeline!Z5,Headcount!$C$18*Headcount!$E$18/12*(1+burden)*(1+salary_infl)^MAX(0,2028-2027),0)</f>
        <v/>
      </c>
      <c r="AA69" s="4">
        <f>IF(Headcount!$D$18&lt;=Timeline!AA5,Headcount!$C$18*Headcount!$E$18/12*(1+burden)*(1+salary_infl)^MAX(0,2028-2027),0)</f>
        <v/>
      </c>
      <c r="AB69" s="4">
        <f>IF(Headcount!$D$18&lt;=Timeline!AB5,Headcount!$C$18*Headcount!$E$18/12*(1+burden)*(1+salary_infl)^MAX(0,2028-2027),0)</f>
        <v/>
      </c>
      <c r="AC69" s="4">
        <f>Headcount!$C$18*Headcount!$E$18*(1+burden)*(1+salary_infl)^MAX(0,2029-2027)*MAX(0,MIN(12,(2029-YEAR(Headcount!$D$18))*12+13-MONTH(Headcount!$D$18)))/12</f>
        <v/>
      </c>
      <c r="AD69" s="4">
        <f>Headcount!$C$18*Headcount!$E$18*(1+burden)*(1+salary_infl)^MAX(0,2030-2027)*MAX(0,MIN(12,(2030-YEAR(Headcount!$D$18))*12+13-MONTH(Headcount!$D$18)))/12</f>
        <v/>
      </c>
      <c r="AE69" s="4">
        <f>Headcount!$C$18*Headcount!$E$18*(1+burden)*(1+salary_infl)^MAX(0,2031-2027)*MAX(0,MIN(12,(2031-YEAR(Headcount!$D$18))*12+13-MONTH(Headcount!$D$18)))/12</f>
        <v/>
      </c>
      <c r="AG69" s="4">
        <f>SUMIF($C$3:$AE$3,AG$3,$C69:$AE69)</f>
        <v/>
      </c>
      <c r="AH69" s="4">
        <f>SUMIF($C$3:$AE$3,AH$3,$C69:$AE69)</f>
        <v/>
      </c>
      <c r="AI69" s="4">
        <f>SUMIF($C$3:$AE$3,AI$3,$C69:$AE69)</f>
        <v/>
      </c>
      <c r="AJ69" s="4">
        <f>SUMIF($C$3:$AE$3,AJ$3,$C69:$AE69)</f>
        <v/>
      </c>
      <c r="AK69" s="4">
        <f>SUMIF($C$3:$AE$3,AK$3,$C69:$AE69)</f>
        <v/>
      </c>
      <c r="AL69" s="4">
        <f>SUMIF($C$3:$AE$3,AL$3,$C69:$AE69)</f>
        <v/>
      </c>
    </row>
    <row r="70">
      <c r="A70">
        <f>Headcount!A19</f>
        <v/>
      </c>
      <c r="B70" s="2">
        <f>Headcount!B19</f>
        <v/>
      </c>
      <c r="C70" s="4">
        <f>IF(Headcount!$D$19&lt;=Timeline!C5,Headcount!$C$19*Headcount!$E$19/12*(1+burden)*(1+salary_infl)^MAX(0,2026-2027),0)</f>
        <v/>
      </c>
      <c r="D70" s="4">
        <f>IF(Headcount!$D$19&lt;=Timeline!D5,Headcount!$C$19*Headcount!$E$19/12*(1+burden)*(1+salary_infl)^MAX(0,2026-2027),0)</f>
        <v/>
      </c>
      <c r="E70" s="4">
        <f>IF(Headcount!$D$19&lt;=Timeline!E5,Headcount!$C$19*Headcount!$E$19/12*(1+burden)*(1+salary_infl)^MAX(0,2027-2027),0)</f>
        <v/>
      </c>
      <c r="F70" s="4">
        <f>IF(Headcount!$D$19&lt;=Timeline!F5,Headcount!$C$19*Headcount!$E$19/12*(1+burden)*(1+salary_infl)^MAX(0,2027-2027),0)</f>
        <v/>
      </c>
      <c r="G70" s="4">
        <f>IF(Headcount!$D$19&lt;=Timeline!G5,Headcount!$C$19*Headcount!$E$19/12*(1+burden)*(1+salary_infl)^MAX(0,2027-2027),0)</f>
        <v/>
      </c>
      <c r="H70" s="4">
        <f>IF(Headcount!$D$19&lt;=Timeline!H5,Headcount!$C$19*Headcount!$E$19/12*(1+burden)*(1+salary_infl)^MAX(0,2027-2027),0)</f>
        <v/>
      </c>
      <c r="I70" s="4">
        <f>IF(Headcount!$D$19&lt;=Timeline!I5,Headcount!$C$19*Headcount!$E$19/12*(1+burden)*(1+salary_infl)^MAX(0,2027-2027),0)</f>
        <v/>
      </c>
      <c r="J70" s="4">
        <f>IF(Headcount!$D$19&lt;=Timeline!J5,Headcount!$C$19*Headcount!$E$19/12*(1+burden)*(1+salary_infl)^MAX(0,2027-2027),0)</f>
        <v/>
      </c>
      <c r="K70" s="4">
        <f>IF(Headcount!$D$19&lt;=Timeline!K5,Headcount!$C$19*Headcount!$E$19/12*(1+burden)*(1+salary_infl)^MAX(0,2027-2027),0)</f>
        <v/>
      </c>
      <c r="L70" s="4">
        <f>IF(Headcount!$D$19&lt;=Timeline!L5,Headcount!$C$19*Headcount!$E$19/12*(1+burden)*(1+salary_infl)^MAX(0,2027-2027),0)</f>
        <v/>
      </c>
      <c r="M70" s="4">
        <f>IF(Headcount!$D$19&lt;=Timeline!M5,Headcount!$C$19*Headcount!$E$19/12*(1+burden)*(1+salary_infl)^MAX(0,2027-2027),0)</f>
        <v/>
      </c>
      <c r="N70" s="4">
        <f>IF(Headcount!$D$19&lt;=Timeline!N5,Headcount!$C$19*Headcount!$E$19/12*(1+burden)*(1+salary_infl)^MAX(0,2027-2027),0)</f>
        <v/>
      </c>
      <c r="O70" s="4">
        <f>IF(Headcount!$D$19&lt;=Timeline!O5,Headcount!$C$19*Headcount!$E$19/12*(1+burden)*(1+salary_infl)^MAX(0,2027-2027),0)</f>
        <v/>
      </c>
      <c r="P70" s="4">
        <f>IF(Headcount!$D$19&lt;=Timeline!P5,Headcount!$C$19*Headcount!$E$19/12*(1+burden)*(1+salary_infl)^MAX(0,2027-2027),0)</f>
        <v/>
      </c>
      <c r="Q70" s="4">
        <f>IF(Headcount!$D$19&lt;=Timeline!Q5,Headcount!$C$19*Headcount!$E$19/12*(1+burden)*(1+salary_infl)^MAX(0,2028-2027),0)</f>
        <v/>
      </c>
      <c r="R70" s="4">
        <f>IF(Headcount!$D$19&lt;=Timeline!R5,Headcount!$C$19*Headcount!$E$19/12*(1+burden)*(1+salary_infl)^MAX(0,2028-2027),0)</f>
        <v/>
      </c>
      <c r="S70" s="4">
        <f>IF(Headcount!$D$19&lt;=Timeline!S5,Headcount!$C$19*Headcount!$E$19/12*(1+burden)*(1+salary_infl)^MAX(0,2028-2027),0)</f>
        <v/>
      </c>
      <c r="T70" s="4">
        <f>IF(Headcount!$D$19&lt;=Timeline!T5,Headcount!$C$19*Headcount!$E$19/12*(1+burden)*(1+salary_infl)^MAX(0,2028-2027),0)</f>
        <v/>
      </c>
      <c r="U70" s="4">
        <f>IF(Headcount!$D$19&lt;=Timeline!U5,Headcount!$C$19*Headcount!$E$19/12*(1+burden)*(1+salary_infl)^MAX(0,2028-2027),0)</f>
        <v/>
      </c>
      <c r="V70" s="4">
        <f>IF(Headcount!$D$19&lt;=Timeline!V5,Headcount!$C$19*Headcount!$E$19/12*(1+burden)*(1+salary_infl)^MAX(0,2028-2027),0)</f>
        <v/>
      </c>
      <c r="W70" s="4">
        <f>IF(Headcount!$D$19&lt;=Timeline!W5,Headcount!$C$19*Headcount!$E$19/12*(1+burden)*(1+salary_infl)^MAX(0,2028-2027),0)</f>
        <v/>
      </c>
      <c r="X70" s="4">
        <f>IF(Headcount!$D$19&lt;=Timeline!X5,Headcount!$C$19*Headcount!$E$19/12*(1+burden)*(1+salary_infl)^MAX(0,2028-2027),0)</f>
        <v/>
      </c>
      <c r="Y70" s="4">
        <f>IF(Headcount!$D$19&lt;=Timeline!Y5,Headcount!$C$19*Headcount!$E$19/12*(1+burden)*(1+salary_infl)^MAX(0,2028-2027),0)</f>
        <v/>
      </c>
      <c r="Z70" s="4">
        <f>IF(Headcount!$D$19&lt;=Timeline!Z5,Headcount!$C$19*Headcount!$E$19/12*(1+burden)*(1+salary_infl)^MAX(0,2028-2027),0)</f>
        <v/>
      </c>
      <c r="AA70" s="4">
        <f>IF(Headcount!$D$19&lt;=Timeline!AA5,Headcount!$C$19*Headcount!$E$19/12*(1+burden)*(1+salary_infl)^MAX(0,2028-2027),0)</f>
        <v/>
      </c>
      <c r="AB70" s="4">
        <f>IF(Headcount!$D$19&lt;=Timeline!AB5,Headcount!$C$19*Headcount!$E$19/12*(1+burden)*(1+salary_infl)^MAX(0,2028-2027),0)</f>
        <v/>
      </c>
      <c r="AC70" s="4">
        <f>Headcount!$C$19*Headcount!$E$19*(1+burden)*(1+salary_infl)^MAX(0,2029-2027)*MAX(0,MIN(12,(2029-YEAR(Headcount!$D$19))*12+13-MONTH(Headcount!$D$19)))/12</f>
        <v/>
      </c>
      <c r="AD70" s="4">
        <f>Headcount!$C$19*Headcount!$E$19*(1+burden)*(1+salary_infl)^MAX(0,2030-2027)*MAX(0,MIN(12,(2030-YEAR(Headcount!$D$19))*12+13-MONTH(Headcount!$D$19)))/12</f>
        <v/>
      </c>
      <c r="AE70" s="4">
        <f>Headcount!$C$19*Headcount!$E$19*(1+burden)*(1+salary_infl)^MAX(0,2031-2027)*MAX(0,MIN(12,(2031-YEAR(Headcount!$D$19))*12+13-MONTH(Headcount!$D$19)))/12</f>
        <v/>
      </c>
      <c r="AG70" s="4">
        <f>SUMIF($C$3:$AE$3,AG$3,$C70:$AE70)</f>
        <v/>
      </c>
      <c r="AH70" s="4">
        <f>SUMIF($C$3:$AE$3,AH$3,$C70:$AE70)</f>
        <v/>
      </c>
      <c r="AI70" s="4">
        <f>SUMIF($C$3:$AE$3,AI$3,$C70:$AE70)</f>
        <v/>
      </c>
      <c r="AJ70" s="4">
        <f>SUMIF($C$3:$AE$3,AJ$3,$C70:$AE70)</f>
        <v/>
      </c>
      <c r="AK70" s="4">
        <f>SUMIF($C$3:$AE$3,AK$3,$C70:$AE70)</f>
        <v/>
      </c>
      <c r="AL70" s="4">
        <f>SUMIF($C$3:$AE$3,AL$3,$C70:$AE70)</f>
        <v/>
      </c>
    </row>
    <row r="71">
      <c r="A71">
        <f>Headcount!A20</f>
        <v/>
      </c>
      <c r="B71" s="2">
        <f>Headcount!B20</f>
        <v/>
      </c>
      <c r="C71" s="4">
        <f>IF(Headcount!$D$20&lt;=Timeline!C5,Headcount!$C$20*Headcount!$E$20/12*(1+burden)*(1+salary_infl)^MAX(0,2026-2027),0)</f>
        <v/>
      </c>
      <c r="D71" s="4">
        <f>IF(Headcount!$D$20&lt;=Timeline!D5,Headcount!$C$20*Headcount!$E$20/12*(1+burden)*(1+salary_infl)^MAX(0,2026-2027),0)</f>
        <v/>
      </c>
      <c r="E71" s="4">
        <f>IF(Headcount!$D$20&lt;=Timeline!E5,Headcount!$C$20*Headcount!$E$20/12*(1+burden)*(1+salary_infl)^MAX(0,2027-2027),0)</f>
        <v/>
      </c>
      <c r="F71" s="4">
        <f>IF(Headcount!$D$20&lt;=Timeline!F5,Headcount!$C$20*Headcount!$E$20/12*(1+burden)*(1+salary_infl)^MAX(0,2027-2027),0)</f>
        <v/>
      </c>
      <c r="G71" s="4">
        <f>IF(Headcount!$D$20&lt;=Timeline!G5,Headcount!$C$20*Headcount!$E$20/12*(1+burden)*(1+salary_infl)^MAX(0,2027-2027),0)</f>
        <v/>
      </c>
      <c r="H71" s="4">
        <f>IF(Headcount!$D$20&lt;=Timeline!H5,Headcount!$C$20*Headcount!$E$20/12*(1+burden)*(1+salary_infl)^MAX(0,2027-2027),0)</f>
        <v/>
      </c>
      <c r="I71" s="4">
        <f>IF(Headcount!$D$20&lt;=Timeline!I5,Headcount!$C$20*Headcount!$E$20/12*(1+burden)*(1+salary_infl)^MAX(0,2027-2027),0)</f>
        <v/>
      </c>
      <c r="J71" s="4">
        <f>IF(Headcount!$D$20&lt;=Timeline!J5,Headcount!$C$20*Headcount!$E$20/12*(1+burden)*(1+salary_infl)^MAX(0,2027-2027),0)</f>
        <v/>
      </c>
      <c r="K71" s="4">
        <f>IF(Headcount!$D$20&lt;=Timeline!K5,Headcount!$C$20*Headcount!$E$20/12*(1+burden)*(1+salary_infl)^MAX(0,2027-2027),0)</f>
        <v/>
      </c>
      <c r="L71" s="4">
        <f>IF(Headcount!$D$20&lt;=Timeline!L5,Headcount!$C$20*Headcount!$E$20/12*(1+burden)*(1+salary_infl)^MAX(0,2027-2027),0)</f>
        <v/>
      </c>
      <c r="M71" s="4">
        <f>IF(Headcount!$D$20&lt;=Timeline!M5,Headcount!$C$20*Headcount!$E$20/12*(1+burden)*(1+salary_infl)^MAX(0,2027-2027),0)</f>
        <v/>
      </c>
      <c r="N71" s="4">
        <f>IF(Headcount!$D$20&lt;=Timeline!N5,Headcount!$C$20*Headcount!$E$20/12*(1+burden)*(1+salary_infl)^MAX(0,2027-2027),0)</f>
        <v/>
      </c>
      <c r="O71" s="4">
        <f>IF(Headcount!$D$20&lt;=Timeline!O5,Headcount!$C$20*Headcount!$E$20/12*(1+burden)*(1+salary_infl)^MAX(0,2027-2027),0)</f>
        <v/>
      </c>
      <c r="P71" s="4">
        <f>IF(Headcount!$D$20&lt;=Timeline!P5,Headcount!$C$20*Headcount!$E$20/12*(1+burden)*(1+salary_infl)^MAX(0,2027-2027),0)</f>
        <v/>
      </c>
      <c r="Q71" s="4">
        <f>IF(Headcount!$D$20&lt;=Timeline!Q5,Headcount!$C$20*Headcount!$E$20/12*(1+burden)*(1+salary_infl)^MAX(0,2028-2027),0)</f>
        <v/>
      </c>
      <c r="R71" s="4">
        <f>IF(Headcount!$D$20&lt;=Timeline!R5,Headcount!$C$20*Headcount!$E$20/12*(1+burden)*(1+salary_infl)^MAX(0,2028-2027),0)</f>
        <v/>
      </c>
      <c r="S71" s="4">
        <f>IF(Headcount!$D$20&lt;=Timeline!S5,Headcount!$C$20*Headcount!$E$20/12*(1+burden)*(1+salary_infl)^MAX(0,2028-2027),0)</f>
        <v/>
      </c>
      <c r="T71" s="4">
        <f>IF(Headcount!$D$20&lt;=Timeline!T5,Headcount!$C$20*Headcount!$E$20/12*(1+burden)*(1+salary_infl)^MAX(0,2028-2027),0)</f>
        <v/>
      </c>
      <c r="U71" s="4">
        <f>IF(Headcount!$D$20&lt;=Timeline!U5,Headcount!$C$20*Headcount!$E$20/12*(1+burden)*(1+salary_infl)^MAX(0,2028-2027),0)</f>
        <v/>
      </c>
      <c r="V71" s="4">
        <f>IF(Headcount!$D$20&lt;=Timeline!V5,Headcount!$C$20*Headcount!$E$20/12*(1+burden)*(1+salary_infl)^MAX(0,2028-2027),0)</f>
        <v/>
      </c>
      <c r="W71" s="4">
        <f>IF(Headcount!$D$20&lt;=Timeline!W5,Headcount!$C$20*Headcount!$E$20/12*(1+burden)*(1+salary_infl)^MAX(0,2028-2027),0)</f>
        <v/>
      </c>
      <c r="X71" s="4">
        <f>IF(Headcount!$D$20&lt;=Timeline!X5,Headcount!$C$20*Headcount!$E$20/12*(1+burden)*(1+salary_infl)^MAX(0,2028-2027),0)</f>
        <v/>
      </c>
      <c r="Y71" s="4">
        <f>IF(Headcount!$D$20&lt;=Timeline!Y5,Headcount!$C$20*Headcount!$E$20/12*(1+burden)*(1+salary_infl)^MAX(0,2028-2027),0)</f>
        <v/>
      </c>
      <c r="Z71" s="4">
        <f>IF(Headcount!$D$20&lt;=Timeline!Z5,Headcount!$C$20*Headcount!$E$20/12*(1+burden)*(1+salary_infl)^MAX(0,2028-2027),0)</f>
        <v/>
      </c>
      <c r="AA71" s="4">
        <f>IF(Headcount!$D$20&lt;=Timeline!AA5,Headcount!$C$20*Headcount!$E$20/12*(1+burden)*(1+salary_infl)^MAX(0,2028-2027),0)</f>
        <v/>
      </c>
      <c r="AB71" s="4">
        <f>IF(Headcount!$D$20&lt;=Timeline!AB5,Headcount!$C$20*Headcount!$E$20/12*(1+burden)*(1+salary_infl)^MAX(0,2028-2027),0)</f>
        <v/>
      </c>
      <c r="AC71" s="4">
        <f>Headcount!$C$20*Headcount!$E$20*(1+burden)*(1+salary_infl)^MAX(0,2029-2027)*MAX(0,MIN(12,(2029-YEAR(Headcount!$D$20))*12+13-MONTH(Headcount!$D$20)))/12</f>
        <v/>
      </c>
      <c r="AD71" s="4">
        <f>Headcount!$C$20*Headcount!$E$20*(1+burden)*(1+salary_infl)^MAX(0,2030-2027)*MAX(0,MIN(12,(2030-YEAR(Headcount!$D$20))*12+13-MONTH(Headcount!$D$20)))/12</f>
        <v/>
      </c>
      <c r="AE71" s="4">
        <f>Headcount!$C$20*Headcount!$E$20*(1+burden)*(1+salary_infl)^MAX(0,2031-2027)*MAX(0,MIN(12,(2031-YEAR(Headcount!$D$20))*12+13-MONTH(Headcount!$D$20)))/12</f>
        <v/>
      </c>
      <c r="AG71" s="4">
        <f>SUMIF($C$3:$AE$3,AG$3,$C71:$AE71)</f>
        <v/>
      </c>
      <c r="AH71" s="4">
        <f>SUMIF($C$3:$AE$3,AH$3,$C71:$AE71)</f>
        <v/>
      </c>
      <c r="AI71" s="4">
        <f>SUMIF($C$3:$AE$3,AI$3,$C71:$AE71)</f>
        <v/>
      </c>
      <c r="AJ71" s="4">
        <f>SUMIF($C$3:$AE$3,AJ$3,$C71:$AE71)</f>
        <v/>
      </c>
      <c r="AK71" s="4">
        <f>SUMIF($C$3:$AE$3,AK$3,$C71:$AE71)</f>
        <v/>
      </c>
      <c r="AL71" s="4">
        <f>SUMIF($C$3:$AE$3,AL$3,$C71:$AE71)</f>
        <v/>
      </c>
    </row>
    <row r="72">
      <c r="A72">
        <f>Headcount!A21</f>
        <v/>
      </c>
      <c r="B72" s="2">
        <f>Headcount!B21</f>
        <v/>
      </c>
      <c r="C72" s="4">
        <f>IF(Headcount!$D$21&lt;=Timeline!C5,Headcount!$C$21*Headcount!$E$21/12*(1+burden)*(1+salary_infl)^MAX(0,2026-2027),0)</f>
        <v/>
      </c>
      <c r="D72" s="4">
        <f>IF(Headcount!$D$21&lt;=Timeline!D5,Headcount!$C$21*Headcount!$E$21/12*(1+burden)*(1+salary_infl)^MAX(0,2026-2027),0)</f>
        <v/>
      </c>
      <c r="E72" s="4">
        <f>IF(Headcount!$D$21&lt;=Timeline!E5,Headcount!$C$21*Headcount!$E$21/12*(1+burden)*(1+salary_infl)^MAX(0,2027-2027),0)</f>
        <v/>
      </c>
      <c r="F72" s="4">
        <f>IF(Headcount!$D$21&lt;=Timeline!F5,Headcount!$C$21*Headcount!$E$21/12*(1+burden)*(1+salary_infl)^MAX(0,2027-2027),0)</f>
        <v/>
      </c>
      <c r="G72" s="4">
        <f>IF(Headcount!$D$21&lt;=Timeline!G5,Headcount!$C$21*Headcount!$E$21/12*(1+burden)*(1+salary_infl)^MAX(0,2027-2027),0)</f>
        <v/>
      </c>
      <c r="H72" s="4">
        <f>IF(Headcount!$D$21&lt;=Timeline!H5,Headcount!$C$21*Headcount!$E$21/12*(1+burden)*(1+salary_infl)^MAX(0,2027-2027),0)</f>
        <v/>
      </c>
      <c r="I72" s="4">
        <f>IF(Headcount!$D$21&lt;=Timeline!I5,Headcount!$C$21*Headcount!$E$21/12*(1+burden)*(1+salary_infl)^MAX(0,2027-2027),0)</f>
        <v/>
      </c>
      <c r="J72" s="4">
        <f>IF(Headcount!$D$21&lt;=Timeline!J5,Headcount!$C$21*Headcount!$E$21/12*(1+burden)*(1+salary_infl)^MAX(0,2027-2027),0)</f>
        <v/>
      </c>
      <c r="K72" s="4">
        <f>IF(Headcount!$D$21&lt;=Timeline!K5,Headcount!$C$21*Headcount!$E$21/12*(1+burden)*(1+salary_infl)^MAX(0,2027-2027),0)</f>
        <v/>
      </c>
      <c r="L72" s="4">
        <f>IF(Headcount!$D$21&lt;=Timeline!L5,Headcount!$C$21*Headcount!$E$21/12*(1+burden)*(1+salary_infl)^MAX(0,2027-2027),0)</f>
        <v/>
      </c>
      <c r="M72" s="4">
        <f>IF(Headcount!$D$21&lt;=Timeline!M5,Headcount!$C$21*Headcount!$E$21/12*(1+burden)*(1+salary_infl)^MAX(0,2027-2027),0)</f>
        <v/>
      </c>
      <c r="N72" s="4">
        <f>IF(Headcount!$D$21&lt;=Timeline!N5,Headcount!$C$21*Headcount!$E$21/12*(1+burden)*(1+salary_infl)^MAX(0,2027-2027),0)</f>
        <v/>
      </c>
      <c r="O72" s="4">
        <f>IF(Headcount!$D$21&lt;=Timeline!O5,Headcount!$C$21*Headcount!$E$21/12*(1+burden)*(1+salary_infl)^MAX(0,2027-2027),0)</f>
        <v/>
      </c>
      <c r="P72" s="4">
        <f>IF(Headcount!$D$21&lt;=Timeline!P5,Headcount!$C$21*Headcount!$E$21/12*(1+burden)*(1+salary_infl)^MAX(0,2027-2027),0)</f>
        <v/>
      </c>
      <c r="Q72" s="4">
        <f>IF(Headcount!$D$21&lt;=Timeline!Q5,Headcount!$C$21*Headcount!$E$21/12*(1+burden)*(1+salary_infl)^MAX(0,2028-2027),0)</f>
        <v/>
      </c>
      <c r="R72" s="4">
        <f>IF(Headcount!$D$21&lt;=Timeline!R5,Headcount!$C$21*Headcount!$E$21/12*(1+burden)*(1+salary_infl)^MAX(0,2028-2027),0)</f>
        <v/>
      </c>
      <c r="S72" s="4">
        <f>IF(Headcount!$D$21&lt;=Timeline!S5,Headcount!$C$21*Headcount!$E$21/12*(1+burden)*(1+salary_infl)^MAX(0,2028-2027),0)</f>
        <v/>
      </c>
      <c r="T72" s="4">
        <f>IF(Headcount!$D$21&lt;=Timeline!T5,Headcount!$C$21*Headcount!$E$21/12*(1+burden)*(1+salary_infl)^MAX(0,2028-2027),0)</f>
        <v/>
      </c>
      <c r="U72" s="4">
        <f>IF(Headcount!$D$21&lt;=Timeline!U5,Headcount!$C$21*Headcount!$E$21/12*(1+burden)*(1+salary_infl)^MAX(0,2028-2027),0)</f>
        <v/>
      </c>
      <c r="V72" s="4">
        <f>IF(Headcount!$D$21&lt;=Timeline!V5,Headcount!$C$21*Headcount!$E$21/12*(1+burden)*(1+salary_infl)^MAX(0,2028-2027),0)</f>
        <v/>
      </c>
      <c r="W72" s="4">
        <f>IF(Headcount!$D$21&lt;=Timeline!W5,Headcount!$C$21*Headcount!$E$21/12*(1+burden)*(1+salary_infl)^MAX(0,2028-2027),0)</f>
        <v/>
      </c>
      <c r="X72" s="4">
        <f>IF(Headcount!$D$21&lt;=Timeline!X5,Headcount!$C$21*Headcount!$E$21/12*(1+burden)*(1+salary_infl)^MAX(0,2028-2027),0)</f>
        <v/>
      </c>
      <c r="Y72" s="4">
        <f>IF(Headcount!$D$21&lt;=Timeline!Y5,Headcount!$C$21*Headcount!$E$21/12*(1+burden)*(1+salary_infl)^MAX(0,2028-2027),0)</f>
        <v/>
      </c>
      <c r="Z72" s="4">
        <f>IF(Headcount!$D$21&lt;=Timeline!Z5,Headcount!$C$21*Headcount!$E$21/12*(1+burden)*(1+salary_infl)^MAX(0,2028-2027),0)</f>
        <v/>
      </c>
      <c r="AA72" s="4">
        <f>IF(Headcount!$D$21&lt;=Timeline!AA5,Headcount!$C$21*Headcount!$E$21/12*(1+burden)*(1+salary_infl)^MAX(0,2028-2027),0)</f>
        <v/>
      </c>
      <c r="AB72" s="4">
        <f>IF(Headcount!$D$21&lt;=Timeline!AB5,Headcount!$C$21*Headcount!$E$21/12*(1+burden)*(1+salary_infl)^MAX(0,2028-2027),0)</f>
        <v/>
      </c>
      <c r="AC72" s="4">
        <f>Headcount!$C$21*Headcount!$E$21*(1+burden)*(1+salary_infl)^MAX(0,2029-2027)*MAX(0,MIN(12,(2029-YEAR(Headcount!$D$21))*12+13-MONTH(Headcount!$D$21)))/12</f>
        <v/>
      </c>
      <c r="AD72" s="4">
        <f>Headcount!$C$21*Headcount!$E$21*(1+burden)*(1+salary_infl)^MAX(0,2030-2027)*MAX(0,MIN(12,(2030-YEAR(Headcount!$D$21))*12+13-MONTH(Headcount!$D$21)))/12</f>
        <v/>
      </c>
      <c r="AE72" s="4">
        <f>Headcount!$C$21*Headcount!$E$21*(1+burden)*(1+salary_infl)^MAX(0,2031-2027)*MAX(0,MIN(12,(2031-YEAR(Headcount!$D$21))*12+13-MONTH(Headcount!$D$21)))/12</f>
        <v/>
      </c>
      <c r="AG72" s="4">
        <f>SUMIF($C$3:$AE$3,AG$3,$C72:$AE72)</f>
        <v/>
      </c>
      <c r="AH72" s="4">
        <f>SUMIF($C$3:$AE$3,AH$3,$C72:$AE72)</f>
        <v/>
      </c>
      <c r="AI72" s="4">
        <f>SUMIF($C$3:$AE$3,AI$3,$C72:$AE72)</f>
        <v/>
      </c>
      <c r="AJ72" s="4">
        <f>SUMIF($C$3:$AE$3,AJ$3,$C72:$AE72)</f>
        <v/>
      </c>
      <c r="AK72" s="4">
        <f>SUMIF($C$3:$AE$3,AK$3,$C72:$AE72)</f>
        <v/>
      </c>
      <c r="AL72" s="4">
        <f>SUMIF($C$3:$AE$3,AL$3,$C72:$AE72)</f>
        <v/>
      </c>
    </row>
    <row r="73">
      <c r="A73">
        <f>Headcount!A22</f>
        <v/>
      </c>
      <c r="B73" s="2">
        <f>Headcount!B22</f>
        <v/>
      </c>
      <c r="C73" s="4">
        <f>IF(Headcount!$D$22&lt;=Timeline!C5,Headcount!$C$22*Headcount!$E$22/12*(1+burden)*(1+salary_infl)^MAX(0,2026-2027),0)</f>
        <v/>
      </c>
      <c r="D73" s="4">
        <f>IF(Headcount!$D$22&lt;=Timeline!D5,Headcount!$C$22*Headcount!$E$22/12*(1+burden)*(1+salary_infl)^MAX(0,2026-2027),0)</f>
        <v/>
      </c>
      <c r="E73" s="4">
        <f>IF(Headcount!$D$22&lt;=Timeline!E5,Headcount!$C$22*Headcount!$E$22/12*(1+burden)*(1+salary_infl)^MAX(0,2027-2027),0)</f>
        <v/>
      </c>
      <c r="F73" s="4">
        <f>IF(Headcount!$D$22&lt;=Timeline!F5,Headcount!$C$22*Headcount!$E$22/12*(1+burden)*(1+salary_infl)^MAX(0,2027-2027),0)</f>
        <v/>
      </c>
      <c r="G73" s="4">
        <f>IF(Headcount!$D$22&lt;=Timeline!G5,Headcount!$C$22*Headcount!$E$22/12*(1+burden)*(1+salary_infl)^MAX(0,2027-2027),0)</f>
        <v/>
      </c>
      <c r="H73" s="4">
        <f>IF(Headcount!$D$22&lt;=Timeline!H5,Headcount!$C$22*Headcount!$E$22/12*(1+burden)*(1+salary_infl)^MAX(0,2027-2027),0)</f>
        <v/>
      </c>
      <c r="I73" s="4">
        <f>IF(Headcount!$D$22&lt;=Timeline!I5,Headcount!$C$22*Headcount!$E$22/12*(1+burden)*(1+salary_infl)^MAX(0,2027-2027),0)</f>
        <v/>
      </c>
      <c r="J73" s="4">
        <f>IF(Headcount!$D$22&lt;=Timeline!J5,Headcount!$C$22*Headcount!$E$22/12*(1+burden)*(1+salary_infl)^MAX(0,2027-2027),0)</f>
        <v/>
      </c>
      <c r="K73" s="4">
        <f>IF(Headcount!$D$22&lt;=Timeline!K5,Headcount!$C$22*Headcount!$E$22/12*(1+burden)*(1+salary_infl)^MAX(0,2027-2027),0)</f>
        <v/>
      </c>
      <c r="L73" s="4">
        <f>IF(Headcount!$D$22&lt;=Timeline!L5,Headcount!$C$22*Headcount!$E$22/12*(1+burden)*(1+salary_infl)^MAX(0,2027-2027),0)</f>
        <v/>
      </c>
      <c r="M73" s="4">
        <f>IF(Headcount!$D$22&lt;=Timeline!M5,Headcount!$C$22*Headcount!$E$22/12*(1+burden)*(1+salary_infl)^MAX(0,2027-2027),0)</f>
        <v/>
      </c>
      <c r="N73" s="4">
        <f>IF(Headcount!$D$22&lt;=Timeline!N5,Headcount!$C$22*Headcount!$E$22/12*(1+burden)*(1+salary_infl)^MAX(0,2027-2027),0)</f>
        <v/>
      </c>
      <c r="O73" s="4">
        <f>IF(Headcount!$D$22&lt;=Timeline!O5,Headcount!$C$22*Headcount!$E$22/12*(1+burden)*(1+salary_infl)^MAX(0,2027-2027),0)</f>
        <v/>
      </c>
      <c r="P73" s="4">
        <f>IF(Headcount!$D$22&lt;=Timeline!P5,Headcount!$C$22*Headcount!$E$22/12*(1+burden)*(1+salary_infl)^MAX(0,2027-2027),0)</f>
        <v/>
      </c>
      <c r="Q73" s="4">
        <f>IF(Headcount!$D$22&lt;=Timeline!Q5,Headcount!$C$22*Headcount!$E$22/12*(1+burden)*(1+salary_infl)^MAX(0,2028-2027),0)</f>
        <v/>
      </c>
      <c r="R73" s="4">
        <f>IF(Headcount!$D$22&lt;=Timeline!R5,Headcount!$C$22*Headcount!$E$22/12*(1+burden)*(1+salary_infl)^MAX(0,2028-2027),0)</f>
        <v/>
      </c>
      <c r="S73" s="4">
        <f>IF(Headcount!$D$22&lt;=Timeline!S5,Headcount!$C$22*Headcount!$E$22/12*(1+burden)*(1+salary_infl)^MAX(0,2028-2027),0)</f>
        <v/>
      </c>
      <c r="T73" s="4">
        <f>IF(Headcount!$D$22&lt;=Timeline!T5,Headcount!$C$22*Headcount!$E$22/12*(1+burden)*(1+salary_infl)^MAX(0,2028-2027),0)</f>
        <v/>
      </c>
      <c r="U73" s="4">
        <f>IF(Headcount!$D$22&lt;=Timeline!U5,Headcount!$C$22*Headcount!$E$22/12*(1+burden)*(1+salary_infl)^MAX(0,2028-2027),0)</f>
        <v/>
      </c>
      <c r="V73" s="4">
        <f>IF(Headcount!$D$22&lt;=Timeline!V5,Headcount!$C$22*Headcount!$E$22/12*(1+burden)*(1+salary_infl)^MAX(0,2028-2027),0)</f>
        <v/>
      </c>
      <c r="W73" s="4">
        <f>IF(Headcount!$D$22&lt;=Timeline!W5,Headcount!$C$22*Headcount!$E$22/12*(1+burden)*(1+salary_infl)^MAX(0,2028-2027),0)</f>
        <v/>
      </c>
      <c r="X73" s="4">
        <f>IF(Headcount!$D$22&lt;=Timeline!X5,Headcount!$C$22*Headcount!$E$22/12*(1+burden)*(1+salary_infl)^MAX(0,2028-2027),0)</f>
        <v/>
      </c>
      <c r="Y73" s="4">
        <f>IF(Headcount!$D$22&lt;=Timeline!Y5,Headcount!$C$22*Headcount!$E$22/12*(1+burden)*(1+salary_infl)^MAX(0,2028-2027),0)</f>
        <v/>
      </c>
      <c r="Z73" s="4">
        <f>IF(Headcount!$D$22&lt;=Timeline!Z5,Headcount!$C$22*Headcount!$E$22/12*(1+burden)*(1+salary_infl)^MAX(0,2028-2027),0)</f>
        <v/>
      </c>
      <c r="AA73" s="4">
        <f>IF(Headcount!$D$22&lt;=Timeline!AA5,Headcount!$C$22*Headcount!$E$22/12*(1+burden)*(1+salary_infl)^MAX(0,2028-2027),0)</f>
        <v/>
      </c>
      <c r="AB73" s="4">
        <f>IF(Headcount!$D$22&lt;=Timeline!AB5,Headcount!$C$22*Headcount!$E$22/12*(1+burden)*(1+salary_infl)^MAX(0,2028-2027),0)</f>
        <v/>
      </c>
      <c r="AC73" s="4">
        <f>Headcount!$C$22*Headcount!$E$22*(1+burden)*(1+salary_infl)^MAX(0,2029-2027)*MAX(0,MIN(12,(2029-YEAR(Headcount!$D$22))*12+13-MONTH(Headcount!$D$22)))/12</f>
        <v/>
      </c>
      <c r="AD73" s="4">
        <f>Headcount!$C$22*Headcount!$E$22*(1+burden)*(1+salary_infl)^MAX(0,2030-2027)*MAX(0,MIN(12,(2030-YEAR(Headcount!$D$22))*12+13-MONTH(Headcount!$D$22)))/12</f>
        <v/>
      </c>
      <c r="AE73" s="4">
        <f>Headcount!$C$22*Headcount!$E$22*(1+burden)*(1+salary_infl)^MAX(0,2031-2027)*MAX(0,MIN(12,(2031-YEAR(Headcount!$D$22))*12+13-MONTH(Headcount!$D$22)))/12</f>
        <v/>
      </c>
      <c r="AG73" s="4">
        <f>SUMIF($C$3:$AE$3,AG$3,$C73:$AE73)</f>
        <v/>
      </c>
      <c r="AH73" s="4">
        <f>SUMIF($C$3:$AE$3,AH$3,$C73:$AE73)</f>
        <v/>
      </c>
      <c r="AI73" s="4">
        <f>SUMIF($C$3:$AE$3,AI$3,$C73:$AE73)</f>
        <v/>
      </c>
      <c r="AJ73" s="4">
        <f>SUMIF($C$3:$AE$3,AJ$3,$C73:$AE73)</f>
        <v/>
      </c>
      <c r="AK73" s="4">
        <f>SUMIF($C$3:$AE$3,AK$3,$C73:$AE73)</f>
        <v/>
      </c>
      <c r="AL73" s="4">
        <f>SUMIF($C$3:$AE$3,AL$3,$C73:$AE73)</f>
        <v/>
      </c>
    </row>
    <row r="74">
      <c r="A74">
        <f>Headcount!A23</f>
        <v/>
      </c>
      <c r="B74" s="2">
        <f>Headcount!B23</f>
        <v/>
      </c>
      <c r="C74" s="4">
        <f>IF(Headcount!$D$23&lt;=Timeline!C5,Headcount!$C$23*Headcount!$E$23/12*(1+burden)*(1+salary_infl)^MAX(0,2026-2027),0)</f>
        <v/>
      </c>
      <c r="D74" s="4">
        <f>IF(Headcount!$D$23&lt;=Timeline!D5,Headcount!$C$23*Headcount!$E$23/12*(1+burden)*(1+salary_infl)^MAX(0,2026-2027),0)</f>
        <v/>
      </c>
      <c r="E74" s="4">
        <f>IF(Headcount!$D$23&lt;=Timeline!E5,Headcount!$C$23*Headcount!$E$23/12*(1+burden)*(1+salary_infl)^MAX(0,2027-2027),0)</f>
        <v/>
      </c>
      <c r="F74" s="4">
        <f>IF(Headcount!$D$23&lt;=Timeline!F5,Headcount!$C$23*Headcount!$E$23/12*(1+burden)*(1+salary_infl)^MAX(0,2027-2027),0)</f>
        <v/>
      </c>
      <c r="G74" s="4">
        <f>IF(Headcount!$D$23&lt;=Timeline!G5,Headcount!$C$23*Headcount!$E$23/12*(1+burden)*(1+salary_infl)^MAX(0,2027-2027),0)</f>
        <v/>
      </c>
      <c r="H74" s="4">
        <f>IF(Headcount!$D$23&lt;=Timeline!H5,Headcount!$C$23*Headcount!$E$23/12*(1+burden)*(1+salary_infl)^MAX(0,2027-2027),0)</f>
        <v/>
      </c>
      <c r="I74" s="4">
        <f>IF(Headcount!$D$23&lt;=Timeline!I5,Headcount!$C$23*Headcount!$E$23/12*(1+burden)*(1+salary_infl)^MAX(0,2027-2027),0)</f>
        <v/>
      </c>
      <c r="J74" s="4">
        <f>IF(Headcount!$D$23&lt;=Timeline!J5,Headcount!$C$23*Headcount!$E$23/12*(1+burden)*(1+salary_infl)^MAX(0,2027-2027),0)</f>
        <v/>
      </c>
      <c r="K74" s="4">
        <f>IF(Headcount!$D$23&lt;=Timeline!K5,Headcount!$C$23*Headcount!$E$23/12*(1+burden)*(1+salary_infl)^MAX(0,2027-2027),0)</f>
        <v/>
      </c>
      <c r="L74" s="4">
        <f>IF(Headcount!$D$23&lt;=Timeline!L5,Headcount!$C$23*Headcount!$E$23/12*(1+burden)*(1+salary_infl)^MAX(0,2027-2027),0)</f>
        <v/>
      </c>
      <c r="M74" s="4">
        <f>IF(Headcount!$D$23&lt;=Timeline!M5,Headcount!$C$23*Headcount!$E$23/12*(1+burden)*(1+salary_infl)^MAX(0,2027-2027),0)</f>
        <v/>
      </c>
      <c r="N74" s="4">
        <f>IF(Headcount!$D$23&lt;=Timeline!N5,Headcount!$C$23*Headcount!$E$23/12*(1+burden)*(1+salary_infl)^MAX(0,2027-2027),0)</f>
        <v/>
      </c>
      <c r="O74" s="4">
        <f>IF(Headcount!$D$23&lt;=Timeline!O5,Headcount!$C$23*Headcount!$E$23/12*(1+burden)*(1+salary_infl)^MAX(0,2027-2027),0)</f>
        <v/>
      </c>
      <c r="P74" s="4">
        <f>IF(Headcount!$D$23&lt;=Timeline!P5,Headcount!$C$23*Headcount!$E$23/12*(1+burden)*(1+salary_infl)^MAX(0,2027-2027),0)</f>
        <v/>
      </c>
      <c r="Q74" s="4">
        <f>IF(Headcount!$D$23&lt;=Timeline!Q5,Headcount!$C$23*Headcount!$E$23/12*(1+burden)*(1+salary_infl)^MAX(0,2028-2027),0)</f>
        <v/>
      </c>
      <c r="R74" s="4">
        <f>IF(Headcount!$D$23&lt;=Timeline!R5,Headcount!$C$23*Headcount!$E$23/12*(1+burden)*(1+salary_infl)^MAX(0,2028-2027),0)</f>
        <v/>
      </c>
      <c r="S74" s="4">
        <f>IF(Headcount!$D$23&lt;=Timeline!S5,Headcount!$C$23*Headcount!$E$23/12*(1+burden)*(1+salary_infl)^MAX(0,2028-2027),0)</f>
        <v/>
      </c>
      <c r="T74" s="4">
        <f>IF(Headcount!$D$23&lt;=Timeline!T5,Headcount!$C$23*Headcount!$E$23/12*(1+burden)*(1+salary_infl)^MAX(0,2028-2027),0)</f>
        <v/>
      </c>
      <c r="U74" s="4">
        <f>IF(Headcount!$D$23&lt;=Timeline!U5,Headcount!$C$23*Headcount!$E$23/12*(1+burden)*(1+salary_infl)^MAX(0,2028-2027),0)</f>
        <v/>
      </c>
      <c r="V74" s="4">
        <f>IF(Headcount!$D$23&lt;=Timeline!V5,Headcount!$C$23*Headcount!$E$23/12*(1+burden)*(1+salary_infl)^MAX(0,2028-2027),0)</f>
        <v/>
      </c>
      <c r="W74" s="4">
        <f>IF(Headcount!$D$23&lt;=Timeline!W5,Headcount!$C$23*Headcount!$E$23/12*(1+burden)*(1+salary_infl)^MAX(0,2028-2027),0)</f>
        <v/>
      </c>
      <c r="X74" s="4">
        <f>IF(Headcount!$D$23&lt;=Timeline!X5,Headcount!$C$23*Headcount!$E$23/12*(1+burden)*(1+salary_infl)^MAX(0,2028-2027),0)</f>
        <v/>
      </c>
      <c r="Y74" s="4">
        <f>IF(Headcount!$D$23&lt;=Timeline!Y5,Headcount!$C$23*Headcount!$E$23/12*(1+burden)*(1+salary_infl)^MAX(0,2028-2027),0)</f>
        <v/>
      </c>
      <c r="Z74" s="4">
        <f>IF(Headcount!$D$23&lt;=Timeline!Z5,Headcount!$C$23*Headcount!$E$23/12*(1+burden)*(1+salary_infl)^MAX(0,2028-2027),0)</f>
        <v/>
      </c>
      <c r="AA74" s="4">
        <f>IF(Headcount!$D$23&lt;=Timeline!AA5,Headcount!$C$23*Headcount!$E$23/12*(1+burden)*(1+salary_infl)^MAX(0,2028-2027),0)</f>
        <v/>
      </c>
      <c r="AB74" s="4">
        <f>IF(Headcount!$D$23&lt;=Timeline!AB5,Headcount!$C$23*Headcount!$E$23/12*(1+burden)*(1+salary_infl)^MAX(0,2028-2027),0)</f>
        <v/>
      </c>
      <c r="AC74" s="4">
        <f>Headcount!$C$23*Headcount!$E$23*(1+burden)*(1+salary_infl)^MAX(0,2029-2027)*MAX(0,MIN(12,(2029-YEAR(Headcount!$D$23))*12+13-MONTH(Headcount!$D$23)))/12</f>
        <v/>
      </c>
      <c r="AD74" s="4">
        <f>Headcount!$C$23*Headcount!$E$23*(1+burden)*(1+salary_infl)^MAX(0,2030-2027)*MAX(0,MIN(12,(2030-YEAR(Headcount!$D$23))*12+13-MONTH(Headcount!$D$23)))/12</f>
        <v/>
      </c>
      <c r="AE74" s="4">
        <f>Headcount!$C$23*Headcount!$E$23*(1+burden)*(1+salary_infl)^MAX(0,2031-2027)*MAX(0,MIN(12,(2031-YEAR(Headcount!$D$23))*12+13-MONTH(Headcount!$D$23)))/12</f>
        <v/>
      </c>
      <c r="AG74" s="4">
        <f>SUMIF($C$3:$AE$3,AG$3,$C74:$AE74)</f>
        <v/>
      </c>
      <c r="AH74" s="4">
        <f>SUMIF($C$3:$AE$3,AH$3,$C74:$AE74)</f>
        <v/>
      </c>
      <c r="AI74" s="4">
        <f>SUMIF($C$3:$AE$3,AI$3,$C74:$AE74)</f>
        <v/>
      </c>
      <c r="AJ74" s="4">
        <f>SUMIF($C$3:$AE$3,AJ$3,$C74:$AE74)</f>
        <v/>
      </c>
      <c r="AK74" s="4">
        <f>SUMIF($C$3:$AE$3,AK$3,$C74:$AE74)</f>
        <v/>
      </c>
      <c r="AL74" s="4">
        <f>SUMIF($C$3:$AE$3,AL$3,$C74:$AE74)</f>
        <v/>
      </c>
    </row>
    <row r="75">
      <c r="A75">
        <f>Headcount!A24</f>
        <v/>
      </c>
      <c r="B75" s="2">
        <f>Headcount!B24</f>
        <v/>
      </c>
      <c r="C75" s="4">
        <f>IF(Headcount!$D$24&lt;=Timeline!C5,Headcount!$C$24*Headcount!$E$24/12*(1+burden)*(1+salary_infl)^MAX(0,2026-2027),0)</f>
        <v/>
      </c>
      <c r="D75" s="4">
        <f>IF(Headcount!$D$24&lt;=Timeline!D5,Headcount!$C$24*Headcount!$E$24/12*(1+burden)*(1+salary_infl)^MAX(0,2026-2027),0)</f>
        <v/>
      </c>
      <c r="E75" s="4">
        <f>IF(Headcount!$D$24&lt;=Timeline!E5,Headcount!$C$24*Headcount!$E$24/12*(1+burden)*(1+salary_infl)^MAX(0,2027-2027),0)</f>
        <v/>
      </c>
      <c r="F75" s="4">
        <f>IF(Headcount!$D$24&lt;=Timeline!F5,Headcount!$C$24*Headcount!$E$24/12*(1+burden)*(1+salary_infl)^MAX(0,2027-2027),0)</f>
        <v/>
      </c>
      <c r="G75" s="4">
        <f>IF(Headcount!$D$24&lt;=Timeline!G5,Headcount!$C$24*Headcount!$E$24/12*(1+burden)*(1+salary_infl)^MAX(0,2027-2027),0)</f>
        <v/>
      </c>
      <c r="H75" s="4">
        <f>IF(Headcount!$D$24&lt;=Timeline!H5,Headcount!$C$24*Headcount!$E$24/12*(1+burden)*(1+salary_infl)^MAX(0,2027-2027),0)</f>
        <v/>
      </c>
      <c r="I75" s="4">
        <f>IF(Headcount!$D$24&lt;=Timeline!I5,Headcount!$C$24*Headcount!$E$24/12*(1+burden)*(1+salary_infl)^MAX(0,2027-2027),0)</f>
        <v/>
      </c>
      <c r="J75" s="4">
        <f>IF(Headcount!$D$24&lt;=Timeline!J5,Headcount!$C$24*Headcount!$E$24/12*(1+burden)*(1+salary_infl)^MAX(0,2027-2027),0)</f>
        <v/>
      </c>
      <c r="K75" s="4">
        <f>IF(Headcount!$D$24&lt;=Timeline!K5,Headcount!$C$24*Headcount!$E$24/12*(1+burden)*(1+salary_infl)^MAX(0,2027-2027),0)</f>
        <v/>
      </c>
      <c r="L75" s="4">
        <f>IF(Headcount!$D$24&lt;=Timeline!L5,Headcount!$C$24*Headcount!$E$24/12*(1+burden)*(1+salary_infl)^MAX(0,2027-2027),0)</f>
        <v/>
      </c>
      <c r="M75" s="4">
        <f>IF(Headcount!$D$24&lt;=Timeline!M5,Headcount!$C$24*Headcount!$E$24/12*(1+burden)*(1+salary_infl)^MAX(0,2027-2027),0)</f>
        <v/>
      </c>
      <c r="N75" s="4">
        <f>IF(Headcount!$D$24&lt;=Timeline!N5,Headcount!$C$24*Headcount!$E$24/12*(1+burden)*(1+salary_infl)^MAX(0,2027-2027),0)</f>
        <v/>
      </c>
      <c r="O75" s="4">
        <f>IF(Headcount!$D$24&lt;=Timeline!O5,Headcount!$C$24*Headcount!$E$24/12*(1+burden)*(1+salary_infl)^MAX(0,2027-2027),0)</f>
        <v/>
      </c>
      <c r="P75" s="4">
        <f>IF(Headcount!$D$24&lt;=Timeline!P5,Headcount!$C$24*Headcount!$E$24/12*(1+burden)*(1+salary_infl)^MAX(0,2027-2027),0)</f>
        <v/>
      </c>
      <c r="Q75" s="4">
        <f>IF(Headcount!$D$24&lt;=Timeline!Q5,Headcount!$C$24*Headcount!$E$24/12*(1+burden)*(1+salary_infl)^MAX(0,2028-2027),0)</f>
        <v/>
      </c>
      <c r="R75" s="4">
        <f>IF(Headcount!$D$24&lt;=Timeline!R5,Headcount!$C$24*Headcount!$E$24/12*(1+burden)*(1+salary_infl)^MAX(0,2028-2027),0)</f>
        <v/>
      </c>
      <c r="S75" s="4">
        <f>IF(Headcount!$D$24&lt;=Timeline!S5,Headcount!$C$24*Headcount!$E$24/12*(1+burden)*(1+salary_infl)^MAX(0,2028-2027),0)</f>
        <v/>
      </c>
      <c r="T75" s="4">
        <f>IF(Headcount!$D$24&lt;=Timeline!T5,Headcount!$C$24*Headcount!$E$24/12*(1+burden)*(1+salary_infl)^MAX(0,2028-2027),0)</f>
        <v/>
      </c>
      <c r="U75" s="4">
        <f>IF(Headcount!$D$24&lt;=Timeline!U5,Headcount!$C$24*Headcount!$E$24/12*(1+burden)*(1+salary_infl)^MAX(0,2028-2027),0)</f>
        <v/>
      </c>
      <c r="V75" s="4">
        <f>IF(Headcount!$D$24&lt;=Timeline!V5,Headcount!$C$24*Headcount!$E$24/12*(1+burden)*(1+salary_infl)^MAX(0,2028-2027),0)</f>
        <v/>
      </c>
      <c r="W75" s="4">
        <f>IF(Headcount!$D$24&lt;=Timeline!W5,Headcount!$C$24*Headcount!$E$24/12*(1+burden)*(1+salary_infl)^MAX(0,2028-2027),0)</f>
        <v/>
      </c>
      <c r="X75" s="4">
        <f>IF(Headcount!$D$24&lt;=Timeline!X5,Headcount!$C$24*Headcount!$E$24/12*(1+burden)*(1+salary_infl)^MAX(0,2028-2027),0)</f>
        <v/>
      </c>
      <c r="Y75" s="4">
        <f>IF(Headcount!$D$24&lt;=Timeline!Y5,Headcount!$C$24*Headcount!$E$24/12*(1+burden)*(1+salary_infl)^MAX(0,2028-2027),0)</f>
        <v/>
      </c>
      <c r="Z75" s="4">
        <f>IF(Headcount!$D$24&lt;=Timeline!Z5,Headcount!$C$24*Headcount!$E$24/12*(1+burden)*(1+salary_infl)^MAX(0,2028-2027),0)</f>
        <v/>
      </c>
      <c r="AA75" s="4">
        <f>IF(Headcount!$D$24&lt;=Timeline!AA5,Headcount!$C$24*Headcount!$E$24/12*(1+burden)*(1+salary_infl)^MAX(0,2028-2027),0)</f>
        <v/>
      </c>
      <c r="AB75" s="4">
        <f>IF(Headcount!$D$24&lt;=Timeline!AB5,Headcount!$C$24*Headcount!$E$24/12*(1+burden)*(1+salary_infl)^MAX(0,2028-2027),0)</f>
        <v/>
      </c>
      <c r="AC75" s="4">
        <f>Headcount!$C$24*Headcount!$E$24*(1+burden)*(1+salary_infl)^MAX(0,2029-2027)*MAX(0,MIN(12,(2029-YEAR(Headcount!$D$24))*12+13-MONTH(Headcount!$D$24)))/12</f>
        <v/>
      </c>
      <c r="AD75" s="4">
        <f>Headcount!$C$24*Headcount!$E$24*(1+burden)*(1+salary_infl)^MAX(0,2030-2027)*MAX(0,MIN(12,(2030-YEAR(Headcount!$D$24))*12+13-MONTH(Headcount!$D$24)))/12</f>
        <v/>
      </c>
      <c r="AE75" s="4">
        <f>Headcount!$C$24*Headcount!$E$24*(1+burden)*(1+salary_infl)^MAX(0,2031-2027)*MAX(0,MIN(12,(2031-YEAR(Headcount!$D$24))*12+13-MONTH(Headcount!$D$24)))/12</f>
        <v/>
      </c>
      <c r="AG75" s="4">
        <f>SUMIF($C$3:$AE$3,AG$3,$C75:$AE75)</f>
        <v/>
      </c>
      <c r="AH75" s="4">
        <f>SUMIF($C$3:$AE$3,AH$3,$C75:$AE75)</f>
        <v/>
      </c>
      <c r="AI75" s="4">
        <f>SUMIF($C$3:$AE$3,AI$3,$C75:$AE75)</f>
        <v/>
      </c>
      <c r="AJ75" s="4">
        <f>SUMIF($C$3:$AE$3,AJ$3,$C75:$AE75)</f>
        <v/>
      </c>
      <c r="AK75" s="4">
        <f>SUMIF($C$3:$AE$3,AK$3,$C75:$AE75)</f>
        <v/>
      </c>
      <c r="AL75" s="4">
        <f>SUMIF($C$3:$AE$3,AL$3,$C75:$AE75)</f>
        <v/>
      </c>
    </row>
    <row r="76">
      <c r="A76">
        <f>Headcount!A25</f>
        <v/>
      </c>
      <c r="B76" s="2">
        <f>Headcount!B25</f>
        <v/>
      </c>
      <c r="C76" s="4">
        <f>IF(Headcount!$D$25&lt;=Timeline!C5,Headcount!$C$25*Headcount!$E$25/12*(1+burden)*(1+salary_infl)^MAX(0,2026-2027),0)</f>
        <v/>
      </c>
      <c r="D76" s="4">
        <f>IF(Headcount!$D$25&lt;=Timeline!D5,Headcount!$C$25*Headcount!$E$25/12*(1+burden)*(1+salary_infl)^MAX(0,2026-2027),0)</f>
        <v/>
      </c>
      <c r="E76" s="4">
        <f>IF(Headcount!$D$25&lt;=Timeline!E5,Headcount!$C$25*Headcount!$E$25/12*(1+burden)*(1+salary_infl)^MAX(0,2027-2027),0)</f>
        <v/>
      </c>
      <c r="F76" s="4">
        <f>IF(Headcount!$D$25&lt;=Timeline!F5,Headcount!$C$25*Headcount!$E$25/12*(1+burden)*(1+salary_infl)^MAX(0,2027-2027),0)</f>
        <v/>
      </c>
      <c r="G76" s="4">
        <f>IF(Headcount!$D$25&lt;=Timeline!G5,Headcount!$C$25*Headcount!$E$25/12*(1+burden)*(1+salary_infl)^MAX(0,2027-2027),0)</f>
        <v/>
      </c>
      <c r="H76" s="4">
        <f>IF(Headcount!$D$25&lt;=Timeline!H5,Headcount!$C$25*Headcount!$E$25/12*(1+burden)*(1+salary_infl)^MAX(0,2027-2027),0)</f>
        <v/>
      </c>
      <c r="I76" s="4">
        <f>IF(Headcount!$D$25&lt;=Timeline!I5,Headcount!$C$25*Headcount!$E$25/12*(1+burden)*(1+salary_infl)^MAX(0,2027-2027),0)</f>
        <v/>
      </c>
      <c r="J76" s="4">
        <f>IF(Headcount!$D$25&lt;=Timeline!J5,Headcount!$C$25*Headcount!$E$25/12*(1+burden)*(1+salary_infl)^MAX(0,2027-2027),0)</f>
        <v/>
      </c>
      <c r="K76" s="4">
        <f>IF(Headcount!$D$25&lt;=Timeline!K5,Headcount!$C$25*Headcount!$E$25/12*(1+burden)*(1+salary_infl)^MAX(0,2027-2027),0)</f>
        <v/>
      </c>
      <c r="L76" s="4">
        <f>IF(Headcount!$D$25&lt;=Timeline!L5,Headcount!$C$25*Headcount!$E$25/12*(1+burden)*(1+salary_infl)^MAX(0,2027-2027),0)</f>
        <v/>
      </c>
      <c r="M76" s="4">
        <f>IF(Headcount!$D$25&lt;=Timeline!M5,Headcount!$C$25*Headcount!$E$25/12*(1+burden)*(1+salary_infl)^MAX(0,2027-2027),0)</f>
        <v/>
      </c>
      <c r="N76" s="4">
        <f>IF(Headcount!$D$25&lt;=Timeline!N5,Headcount!$C$25*Headcount!$E$25/12*(1+burden)*(1+salary_infl)^MAX(0,2027-2027),0)</f>
        <v/>
      </c>
      <c r="O76" s="4">
        <f>IF(Headcount!$D$25&lt;=Timeline!O5,Headcount!$C$25*Headcount!$E$25/12*(1+burden)*(1+salary_infl)^MAX(0,2027-2027),0)</f>
        <v/>
      </c>
      <c r="P76" s="4">
        <f>IF(Headcount!$D$25&lt;=Timeline!P5,Headcount!$C$25*Headcount!$E$25/12*(1+burden)*(1+salary_infl)^MAX(0,2027-2027),0)</f>
        <v/>
      </c>
      <c r="Q76" s="4">
        <f>IF(Headcount!$D$25&lt;=Timeline!Q5,Headcount!$C$25*Headcount!$E$25/12*(1+burden)*(1+salary_infl)^MAX(0,2028-2027),0)</f>
        <v/>
      </c>
      <c r="R76" s="4">
        <f>IF(Headcount!$D$25&lt;=Timeline!R5,Headcount!$C$25*Headcount!$E$25/12*(1+burden)*(1+salary_infl)^MAX(0,2028-2027),0)</f>
        <v/>
      </c>
      <c r="S76" s="4">
        <f>IF(Headcount!$D$25&lt;=Timeline!S5,Headcount!$C$25*Headcount!$E$25/12*(1+burden)*(1+salary_infl)^MAX(0,2028-2027),0)</f>
        <v/>
      </c>
      <c r="T76" s="4">
        <f>IF(Headcount!$D$25&lt;=Timeline!T5,Headcount!$C$25*Headcount!$E$25/12*(1+burden)*(1+salary_infl)^MAX(0,2028-2027),0)</f>
        <v/>
      </c>
      <c r="U76" s="4">
        <f>IF(Headcount!$D$25&lt;=Timeline!U5,Headcount!$C$25*Headcount!$E$25/12*(1+burden)*(1+salary_infl)^MAX(0,2028-2027),0)</f>
        <v/>
      </c>
      <c r="V76" s="4">
        <f>IF(Headcount!$D$25&lt;=Timeline!V5,Headcount!$C$25*Headcount!$E$25/12*(1+burden)*(1+salary_infl)^MAX(0,2028-2027),0)</f>
        <v/>
      </c>
      <c r="W76" s="4">
        <f>IF(Headcount!$D$25&lt;=Timeline!W5,Headcount!$C$25*Headcount!$E$25/12*(1+burden)*(1+salary_infl)^MAX(0,2028-2027),0)</f>
        <v/>
      </c>
      <c r="X76" s="4">
        <f>IF(Headcount!$D$25&lt;=Timeline!X5,Headcount!$C$25*Headcount!$E$25/12*(1+burden)*(1+salary_infl)^MAX(0,2028-2027),0)</f>
        <v/>
      </c>
      <c r="Y76" s="4">
        <f>IF(Headcount!$D$25&lt;=Timeline!Y5,Headcount!$C$25*Headcount!$E$25/12*(1+burden)*(1+salary_infl)^MAX(0,2028-2027),0)</f>
        <v/>
      </c>
      <c r="Z76" s="4">
        <f>IF(Headcount!$D$25&lt;=Timeline!Z5,Headcount!$C$25*Headcount!$E$25/12*(1+burden)*(1+salary_infl)^MAX(0,2028-2027),0)</f>
        <v/>
      </c>
      <c r="AA76" s="4">
        <f>IF(Headcount!$D$25&lt;=Timeline!AA5,Headcount!$C$25*Headcount!$E$25/12*(1+burden)*(1+salary_infl)^MAX(0,2028-2027),0)</f>
        <v/>
      </c>
      <c r="AB76" s="4">
        <f>IF(Headcount!$D$25&lt;=Timeline!AB5,Headcount!$C$25*Headcount!$E$25/12*(1+burden)*(1+salary_infl)^MAX(0,2028-2027),0)</f>
        <v/>
      </c>
      <c r="AC76" s="4">
        <f>Headcount!$C$25*Headcount!$E$25*(1+burden)*(1+salary_infl)^MAX(0,2029-2027)*MAX(0,MIN(12,(2029-YEAR(Headcount!$D$25))*12+13-MONTH(Headcount!$D$25)))/12</f>
        <v/>
      </c>
      <c r="AD76" s="4">
        <f>Headcount!$C$25*Headcount!$E$25*(1+burden)*(1+salary_infl)^MAX(0,2030-2027)*MAX(0,MIN(12,(2030-YEAR(Headcount!$D$25))*12+13-MONTH(Headcount!$D$25)))/12</f>
        <v/>
      </c>
      <c r="AE76" s="4">
        <f>Headcount!$C$25*Headcount!$E$25*(1+burden)*(1+salary_infl)^MAX(0,2031-2027)*MAX(0,MIN(12,(2031-YEAR(Headcount!$D$25))*12+13-MONTH(Headcount!$D$25)))/12</f>
        <v/>
      </c>
      <c r="AG76" s="4">
        <f>SUMIF($C$3:$AE$3,AG$3,$C76:$AE76)</f>
        <v/>
      </c>
      <c r="AH76" s="4">
        <f>SUMIF($C$3:$AE$3,AH$3,$C76:$AE76)</f>
        <v/>
      </c>
      <c r="AI76" s="4">
        <f>SUMIF($C$3:$AE$3,AI$3,$C76:$AE76)</f>
        <v/>
      </c>
      <c r="AJ76" s="4">
        <f>SUMIF($C$3:$AE$3,AJ$3,$C76:$AE76)</f>
        <v/>
      </c>
      <c r="AK76" s="4">
        <f>SUMIF($C$3:$AE$3,AK$3,$C76:$AE76)</f>
        <v/>
      </c>
      <c r="AL76" s="4">
        <f>SUMIF($C$3:$AE$3,AL$3,$C76:$AE76)</f>
        <v/>
      </c>
    </row>
    <row r="77">
      <c r="A77">
        <f>Headcount!A26</f>
        <v/>
      </c>
      <c r="B77" s="2">
        <f>Headcount!B26</f>
        <v/>
      </c>
      <c r="C77" s="4">
        <f>IF(Headcount!$D$26&lt;=Timeline!C5,Headcount!$C$26*Headcount!$E$26/12*(1+burden)*(1+salary_infl)^MAX(0,2026-2027),0)</f>
        <v/>
      </c>
      <c r="D77" s="4">
        <f>IF(Headcount!$D$26&lt;=Timeline!D5,Headcount!$C$26*Headcount!$E$26/12*(1+burden)*(1+salary_infl)^MAX(0,2026-2027),0)</f>
        <v/>
      </c>
      <c r="E77" s="4">
        <f>IF(Headcount!$D$26&lt;=Timeline!E5,Headcount!$C$26*Headcount!$E$26/12*(1+burden)*(1+salary_infl)^MAX(0,2027-2027),0)</f>
        <v/>
      </c>
      <c r="F77" s="4">
        <f>IF(Headcount!$D$26&lt;=Timeline!F5,Headcount!$C$26*Headcount!$E$26/12*(1+burden)*(1+salary_infl)^MAX(0,2027-2027),0)</f>
        <v/>
      </c>
      <c r="G77" s="4">
        <f>IF(Headcount!$D$26&lt;=Timeline!G5,Headcount!$C$26*Headcount!$E$26/12*(1+burden)*(1+salary_infl)^MAX(0,2027-2027),0)</f>
        <v/>
      </c>
      <c r="H77" s="4">
        <f>IF(Headcount!$D$26&lt;=Timeline!H5,Headcount!$C$26*Headcount!$E$26/12*(1+burden)*(1+salary_infl)^MAX(0,2027-2027),0)</f>
        <v/>
      </c>
      <c r="I77" s="4">
        <f>IF(Headcount!$D$26&lt;=Timeline!I5,Headcount!$C$26*Headcount!$E$26/12*(1+burden)*(1+salary_infl)^MAX(0,2027-2027),0)</f>
        <v/>
      </c>
      <c r="J77" s="4">
        <f>IF(Headcount!$D$26&lt;=Timeline!J5,Headcount!$C$26*Headcount!$E$26/12*(1+burden)*(1+salary_infl)^MAX(0,2027-2027),0)</f>
        <v/>
      </c>
      <c r="K77" s="4">
        <f>IF(Headcount!$D$26&lt;=Timeline!K5,Headcount!$C$26*Headcount!$E$26/12*(1+burden)*(1+salary_infl)^MAX(0,2027-2027),0)</f>
        <v/>
      </c>
      <c r="L77" s="4">
        <f>IF(Headcount!$D$26&lt;=Timeline!L5,Headcount!$C$26*Headcount!$E$26/12*(1+burden)*(1+salary_infl)^MAX(0,2027-2027),0)</f>
        <v/>
      </c>
      <c r="M77" s="4">
        <f>IF(Headcount!$D$26&lt;=Timeline!M5,Headcount!$C$26*Headcount!$E$26/12*(1+burden)*(1+salary_infl)^MAX(0,2027-2027),0)</f>
        <v/>
      </c>
      <c r="N77" s="4">
        <f>IF(Headcount!$D$26&lt;=Timeline!N5,Headcount!$C$26*Headcount!$E$26/12*(1+burden)*(1+salary_infl)^MAX(0,2027-2027),0)</f>
        <v/>
      </c>
      <c r="O77" s="4">
        <f>IF(Headcount!$D$26&lt;=Timeline!O5,Headcount!$C$26*Headcount!$E$26/12*(1+burden)*(1+salary_infl)^MAX(0,2027-2027),0)</f>
        <v/>
      </c>
      <c r="P77" s="4">
        <f>IF(Headcount!$D$26&lt;=Timeline!P5,Headcount!$C$26*Headcount!$E$26/12*(1+burden)*(1+salary_infl)^MAX(0,2027-2027),0)</f>
        <v/>
      </c>
      <c r="Q77" s="4">
        <f>IF(Headcount!$D$26&lt;=Timeline!Q5,Headcount!$C$26*Headcount!$E$26/12*(1+burden)*(1+salary_infl)^MAX(0,2028-2027),0)</f>
        <v/>
      </c>
      <c r="R77" s="4">
        <f>IF(Headcount!$D$26&lt;=Timeline!R5,Headcount!$C$26*Headcount!$E$26/12*(1+burden)*(1+salary_infl)^MAX(0,2028-2027),0)</f>
        <v/>
      </c>
      <c r="S77" s="4">
        <f>IF(Headcount!$D$26&lt;=Timeline!S5,Headcount!$C$26*Headcount!$E$26/12*(1+burden)*(1+salary_infl)^MAX(0,2028-2027),0)</f>
        <v/>
      </c>
      <c r="T77" s="4">
        <f>IF(Headcount!$D$26&lt;=Timeline!T5,Headcount!$C$26*Headcount!$E$26/12*(1+burden)*(1+salary_infl)^MAX(0,2028-2027),0)</f>
        <v/>
      </c>
      <c r="U77" s="4">
        <f>IF(Headcount!$D$26&lt;=Timeline!U5,Headcount!$C$26*Headcount!$E$26/12*(1+burden)*(1+salary_infl)^MAX(0,2028-2027),0)</f>
        <v/>
      </c>
      <c r="V77" s="4">
        <f>IF(Headcount!$D$26&lt;=Timeline!V5,Headcount!$C$26*Headcount!$E$26/12*(1+burden)*(1+salary_infl)^MAX(0,2028-2027),0)</f>
        <v/>
      </c>
      <c r="W77" s="4">
        <f>IF(Headcount!$D$26&lt;=Timeline!W5,Headcount!$C$26*Headcount!$E$26/12*(1+burden)*(1+salary_infl)^MAX(0,2028-2027),0)</f>
        <v/>
      </c>
      <c r="X77" s="4">
        <f>IF(Headcount!$D$26&lt;=Timeline!X5,Headcount!$C$26*Headcount!$E$26/12*(1+burden)*(1+salary_infl)^MAX(0,2028-2027),0)</f>
        <v/>
      </c>
      <c r="Y77" s="4">
        <f>IF(Headcount!$D$26&lt;=Timeline!Y5,Headcount!$C$26*Headcount!$E$26/12*(1+burden)*(1+salary_infl)^MAX(0,2028-2027),0)</f>
        <v/>
      </c>
      <c r="Z77" s="4">
        <f>IF(Headcount!$D$26&lt;=Timeline!Z5,Headcount!$C$26*Headcount!$E$26/12*(1+burden)*(1+salary_infl)^MAX(0,2028-2027),0)</f>
        <v/>
      </c>
      <c r="AA77" s="4">
        <f>IF(Headcount!$D$26&lt;=Timeline!AA5,Headcount!$C$26*Headcount!$E$26/12*(1+burden)*(1+salary_infl)^MAX(0,2028-2027),0)</f>
        <v/>
      </c>
      <c r="AB77" s="4">
        <f>IF(Headcount!$D$26&lt;=Timeline!AB5,Headcount!$C$26*Headcount!$E$26/12*(1+burden)*(1+salary_infl)^MAX(0,2028-2027),0)</f>
        <v/>
      </c>
      <c r="AC77" s="4">
        <f>Headcount!$C$26*Headcount!$E$26*(1+burden)*(1+salary_infl)^MAX(0,2029-2027)*MAX(0,MIN(12,(2029-YEAR(Headcount!$D$26))*12+13-MONTH(Headcount!$D$26)))/12</f>
        <v/>
      </c>
      <c r="AD77" s="4">
        <f>Headcount!$C$26*Headcount!$E$26*(1+burden)*(1+salary_infl)^MAX(0,2030-2027)*MAX(0,MIN(12,(2030-YEAR(Headcount!$D$26))*12+13-MONTH(Headcount!$D$26)))/12</f>
        <v/>
      </c>
      <c r="AE77" s="4">
        <f>Headcount!$C$26*Headcount!$E$26*(1+burden)*(1+salary_infl)^MAX(0,2031-2027)*MAX(0,MIN(12,(2031-YEAR(Headcount!$D$26))*12+13-MONTH(Headcount!$D$26)))/12</f>
        <v/>
      </c>
      <c r="AG77" s="4">
        <f>SUMIF($C$3:$AE$3,AG$3,$C77:$AE77)</f>
        <v/>
      </c>
      <c r="AH77" s="4">
        <f>SUMIF($C$3:$AE$3,AH$3,$C77:$AE77)</f>
        <v/>
      </c>
      <c r="AI77" s="4">
        <f>SUMIF($C$3:$AE$3,AI$3,$C77:$AE77)</f>
        <v/>
      </c>
      <c r="AJ77" s="4">
        <f>SUMIF($C$3:$AE$3,AJ$3,$C77:$AE77)</f>
        <v/>
      </c>
      <c r="AK77" s="4">
        <f>SUMIF($C$3:$AE$3,AK$3,$C77:$AE77)</f>
        <v/>
      </c>
      <c r="AL77" s="4">
        <f>SUMIF($C$3:$AE$3,AL$3,$C77:$AE77)</f>
        <v/>
      </c>
    </row>
    <row r="78">
      <c r="A78">
        <f>Headcount!A27</f>
        <v/>
      </c>
      <c r="B78" s="2">
        <f>Headcount!B27</f>
        <v/>
      </c>
      <c r="C78" s="4">
        <f>IF(Headcount!$D$27&lt;=Timeline!C5,Headcount!$C$27*Headcount!$E$27/12*(1+burden)*(1+salary_infl)^MAX(0,2026-2027),0)</f>
        <v/>
      </c>
      <c r="D78" s="4">
        <f>IF(Headcount!$D$27&lt;=Timeline!D5,Headcount!$C$27*Headcount!$E$27/12*(1+burden)*(1+salary_infl)^MAX(0,2026-2027),0)</f>
        <v/>
      </c>
      <c r="E78" s="4">
        <f>IF(Headcount!$D$27&lt;=Timeline!E5,Headcount!$C$27*Headcount!$E$27/12*(1+burden)*(1+salary_infl)^MAX(0,2027-2027),0)</f>
        <v/>
      </c>
      <c r="F78" s="4">
        <f>IF(Headcount!$D$27&lt;=Timeline!F5,Headcount!$C$27*Headcount!$E$27/12*(1+burden)*(1+salary_infl)^MAX(0,2027-2027),0)</f>
        <v/>
      </c>
      <c r="G78" s="4">
        <f>IF(Headcount!$D$27&lt;=Timeline!G5,Headcount!$C$27*Headcount!$E$27/12*(1+burden)*(1+salary_infl)^MAX(0,2027-2027),0)</f>
        <v/>
      </c>
      <c r="H78" s="4">
        <f>IF(Headcount!$D$27&lt;=Timeline!H5,Headcount!$C$27*Headcount!$E$27/12*(1+burden)*(1+salary_infl)^MAX(0,2027-2027),0)</f>
        <v/>
      </c>
      <c r="I78" s="4">
        <f>IF(Headcount!$D$27&lt;=Timeline!I5,Headcount!$C$27*Headcount!$E$27/12*(1+burden)*(1+salary_infl)^MAX(0,2027-2027),0)</f>
        <v/>
      </c>
      <c r="J78" s="4">
        <f>IF(Headcount!$D$27&lt;=Timeline!J5,Headcount!$C$27*Headcount!$E$27/12*(1+burden)*(1+salary_infl)^MAX(0,2027-2027),0)</f>
        <v/>
      </c>
      <c r="K78" s="4">
        <f>IF(Headcount!$D$27&lt;=Timeline!K5,Headcount!$C$27*Headcount!$E$27/12*(1+burden)*(1+salary_infl)^MAX(0,2027-2027),0)</f>
        <v/>
      </c>
      <c r="L78" s="4">
        <f>IF(Headcount!$D$27&lt;=Timeline!L5,Headcount!$C$27*Headcount!$E$27/12*(1+burden)*(1+salary_infl)^MAX(0,2027-2027),0)</f>
        <v/>
      </c>
      <c r="M78" s="4">
        <f>IF(Headcount!$D$27&lt;=Timeline!M5,Headcount!$C$27*Headcount!$E$27/12*(1+burden)*(1+salary_infl)^MAX(0,2027-2027),0)</f>
        <v/>
      </c>
      <c r="N78" s="4">
        <f>IF(Headcount!$D$27&lt;=Timeline!N5,Headcount!$C$27*Headcount!$E$27/12*(1+burden)*(1+salary_infl)^MAX(0,2027-2027),0)</f>
        <v/>
      </c>
      <c r="O78" s="4">
        <f>IF(Headcount!$D$27&lt;=Timeline!O5,Headcount!$C$27*Headcount!$E$27/12*(1+burden)*(1+salary_infl)^MAX(0,2027-2027),0)</f>
        <v/>
      </c>
      <c r="P78" s="4">
        <f>IF(Headcount!$D$27&lt;=Timeline!P5,Headcount!$C$27*Headcount!$E$27/12*(1+burden)*(1+salary_infl)^MAX(0,2027-2027),0)</f>
        <v/>
      </c>
      <c r="Q78" s="4">
        <f>IF(Headcount!$D$27&lt;=Timeline!Q5,Headcount!$C$27*Headcount!$E$27/12*(1+burden)*(1+salary_infl)^MAX(0,2028-2027),0)</f>
        <v/>
      </c>
      <c r="R78" s="4">
        <f>IF(Headcount!$D$27&lt;=Timeline!R5,Headcount!$C$27*Headcount!$E$27/12*(1+burden)*(1+salary_infl)^MAX(0,2028-2027),0)</f>
        <v/>
      </c>
      <c r="S78" s="4">
        <f>IF(Headcount!$D$27&lt;=Timeline!S5,Headcount!$C$27*Headcount!$E$27/12*(1+burden)*(1+salary_infl)^MAX(0,2028-2027),0)</f>
        <v/>
      </c>
      <c r="T78" s="4">
        <f>IF(Headcount!$D$27&lt;=Timeline!T5,Headcount!$C$27*Headcount!$E$27/12*(1+burden)*(1+salary_infl)^MAX(0,2028-2027),0)</f>
        <v/>
      </c>
      <c r="U78" s="4">
        <f>IF(Headcount!$D$27&lt;=Timeline!U5,Headcount!$C$27*Headcount!$E$27/12*(1+burden)*(1+salary_infl)^MAX(0,2028-2027),0)</f>
        <v/>
      </c>
      <c r="V78" s="4">
        <f>IF(Headcount!$D$27&lt;=Timeline!V5,Headcount!$C$27*Headcount!$E$27/12*(1+burden)*(1+salary_infl)^MAX(0,2028-2027),0)</f>
        <v/>
      </c>
      <c r="W78" s="4">
        <f>IF(Headcount!$D$27&lt;=Timeline!W5,Headcount!$C$27*Headcount!$E$27/12*(1+burden)*(1+salary_infl)^MAX(0,2028-2027),0)</f>
        <v/>
      </c>
      <c r="X78" s="4">
        <f>IF(Headcount!$D$27&lt;=Timeline!X5,Headcount!$C$27*Headcount!$E$27/12*(1+burden)*(1+salary_infl)^MAX(0,2028-2027),0)</f>
        <v/>
      </c>
      <c r="Y78" s="4">
        <f>IF(Headcount!$D$27&lt;=Timeline!Y5,Headcount!$C$27*Headcount!$E$27/12*(1+burden)*(1+salary_infl)^MAX(0,2028-2027),0)</f>
        <v/>
      </c>
      <c r="Z78" s="4">
        <f>IF(Headcount!$D$27&lt;=Timeline!Z5,Headcount!$C$27*Headcount!$E$27/12*(1+burden)*(1+salary_infl)^MAX(0,2028-2027),0)</f>
        <v/>
      </c>
      <c r="AA78" s="4">
        <f>IF(Headcount!$D$27&lt;=Timeline!AA5,Headcount!$C$27*Headcount!$E$27/12*(1+burden)*(1+salary_infl)^MAX(0,2028-2027),0)</f>
        <v/>
      </c>
      <c r="AB78" s="4">
        <f>IF(Headcount!$D$27&lt;=Timeline!AB5,Headcount!$C$27*Headcount!$E$27/12*(1+burden)*(1+salary_infl)^MAX(0,2028-2027),0)</f>
        <v/>
      </c>
      <c r="AC78" s="4">
        <f>Headcount!$C$27*Headcount!$E$27*(1+burden)*(1+salary_infl)^MAX(0,2029-2027)*MAX(0,MIN(12,(2029-YEAR(Headcount!$D$27))*12+13-MONTH(Headcount!$D$27)))/12</f>
        <v/>
      </c>
      <c r="AD78" s="4">
        <f>Headcount!$C$27*Headcount!$E$27*(1+burden)*(1+salary_infl)^MAX(0,2030-2027)*MAX(0,MIN(12,(2030-YEAR(Headcount!$D$27))*12+13-MONTH(Headcount!$D$27)))/12</f>
        <v/>
      </c>
      <c r="AE78" s="4">
        <f>Headcount!$C$27*Headcount!$E$27*(1+burden)*(1+salary_infl)^MAX(0,2031-2027)*MAX(0,MIN(12,(2031-YEAR(Headcount!$D$27))*12+13-MONTH(Headcount!$D$27)))/12</f>
        <v/>
      </c>
      <c r="AG78" s="4">
        <f>SUMIF($C$3:$AE$3,AG$3,$C78:$AE78)</f>
        <v/>
      </c>
      <c r="AH78" s="4">
        <f>SUMIF($C$3:$AE$3,AH$3,$C78:$AE78)</f>
        <v/>
      </c>
      <c r="AI78" s="4">
        <f>SUMIF($C$3:$AE$3,AI$3,$C78:$AE78)</f>
        <v/>
      </c>
      <c r="AJ78" s="4">
        <f>SUMIF($C$3:$AE$3,AJ$3,$C78:$AE78)</f>
        <v/>
      </c>
      <c r="AK78" s="4">
        <f>SUMIF($C$3:$AE$3,AK$3,$C78:$AE78)</f>
        <v/>
      </c>
      <c r="AL78" s="4">
        <f>SUMIF($C$3:$AE$3,AL$3,$C78:$AE78)</f>
        <v/>
      </c>
    </row>
    <row r="79">
      <c r="A79">
        <f>Headcount!A28</f>
        <v/>
      </c>
      <c r="B79" s="2">
        <f>Headcount!B28</f>
        <v/>
      </c>
      <c r="C79" s="4">
        <f>IF(Headcount!$D$28&lt;=Timeline!C5,Headcount!$C$28*Headcount!$E$28/12*(1+burden)*(1+salary_infl)^MAX(0,2026-2027),0)</f>
        <v/>
      </c>
      <c r="D79" s="4">
        <f>IF(Headcount!$D$28&lt;=Timeline!D5,Headcount!$C$28*Headcount!$E$28/12*(1+burden)*(1+salary_infl)^MAX(0,2026-2027),0)</f>
        <v/>
      </c>
      <c r="E79" s="4">
        <f>IF(Headcount!$D$28&lt;=Timeline!E5,Headcount!$C$28*Headcount!$E$28/12*(1+burden)*(1+salary_infl)^MAX(0,2027-2027),0)</f>
        <v/>
      </c>
      <c r="F79" s="4">
        <f>IF(Headcount!$D$28&lt;=Timeline!F5,Headcount!$C$28*Headcount!$E$28/12*(1+burden)*(1+salary_infl)^MAX(0,2027-2027),0)</f>
        <v/>
      </c>
      <c r="G79" s="4">
        <f>IF(Headcount!$D$28&lt;=Timeline!G5,Headcount!$C$28*Headcount!$E$28/12*(1+burden)*(1+salary_infl)^MAX(0,2027-2027),0)</f>
        <v/>
      </c>
      <c r="H79" s="4">
        <f>IF(Headcount!$D$28&lt;=Timeline!H5,Headcount!$C$28*Headcount!$E$28/12*(1+burden)*(1+salary_infl)^MAX(0,2027-2027),0)</f>
        <v/>
      </c>
      <c r="I79" s="4">
        <f>IF(Headcount!$D$28&lt;=Timeline!I5,Headcount!$C$28*Headcount!$E$28/12*(1+burden)*(1+salary_infl)^MAX(0,2027-2027),0)</f>
        <v/>
      </c>
      <c r="J79" s="4">
        <f>IF(Headcount!$D$28&lt;=Timeline!J5,Headcount!$C$28*Headcount!$E$28/12*(1+burden)*(1+salary_infl)^MAX(0,2027-2027),0)</f>
        <v/>
      </c>
      <c r="K79" s="4">
        <f>IF(Headcount!$D$28&lt;=Timeline!K5,Headcount!$C$28*Headcount!$E$28/12*(1+burden)*(1+salary_infl)^MAX(0,2027-2027),0)</f>
        <v/>
      </c>
      <c r="L79" s="4">
        <f>IF(Headcount!$D$28&lt;=Timeline!L5,Headcount!$C$28*Headcount!$E$28/12*(1+burden)*(1+salary_infl)^MAX(0,2027-2027),0)</f>
        <v/>
      </c>
      <c r="M79" s="4">
        <f>IF(Headcount!$D$28&lt;=Timeline!M5,Headcount!$C$28*Headcount!$E$28/12*(1+burden)*(1+salary_infl)^MAX(0,2027-2027),0)</f>
        <v/>
      </c>
      <c r="N79" s="4">
        <f>IF(Headcount!$D$28&lt;=Timeline!N5,Headcount!$C$28*Headcount!$E$28/12*(1+burden)*(1+salary_infl)^MAX(0,2027-2027),0)</f>
        <v/>
      </c>
      <c r="O79" s="4">
        <f>IF(Headcount!$D$28&lt;=Timeline!O5,Headcount!$C$28*Headcount!$E$28/12*(1+burden)*(1+salary_infl)^MAX(0,2027-2027),0)</f>
        <v/>
      </c>
      <c r="P79" s="4">
        <f>IF(Headcount!$D$28&lt;=Timeline!P5,Headcount!$C$28*Headcount!$E$28/12*(1+burden)*(1+salary_infl)^MAX(0,2027-2027),0)</f>
        <v/>
      </c>
      <c r="Q79" s="4">
        <f>IF(Headcount!$D$28&lt;=Timeline!Q5,Headcount!$C$28*Headcount!$E$28/12*(1+burden)*(1+salary_infl)^MAX(0,2028-2027),0)</f>
        <v/>
      </c>
      <c r="R79" s="4">
        <f>IF(Headcount!$D$28&lt;=Timeline!R5,Headcount!$C$28*Headcount!$E$28/12*(1+burden)*(1+salary_infl)^MAX(0,2028-2027),0)</f>
        <v/>
      </c>
      <c r="S79" s="4">
        <f>IF(Headcount!$D$28&lt;=Timeline!S5,Headcount!$C$28*Headcount!$E$28/12*(1+burden)*(1+salary_infl)^MAX(0,2028-2027),0)</f>
        <v/>
      </c>
      <c r="T79" s="4">
        <f>IF(Headcount!$D$28&lt;=Timeline!T5,Headcount!$C$28*Headcount!$E$28/12*(1+burden)*(1+salary_infl)^MAX(0,2028-2027),0)</f>
        <v/>
      </c>
      <c r="U79" s="4">
        <f>IF(Headcount!$D$28&lt;=Timeline!U5,Headcount!$C$28*Headcount!$E$28/12*(1+burden)*(1+salary_infl)^MAX(0,2028-2027),0)</f>
        <v/>
      </c>
      <c r="V79" s="4">
        <f>IF(Headcount!$D$28&lt;=Timeline!V5,Headcount!$C$28*Headcount!$E$28/12*(1+burden)*(1+salary_infl)^MAX(0,2028-2027),0)</f>
        <v/>
      </c>
      <c r="W79" s="4">
        <f>IF(Headcount!$D$28&lt;=Timeline!W5,Headcount!$C$28*Headcount!$E$28/12*(1+burden)*(1+salary_infl)^MAX(0,2028-2027),0)</f>
        <v/>
      </c>
      <c r="X79" s="4">
        <f>IF(Headcount!$D$28&lt;=Timeline!X5,Headcount!$C$28*Headcount!$E$28/12*(1+burden)*(1+salary_infl)^MAX(0,2028-2027),0)</f>
        <v/>
      </c>
      <c r="Y79" s="4">
        <f>IF(Headcount!$D$28&lt;=Timeline!Y5,Headcount!$C$28*Headcount!$E$28/12*(1+burden)*(1+salary_infl)^MAX(0,2028-2027),0)</f>
        <v/>
      </c>
      <c r="Z79" s="4">
        <f>IF(Headcount!$D$28&lt;=Timeline!Z5,Headcount!$C$28*Headcount!$E$28/12*(1+burden)*(1+salary_infl)^MAX(0,2028-2027),0)</f>
        <v/>
      </c>
      <c r="AA79" s="4">
        <f>IF(Headcount!$D$28&lt;=Timeline!AA5,Headcount!$C$28*Headcount!$E$28/12*(1+burden)*(1+salary_infl)^MAX(0,2028-2027),0)</f>
        <v/>
      </c>
      <c r="AB79" s="4">
        <f>IF(Headcount!$D$28&lt;=Timeline!AB5,Headcount!$C$28*Headcount!$E$28/12*(1+burden)*(1+salary_infl)^MAX(0,2028-2027),0)</f>
        <v/>
      </c>
      <c r="AC79" s="4">
        <f>Headcount!$C$28*Headcount!$E$28*(1+burden)*(1+salary_infl)^MAX(0,2029-2027)*MAX(0,MIN(12,(2029-YEAR(Headcount!$D$28))*12+13-MONTH(Headcount!$D$28)))/12</f>
        <v/>
      </c>
      <c r="AD79" s="4">
        <f>Headcount!$C$28*Headcount!$E$28*(1+burden)*(1+salary_infl)^MAX(0,2030-2027)*MAX(0,MIN(12,(2030-YEAR(Headcount!$D$28))*12+13-MONTH(Headcount!$D$28)))/12</f>
        <v/>
      </c>
      <c r="AE79" s="4">
        <f>Headcount!$C$28*Headcount!$E$28*(1+burden)*(1+salary_infl)^MAX(0,2031-2027)*MAX(0,MIN(12,(2031-YEAR(Headcount!$D$28))*12+13-MONTH(Headcount!$D$28)))/12</f>
        <v/>
      </c>
      <c r="AG79" s="4">
        <f>SUMIF($C$3:$AE$3,AG$3,$C79:$AE79)</f>
        <v/>
      </c>
      <c r="AH79" s="4">
        <f>SUMIF($C$3:$AE$3,AH$3,$C79:$AE79)</f>
        <v/>
      </c>
      <c r="AI79" s="4">
        <f>SUMIF($C$3:$AE$3,AI$3,$C79:$AE79)</f>
        <v/>
      </c>
      <c r="AJ79" s="4">
        <f>SUMIF($C$3:$AE$3,AJ$3,$C79:$AE79)</f>
        <v/>
      </c>
      <c r="AK79" s="4">
        <f>SUMIF($C$3:$AE$3,AK$3,$C79:$AE79)</f>
        <v/>
      </c>
      <c r="AL79" s="4">
        <f>SUMIF($C$3:$AE$3,AL$3,$C79:$AE79)</f>
        <v/>
      </c>
    </row>
    <row r="80">
      <c r="A80">
        <f>Headcount!A29</f>
        <v/>
      </c>
      <c r="B80" s="2">
        <f>Headcount!B29</f>
        <v/>
      </c>
      <c r="C80" s="4">
        <f>IF(Headcount!$D$29&lt;=Timeline!C5,Headcount!$C$29*Headcount!$E$29/12*(1+burden)*(1+salary_infl)^MAX(0,2026-2027),0)</f>
        <v/>
      </c>
      <c r="D80" s="4">
        <f>IF(Headcount!$D$29&lt;=Timeline!D5,Headcount!$C$29*Headcount!$E$29/12*(1+burden)*(1+salary_infl)^MAX(0,2026-2027),0)</f>
        <v/>
      </c>
      <c r="E80" s="4">
        <f>IF(Headcount!$D$29&lt;=Timeline!E5,Headcount!$C$29*Headcount!$E$29/12*(1+burden)*(1+salary_infl)^MAX(0,2027-2027),0)</f>
        <v/>
      </c>
      <c r="F80" s="4">
        <f>IF(Headcount!$D$29&lt;=Timeline!F5,Headcount!$C$29*Headcount!$E$29/12*(1+burden)*(1+salary_infl)^MAX(0,2027-2027),0)</f>
        <v/>
      </c>
      <c r="G80" s="4">
        <f>IF(Headcount!$D$29&lt;=Timeline!G5,Headcount!$C$29*Headcount!$E$29/12*(1+burden)*(1+salary_infl)^MAX(0,2027-2027),0)</f>
        <v/>
      </c>
      <c r="H80" s="4">
        <f>IF(Headcount!$D$29&lt;=Timeline!H5,Headcount!$C$29*Headcount!$E$29/12*(1+burden)*(1+salary_infl)^MAX(0,2027-2027),0)</f>
        <v/>
      </c>
      <c r="I80" s="4">
        <f>IF(Headcount!$D$29&lt;=Timeline!I5,Headcount!$C$29*Headcount!$E$29/12*(1+burden)*(1+salary_infl)^MAX(0,2027-2027),0)</f>
        <v/>
      </c>
      <c r="J80" s="4">
        <f>IF(Headcount!$D$29&lt;=Timeline!J5,Headcount!$C$29*Headcount!$E$29/12*(1+burden)*(1+salary_infl)^MAX(0,2027-2027),0)</f>
        <v/>
      </c>
      <c r="K80" s="4">
        <f>IF(Headcount!$D$29&lt;=Timeline!K5,Headcount!$C$29*Headcount!$E$29/12*(1+burden)*(1+salary_infl)^MAX(0,2027-2027),0)</f>
        <v/>
      </c>
      <c r="L80" s="4">
        <f>IF(Headcount!$D$29&lt;=Timeline!L5,Headcount!$C$29*Headcount!$E$29/12*(1+burden)*(1+salary_infl)^MAX(0,2027-2027),0)</f>
        <v/>
      </c>
      <c r="M80" s="4">
        <f>IF(Headcount!$D$29&lt;=Timeline!M5,Headcount!$C$29*Headcount!$E$29/12*(1+burden)*(1+salary_infl)^MAX(0,2027-2027),0)</f>
        <v/>
      </c>
      <c r="N80" s="4">
        <f>IF(Headcount!$D$29&lt;=Timeline!N5,Headcount!$C$29*Headcount!$E$29/12*(1+burden)*(1+salary_infl)^MAX(0,2027-2027),0)</f>
        <v/>
      </c>
      <c r="O80" s="4">
        <f>IF(Headcount!$D$29&lt;=Timeline!O5,Headcount!$C$29*Headcount!$E$29/12*(1+burden)*(1+salary_infl)^MAX(0,2027-2027),0)</f>
        <v/>
      </c>
      <c r="P80" s="4">
        <f>IF(Headcount!$D$29&lt;=Timeline!P5,Headcount!$C$29*Headcount!$E$29/12*(1+burden)*(1+salary_infl)^MAX(0,2027-2027),0)</f>
        <v/>
      </c>
      <c r="Q80" s="4">
        <f>IF(Headcount!$D$29&lt;=Timeline!Q5,Headcount!$C$29*Headcount!$E$29/12*(1+burden)*(1+salary_infl)^MAX(0,2028-2027),0)</f>
        <v/>
      </c>
      <c r="R80" s="4">
        <f>IF(Headcount!$D$29&lt;=Timeline!R5,Headcount!$C$29*Headcount!$E$29/12*(1+burden)*(1+salary_infl)^MAX(0,2028-2027),0)</f>
        <v/>
      </c>
      <c r="S80" s="4">
        <f>IF(Headcount!$D$29&lt;=Timeline!S5,Headcount!$C$29*Headcount!$E$29/12*(1+burden)*(1+salary_infl)^MAX(0,2028-2027),0)</f>
        <v/>
      </c>
      <c r="T80" s="4">
        <f>IF(Headcount!$D$29&lt;=Timeline!T5,Headcount!$C$29*Headcount!$E$29/12*(1+burden)*(1+salary_infl)^MAX(0,2028-2027),0)</f>
        <v/>
      </c>
      <c r="U80" s="4">
        <f>IF(Headcount!$D$29&lt;=Timeline!U5,Headcount!$C$29*Headcount!$E$29/12*(1+burden)*(1+salary_infl)^MAX(0,2028-2027),0)</f>
        <v/>
      </c>
      <c r="V80" s="4">
        <f>IF(Headcount!$D$29&lt;=Timeline!V5,Headcount!$C$29*Headcount!$E$29/12*(1+burden)*(1+salary_infl)^MAX(0,2028-2027),0)</f>
        <v/>
      </c>
      <c r="W80" s="4">
        <f>IF(Headcount!$D$29&lt;=Timeline!W5,Headcount!$C$29*Headcount!$E$29/12*(1+burden)*(1+salary_infl)^MAX(0,2028-2027),0)</f>
        <v/>
      </c>
      <c r="X80" s="4">
        <f>IF(Headcount!$D$29&lt;=Timeline!X5,Headcount!$C$29*Headcount!$E$29/12*(1+burden)*(1+salary_infl)^MAX(0,2028-2027),0)</f>
        <v/>
      </c>
      <c r="Y80" s="4">
        <f>IF(Headcount!$D$29&lt;=Timeline!Y5,Headcount!$C$29*Headcount!$E$29/12*(1+burden)*(1+salary_infl)^MAX(0,2028-2027),0)</f>
        <v/>
      </c>
      <c r="Z80" s="4">
        <f>IF(Headcount!$D$29&lt;=Timeline!Z5,Headcount!$C$29*Headcount!$E$29/12*(1+burden)*(1+salary_infl)^MAX(0,2028-2027),0)</f>
        <v/>
      </c>
      <c r="AA80" s="4">
        <f>IF(Headcount!$D$29&lt;=Timeline!AA5,Headcount!$C$29*Headcount!$E$29/12*(1+burden)*(1+salary_infl)^MAX(0,2028-2027),0)</f>
        <v/>
      </c>
      <c r="AB80" s="4">
        <f>IF(Headcount!$D$29&lt;=Timeline!AB5,Headcount!$C$29*Headcount!$E$29/12*(1+burden)*(1+salary_infl)^MAX(0,2028-2027),0)</f>
        <v/>
      </c>
      <c r="AC80" s="4">
        <f>Headcount!$C$29*Headcount!$E$29*(1+burden)*(1+salary_infl)^MAX(0,2029-2027)*MAX(0,MIN(12,(2029-YEAR(Headcount!$D$29))*12+13-MONTH(Headcount!$D$29)))/12</f>
        <v/>
      </c>
      <c r="AD80" s="4">
        <f>Headcount!$C$29*Headcount!$E$29*(1+burden)*(1+salary_infl)^MAX(0,2030-2027)*MAX(0,MIN(12,(2030-YEAR(Headcount!$D$29))*12+13-MONTH(Headcount!$D$29)))/12</f>
        <v/>
      </c>
      <c r="AE80" s="4">
        <f>Headcount!$C$29*Headcount!$E$29*(1+burden)*(1+salary_infl)^MAX(0,2031-2027)*MAX(0,MIN(12,(2031-YEAR(Headcount!$D$29))*12+13-MONTH(Headcount!$D$29)))/12</f>
        <v/>
      </c>
      <c r="AG80" s="4">
        <f>SUMIF($C$3:$AE$3,AG$3,$C80:$AE80)</f>
        <v/>
      </c>
      <c r="AH80" s="4">
        <f>SUMIF($C$3:$AE$3,AH$3,$C80:$AE80)</f>
        <v/>
      </c>
      <c r="AI80" s="4">
        <f>SUMIF($C$3:$AE$3,AI$3,$C80:$AE80)</f>
        <v/>
      </c>
      <c r="AJ80" s="4">
        <f>SUMIF($C$3:$AE$3,AJ$3,$C80:$AE80)</f>
        <v/>
      </c>
      <c r="AK80" s="4">
        <f>SUMIF($C$3:$AE$3,AK$3,$C80:$AE80)</f>
        <v/>
      </c>
      <c r="AL80" s="4">
        <f>SUMIF($C$3:$AE$3,AL$3,$C80:$AE80)</f>
        <v/>
      </c>
    </row>
    <row r="81">
      <c r="A81">
        <f>Headcount!A30</f>
        <v/>
      </c>
      <c r="B81" s="2">
        <f>Headcount!B30</f>
        <v/>
      </c>
      <c r="C81" s="4">
        <f>IF(Headcount!$D$30&lt;=Timeline!C5,Headcount!$C$30*Headcount!$E$30/12*(1+burden)*(1+salary_infl)^MAX(0,2026-2027),0)</f>
        <v/>
      </c>
      <c r="D81" s="4">
        <f>IF(Headcount!$D$30&lt;=Timeline!D5,Headcount!$C$30*Headcount!$E$30/12*(1+burden)*(1+salary_infl)^MAX(0,2026-2027),0)</f>
        <v/>
      </c>
      <c r="E81" s="4">
        <f>IF(Headcount!$D$30&lt;=Timeline!E5,Headcount!$C$30*Headcount!$E$30/12*(1+burden)*(1+salary_infl)^MAX(0,2027-2027),0)</f>
        <v/>
      </c>
      <c r="F81" s="4">
        <f>IF(Headcount!$D$30&lt;=Timeline!F5,Headcount!$C$30*Headcount!$E$30/12*(1+burden)*(1+salary_infl)^MAX(0,2027-2027),0)</f>
        <v/>
      </c>
      <c r="G81" s="4">
        <f>IF(Headcount!$D$30&lt;=Timeline!G5,Headcount!$C$30*Headcount!$E$30/12*(1+burden)*(1+salary_infl)^MAX(0,2027-2027),0)</f>
        <v/>
      </c>
      <c r="H81" s="4">
        <f>IF(Headcount!$D$30&lt;=Timeline!H5,Headcount!$C$30*Headcount!$E$30/12*(1+burden)*(1+salary_infl)^MAX(0,2027-2027),0)</f>
        <v/>
      </c>
      <c r="I81" s="4">
        <f>IF(Headcount!$D$30&lt;=Timeline!I5,Headcount!$C$30*Headcount!$E$30/12*(1+burden)*(1+salary_infl)^MAX(0,2027-2027),0)</f>
        <v/>
      </c>
      <c r="J81" s="4">
        <f>IF(Headcount!$D$30&lt;=Timeline!J5,Headcount!$C$30*Headcount!$E$30/12*(1+burden)*(1+salary_infl)^MAX(0,2027-2027),0)</f>
        <v/>
      </c>
      <c r="K81" s="4">
        <f>IF(Headcount!$D$30&lt;=Timeline!K5,Headcount!$C$30*Headcount!$E$30/12*(1+burden)*(1+salary_infl)^MAX(0,2027-2027),0)</f>
        <v/>
      </c>
      <c r="L81" s="4">
        <f>IF(Headcount!$D$30&lt;=Timeline!L5,Headcount!$C$30*Headcount!$E$30/12*(1+burden)*(1+salary_infl)^MAX(0,2027-2027),0)</f>
        <v/>
      </c>
      <c r="M81" s="4">
        <f>IF(Headcount!$D$30&lt;=Timeline!M5,Headcount!$C$30*Headcount!$E$30/12*(1+burden)*(1+salary_infl)^MAX(0,2027-2027),0)</f>
        <v/>
      </c>
      <c r="N81" s="4">
        <f>IF(Headcount!$D$30&lt;=Timeline!N5,Headcount!$C$30*Headcount!$E$30/12*(1+burden)*(1+salary_infl)^MAX(0,2027-2027),0)</f>
        <v/>
      </c>
      <c r="O81" s="4">
        <f>IF(Headcount!$D$30&lt;=Timeline!O5,Headcount!$C$30*Headcount!$E$30/12*(1+burden)*(1+salary_infl)^MAX(0,2027-2027),0)</f>
        <v/>
      </c>
      <c r="P81" s="4">
        <f>IF(Headcount!$D$30&lt;=Timeline!P5,Headcount!$C$30*Headcount!$E$30/12*(1+burden)*(1+salary_infl)^MAX(0,2027-2027),0)</f>
        <v/>
      </c>
      <c r="Q81" s="4">
        <f>IF(Headcount!$D$30&lt;=Timeline!Q5,Headcount!$C$30*Headcount!$E$30/12*(1+burden)*(1+salary_infl)^MAX(0,2028-2027),0)</f>
        <v/>
      </c>
      <c r="R81" s="4">
        <f>IF(Headcount!$D$30&lt;=Timeline!R5,Headcount!$C$30*Headcount!$E$30/12*(1+burden)*(1+salary_infl)^MAX(0,2028-2027),0)</f>
        <v/>
      </c>
      <c r="S81" s="4">
        <f>IF(Headcount!$D$30&lt;=Timeline!S5,Headcount!$C$30*Headcount!$E$30/12*(1+burden)*(1+salary_infl)^MAX(0,2028-2027),0)</f>
        <v/>
      </c>
      <c r="T81" s="4">
        <f>IF(Headcount!$D$30&lt;=Timeline!T5,Headcount!$C$30*Headcount!$E$30/12*(1+burden)*(1+salary_infl)^MAX(0,2028-2027),0)</f>
        <v/>
      </c>
      <c r="U81" s="4">
        <f>IF(Headcount!$D$30&lt;=Timeline!U5,Headcount!$C$30*Headcount!$E$30/12*(1+burden)*(1+salary_infl)^MAX(0,2028-2027),0)</f>
        <v/>
      </c>
      <c r="V81" s="4">
        <f>IF(Headcount!$D$30&lt;=Timeline!V5,Headcount!$C$30*Headcount!$E$30/12*(1+burden)*(1+salary_infl)^MAX(0,2028-2027),0)</f>
        <v/>
      </c>
      <c r="W81" s="4">
        <f>IF(Headcount!$D$30&lt;=Timeline!W5,Headcount!$C$30*Headcount!$E$30/12*(1+burden)*(1+salary_infl)^MAX(0,2028-2027),0)</f>
        <v/>
      </c>
      <c r="X81" s="4">
        <f>IF(Headcount!$D$30&lt;=Timeline!X5,Headcount!$C$30*Headcount!$E$30/12*(1+burden)*(1+salary_infl)^MAX(0,2028-2027),0)</f>
        <v/>
      </c>
      <c r="Y81" s="4">
        <f>IF(Headcount!$D$30&lt;=Timeline!Y5,Headcount!$C$30*Headcount!$E$30/12*(1+burden)*(1+salary_infl)^MAX(0,2028-2027),0)</f>
        <v/>
      </c>
      <c r="Z81" s="4">
        <f>IF(Headcount!$D$30&lt;=Timeline!Z5,Headcount!$C$30*Headcount!$E$30/12*(1+burden)*(1+salary_infl)^MAX(0,2028-2027),0)</f>
        <v/>
      </c>
      <c r="AA81" s="4">
        <f>IF(Headcount!$D$30&lt;=Timeline!AA5,Headcount!$C$30*Headcount!$E$30/12*(1+burden)*(1+salary_infl)^MAX(0,2028-2027),0)</f>
        <v/>
      </c>
      <c r="AB81" s="4">
        <f>IF(Headcount!$D$30&lt;=Timeline!AB5,Headcount!$C$30*Headcount!$E$30/12*(1+burden)*(1+salary_infl)^MAX(0,2028-2027),0)</f>
        <v/>
      </c>
      <c r="AC81" s="4">
        <f>Headcount!$C$30*Headcount!$E$30*(1+burden)*(1+salary_infl)^MAX(0,2029-2027)*MAX(0,MIN(12,(2029-YEAR(Headcount!$D$30))*12+13-MONTH(Headcount!$D$30)))/12</f>
        <v/>
      </c>
      <c r="AD81" s="4">
        <f>Headcount!$C$30*Headcount!$E$30*(1+burden)*(1+salary_infl)^MAX(0,2030-2027)*MAX(0,MIN(12,(2030-YEAR(Headcount!$D$30))*12+13-MONTH(Headcount!$D$30)))/12</f>
        <v/>
      </c>
      <c r="AE81" s="4">
        <f>Headcount!$C$30*Headcount!$E$30*(1+burden)*(1+salary_infl)^MAX(0,2031-2027)*MAX(0,MIN(12,(2031-YEAR(Headcount!$D$30))*12+13-MONTH(Headcount!$D$30)))/12</f>
        <v/>
      </c>
      <c r="AG81" s="4">
        <f>SUMIF($C$3:$AE$3,AG$3,$C81:$AE81)</f>
        <v/>
      </c>
      <c r="AH81" s="4">
        <f>SUMIF($C$3:$AE$3,AH$3,$C81:$AE81)</f>
        <v/>
      </c>
      <c r="AI81" s="4">
        <f>SUMIF($C$3:$AE$3,AI$3,$C81:$AE81)</f>
        <v/>
      </c>
      <c r="AJ81" s="4">
        <f>SUMIF($C$3:$AE$3,AJ$3,$C81:$AE81)</f>
        <v/>
      </c>
      <c r="AK81" s="4">
        <f>SUMIF($C$3:$AE$3,AK$3,$C81:$AE81)</f>
        <v/>
      </c>
      <c r="AL81" s="4">
        <f>SUMIF($C$3:$AE$3,AL$3,$C81:$AE81)</f>
        <v/>
      </c>
    </row>
    <row r="82">
      <c r="A82">
        <f>Headcount!A31</f>
        <v/>
      </c>
      <c r="B82" s="2">
        <f>Headcount!B31</f>
        <v/>
      </c>
      <c r="C82" s="4">
        <f>IF(Headcount!$D$31&lt;=Timeline!C5,Headcount!$C$31*Headcount!$E$31/12*(1+burden)*(1+salary_infl)^MAX(0,2026-2027),0)</f>
        <v/>
      </c>
      <c r="D82" s="4">
        <f>IF(Headcount!$D$31&lt;=Timeline!D5,Headcount!$C$31*Headcount!$E$31/12*(1+burden)*(1+salary_infl)^MAX(0,2026-2027),0)</f>
        <v/>
      </c>
      <c r="E82" s="4">
        <f>IF(Headcount!$D$31&lt;=Timeline!E5,Headcount!$C$31*Headcount!$E$31/12*(1+burden)*(1+salary_infl)^MAX(0,2027-2027),0)</f>
        <v/>
      </c>
      <c r="F82" s="4">
        <f>IF(Headcount!$D$31&lt;=Timeline!F5,Headcount!$C$31*Headcount!$E$31/12*(1+burden)*(1+salary_infl)^MAX(0,2027-2027),0)</f>
        <v/>
      </c>
      <c r="G82" s="4">
        <f>IF(Headcount!$D$31&lt;=Timeline!G5,Headcount!$C$31*Headcount!$E$31/12*(1+burden)*(1+salary_infl)^MAX(0,2027-2027),0)</f>
        <v/>
      </c>
      <c r="H82" s="4">
        <f>IF(Headcount!$D$31&lt;=Timeline!H5,Headcount!$C$31*Headcount!$E$31/12*(1+burden)*(1+salary_infl)^MAX(0,2027-2027),0)</f>
        <v/>
      </c>
      <c r="I82" s="4">
        <f>IF(Headcount!$D$31&lt;=Timeline!I5,Headcount!$C$31*Headcount!$E$31/12*(1+burden)*(1+salary_infl)^MAX(0,2027-2027),0)</f>
        <v/>
      </c>
      <c r="J82" s="4">
        <f>IF(Headcount!$D$31&lt;=Timeline!J5,Headcount!$C$31*Headcount!$E$31/12*(1+burden)*(1+salary_infl)^MAX(0,2027-2027),0)</f>
        <v/>
      </c>
      <c r="K82" s="4">
        <f>IF(Headcount!$D$31&lt;=Timeline!K5,Headcount!$C$31*Headcount!$E$31/12*(1+burden)*(1+salary_infl)^MAX(0,2027-2027),0)</f>
        <v/>
      </c>
      <c r="L82" s="4">
        <f>IF(Headcount!$D$31&lt;=Timeline!L5,Headcount!$C$31*Headcount!$E$31/12*(1+burden)*(1+salary_infl)^MAX(0,2027-2027),0)</f>
        <v/>
      </c>
      <c r="M82" s="4">
        <f>IF(Headcount!$D$31&lt;=Timeline!M5,Headcount!$C$31*Headcount!$E$31/12*(1+burden)*(1+salary_infl)^MAX(0,2027-2027),0)</f>
        <v/>
      </c>
      <c r="N82" s="4">
        <f>IF(Headcount!$D$31&lt;=Timeline!N5,Headcount!$C$31*Headcount!$E$31/12*(1+burden)*(1+salary_infl)^MAX(0,2027-2027),0)</f>
        <v/>
      </c>
      <c r="O82" s="4">
        <f>IF(Headcount!$D$31&lt;=Timeline!O5,Headcount!$C$31*Headcount!$E$31/12*(1+burden)*(1+salary_infl)^MAX(0,2027-2027),0)</f>
        <v/>
      </c>
      <c r="P82" s="4">
        <f>IF(Headcount!$D$31&lt;=Timeline!P5,Headcount!$C$31*Headcount!$E$31/12*(1+burden)*(1+salary_infl)^MAX(0,2027-2027),0)</f>
        <v/>
      </c>
      <c r="Q82" s="4">
        <f>IF(Headcount!$D$31&lt;=Timeline!Q5,Headcount!$C$31*Headcount!$E$31/12*(1+burden)*(1+salary_infl)^MAX(0,2028-2027),0)</f>
        <v/>
      </c>
      <c r="R82" s="4">
        <f>IF(Headcount!$D$31&lt;=Timeline!R5,Headcount!$C$31*Headcount!$E$31/12*(1+burden)*(1+salary_infl)^MAX(0,2028-2027),0)</f>
        <v/>
      </c>
      <c r="S82" s="4">
        <f>IF(Headcount!$D$31&lt;=Timeline!S5,Headcount!$C$31*Headcount!$E$31/12*(1+burden)*(1+salary_infl)^MAX(0,2028-2027),0)</f>
        <v/>
      </c>
      <c r="T82" s="4">
        <f>IF(Headcount!$D$31&lt;=Timeline!T5,Headcount!$C$31*Headcount!$E$31/12*(1+burden)*(1+salary_infl)^MAX(0,2028-2027),0)</f>
        <v/>
      </c>
      <c r="U82" s="4">
        <f>IF(Headcount!$D$31&lt;=Timeline!U5,Headcount!$C$31*Headcount!$E$31/12*(1+burden)*(1+salary_infl)^MAX(0,2028-2027),0)</f>
        <v/>
      </c>
      <c r="V82" s="4">
        <f>IF(Headcount!$D$31&lt;=Timeline!V5,Headcount!$C$31*Headcount!$E$31/12*(1+burden)*(1+salary_infl)^MAX(0,2028-2027),0)</f>
        <v/>
      </c>
      <c r="W82" s="4">
        <f>IF(Headcount!$D$31&lt;=Timeline!W5,Headcount!$C$31*Headcount!$E$31/12*(1+burden)*(1+salary_infl)^MAX(0,2028-2027),0)</f>
        <v/>
      </c>
      <c r="X82" s="4">
        <f>IF(Headcount!$D$31&lt;=Timeline!X5,Headcount!$C$31*Headcount!$E$31/12*(1+burden)*(1+salary_infl)^MAX(0,2028-2027),0)</f>
        <v/>
      </c>
      <c r="Y82" s="4">
        <f>IF(Headcount!$D$31&lt;=Timeline!Y5,Headcount!$C$31*Headcount!$E$31/12*(1+burden)*(1+salary_infl)^MAX(0,2028-2027),0)</f>
        <v/>
      </c>
      <c r="Z82" s="4">
        <f>IF(Headcount!$D$31&lt;=Timeline!Z5,Headcount!$C$31*Headcount!$E$31/12*(1+burden)*(1+salary_infl)^MAX(0,2028-2027),0)</f>
        <v/>
      </c>
      <c r="AA82" s="4">
        <f>IF(Headcount!$D$31&lt;=Timeline!AA5,Headcount!$C$31*Headcount!$E$31/12*(1+burden)*(1+salary_infl)^MAX(0,2028-2027),0)</f>
        <v/>
      </c>
      <c r="AB82" s="4">
        <f>IF(Headcount!$D$31&lt;=Timeline!AB5,Headcount!$C$31*Headcount!$E$31/12*(1+burden)*(1+salary_infl)^MAX(0,2028-2027),0)</f>
        <v/>
      </c>
      <c r="AC82" s="4">
        <f>Headcount!$C$31*Headcount!$E$31*(1+burden)*(1+salary_infl)^MAX(0,2029-2027)*MAX(0,MIN(12,(2029-YEAR(Headcount!$D$31))*12+13-MONTH(Headcount!$D$31)))/12</f>
        <v/>
      </c>
      <c r="AD82" s="4">
        <f>Headcount!$C$31*Headcount!$E$31*(1+burden)*(1+salary_infl)^MAX(0,2030-2027)*MAX(0,MIN(12,(2030-YEAR(Headcount!$D$31))*12+13-MONTH(Headcount!$D$31)))/12</f>
        <v/>
      </c>
      <c r="AE82" s="4">
        <f>Headcount!$C$31*Headcount!$E$31*(1+burden)*(1+salary_infl)^MAX(0,2031-2027)*MAX(0,MIN(12,(2031-YEAR(Headcount!$D$31))*12+13-MONTH(Headcount!$D$31)))/12</f>
        <v/>
      </c>
      <c r="AG82" s="4">
        <f>SUMIF($C$3:$AE$3,AG$3,$C82:$AE82)</f>
        <v/>
      </c>
      <c r="AH82" s="4">
        <f>SUMIF($C$3:$AE$3,AH$3,$C82:$AE82)</f>
        <v/>
      </c>
      <c r="AI82" s="4">
        <f>SUMIF($C$3:$AE$3,AI$3,$C82:$AE82)</f>
        <v/>
      </c>
      <c r="AJ82" s="4">
        <f>SUMIF($C$3:$AE$3,AJ$3,$C82:$AE82)</f>
        <v/>
      </c>
      <c r="AK82" s="4">
        <f>SUMIF($C$3:$AE$3,AK$3,$C82:$AE82)</f>
        <v/>
      </c>
      <c r="AL82" s="4">
        <f>SUMIF($C$3:$AE$3,AL$3,$C82:$AE82)</f>
        <v/>
      </c>
    </row>
    <row r="83">
      <c r="A83">
        <f>Headcount!A32</f>
        <v/>
      </c>
      <c r="B83" s="2">
        <f>Headcount!B32</f>
        <v/>
      </c>
      <c r="C83" s="4">
        <f>IF(Headcount!$D$32&lt;=Timeline!C5,Headcount!$C$32*Headcount!$E$32/12*(1+burden)*(1+salary_infl)^MAX(0,2026-2027),0)</f>
        <v/>
      </c>
      <c r="D83" s="4">
        <f>IF(Headcount!$D$32&lt;=Timeline!D5,Headcount!$C$32*Headcount!$E$32/12*(1+burden)*(1+salary_infl)^MAX(0,2026-2027),0)</f>
        <v/>
      </c>
      <c r="E83" s="4">
        <f>IF(Headcount!$D$32&lt;=Timeline!E5,Headcount!$C$32*Headcount!$E$32/12*(1+burden)*(1+salary_infl)^MAX(0,2027-2027),0)</f>
        <v/>
      </c>
      <c r="F83" s="4">
        <f>IF(Headcount!$D$32&lt;=Timeline!F5,Headcount!$C$32*Headcount!$E$32/12*(1+burden)*(1+salary_infl)^MAX(0,2027-2027),0)</f>
        <v/>
      </c>
      <c r="G83" s="4">
        <f>IF(Headcount!$D$32&lt;=Timeline!G5,Headcount!$C$32*Headcount!$E$32/12*(1+burden)*(1+salary_infl)^MAX(0,2027-2027),0)</f>
        <v/>
      </c>
      <c r="H83" s="4">
        <f>IF(Headcount!$D$32&lt;=Timeline!H5,Headcount!$C$32*Headcount!$E$32/12*(1+burden)*(1+salary_infl)^MAX(0,2027-2027),0)</f>
        <v/>
      </c>
      <c r="I83" s="4">
        <f>IF(Headcount!$D$32&lt;=Timeline!I5,Headcount!$C$32*Headcount!$E$32/12*(1+burden)*(1+salary_infl)^MAX(0,2027-2027),0)</f>
        <v/>
      </c>
      <c r="J83" s="4">
        <f>IF(Headcount!$D$32&lt;=Timeline!J5,Headcount!$C$32*Headcount!$E$32/12*(1+burden)*(1+salary_infl)^MAX(0,2027-2027),0)</f>
        <v/>
      </c>
      <c r="K83" s="4">
        <f>IF(Headcount!$D$32&lt;=Timeline!K5,Headcount!$C$32*Headcount!$E$32/12*(1+burden)*(1+salary_infl)^MAX(0,2027-2027),0)</f>
        <v/>
      </c>
      <c r="L83" s="4">
        <f>IF(Headcount!$D$32&lt;=Timeline!L5,Headcount!$C$32*Headcount!$E$32/12*(1+burden)*(1+salary_infl)^MAX(0,2027-2027),0)</f>
        <v/>
      </c>
      <c r="M83" s="4">
        <f>IF(Headcount!$D$32&lt;=Timeline!M5,Headcount!$C$32*Headcount!$E$32/12*(1+burden)*(1+salary_infl)^MAX(0,2027-2027),0)</f>
        <v/>
      </c>
      <c r="N83" s="4">
        <f>IF(Headcount!$D$32&lt;=Timeline!N5,Headcount!$C$32*Headcount!$E$32/12*(1+burden)*(1+salary_infl)^MAX(0,2027-2027),0)</f>
        <v/>
      </c>
      <c r="O83" s="4">
        <f>IF(Headcount!$D$32&lt;=Timeline!O5,Headcount!$C$32*Headcount!$E$32/12*(1+burden)*(1+salary_infl)^MAX(0,2027-2027),0)</f>
        <v/>
      </c>
      <c r="P83" s="4">
        <f>IF(Headcount!$D$32&lt;=Timeline!P5,Headcount!$C$32*Headcount!$E$32/12*(1+burden)*(1+salary_infl)^MAX(0,2027-2027),0)</f>
        <v/>
      </c>
      <c r="Q83" s="4">
        <f>IF(Headcount!$D$32&lt;=Timeline!Q5,Headcount!$C$32*Headcount!$E$32/12*(1+burden)*(1+salary_infl)^MAX(0,2028-2027),0)</f>
        <v/>
      </c>
      <c r="R83" s="4">
        <f>IF(Headcount!$D$32&lt;=Timeline!R5,Headcount!$C$32*Headcount!$E$32/12*(1+burden)*(1+salary_infl)^MAX(0,2028-2027),0)</f>
        <v/>
      </c>
      <c r="S83" s="4">
        <f>IF(Headcount!$D$32&lt;=Timeline!S5,Headcount!$C$32*Headcount!$E$32/12*(1+burden)*(1+salary_infl)^MAX(0,2028-2027),0)</f>
        <v/>
      </c>
      <c r="T83" s="4">
        <f>IF(Headcount!$D$32&lt;=Timeline!T5,Headcount!$C$32*Headcount!$E$32/12*(1+burden)*(1+salary_infl)^MAX(0,2028-2027),0)</f>
        <v/>
      </c>
      <c r="U83" s="4">
        <f>IF(Headcount!$D$32&lt;=Timeline!U5,Headcount!$C$32*Headcount!$E$32/12*(1+burden)*(1+salary_infl)^MAX(0,2028-2027),0)</f>
        <v/>
      </c>
      <c r="V83" s="4">
        <f>IF(Headcount!$D$32&lt;=Timeline!V5,Headcount!$C$32*Headcount!$E$32/12*(1+burden)*(1+salary_infl)^MAX(0,2028-2027),0)</f>
        <v/>
      </c>
      <c r="W83" s="4">
        <f>IF(Headcount!$D$32&lt;=Timeline!W5,Headcount!$C$32*Headcount!$E$32/12*(1+burden)*(1+salary_infl)^MAX(0,2028-2027),0)</f>
        <v/>
      </c>
      <c r="X83" s="4">
        <f>IF(Headcount!$D$32&lt;=Timeline!X5,Headcount!$C$32*Headcount!$E$32/12*(1+burden)*(1+salary_infl)^MAX(0,2028-2027),0)</f>
        <v/>
      </c>
      <c r="Y83" s="4">
        <f>IF(Headcount!$D$32&lt;=Timeline!Y5,Headcount!$C$32*Headcount!$E$32/12*(1+burden)*(1+salary_infl)^MAX(0,2028-2027),0)</f>
        <v/>
      </c>
      <c r="Z83" s="4">
        <f>IF(Headcount!$D$32&lt;=Timeline!Z5,Headcount!$C$32*Headcount!$E$32/12*(1+burden)*(1+salary_infl)^MAX(0,2028-2027),0)</f>
        <v/>
      </c>
      <c r="AA83" s="4">
        <f>IF(Headcount!$D$32&lt;=Timeline!AA5,Headcount!$C$32*Headcount!$E$32/12*(1+burden)*(1+salary_infl)^MAX(0,2028-2027),0)</f>
        <v/>
      </c>
      <c r="AB83" s="4">
        <f>IF(Headcount!$D$32&lt;=Timeline!AB5,Headcount!$C$32*Headcount!$E$32/12*(1+burden)*(1+salary_infl)^MAX(0,2028-2027),0)</f>
        <v/>
      </c>
      <c r="AC83" s="4">
        <f>Headcount!$C$32*Headcount!$E$32*(1+burden)*(1+salary_infl)^MAX(0,2029-2027)*MAX(0,MIN(12,(2029-YEAR(Headcount!$D$32))*12+13-MONTH(Headcount!$D$32)))/12</f>
        <v/>
      </c>
      <c r="AD83" s="4">
        <f>Headcount!$C$32*Headcount!$E$32*(1+burden)*(1+salary_infl)^MAX(0,2030-2027)*MAX(0,MIN(12,(2030-YEAR(Headcount!$D$32))*12+13-MONTH(Headcount!$D$32)))/12</f>
        <v/>
      </c>
      <c r="AE83" s="4">
        <f>Headcount!$C$32*Headcount!$E$32*(1+burden)*(1+salary_infl)^MAX(0,2031-2027)*MAX(0,MIN(12,(2031-YEAR(Headcount!$D$32))*12+13-MONTH(Headcount!$D$32)))/12</f>
        <v/>
      </c>
      <c r="AG83" s="4">
        <f>SUMIF($C$3:$AE$3,AG$3,$C83:$AE83)</f>
        <v/>
      </c>
      <c r="AH83" s="4">
        <f>SUMIF($C$3:$AE$3,AH$3,$C83:$AE83)</f>
        <v/>
      </c>
      <c r="AI83" s="4">
        <f>SUMIF($C$3:$AE$3,AI$3,$C83:$AE83)</f>
        <v/>
      </c>
      <c r="AJ83" s="4">
        <f>SUMIF($C$3:$AE$3,AJ$3,$C83:$AE83)</f>
        <v/>
      </c>
      <c r="AK83" s="4">
        <f>SUMIF($C$3:$AE$3,AK$3,$C83:$AE83)</f>
        <v/>
      </c>
      <c r="AL83" s="4">
        <f>SUMIF($C$3:$AE$3,AL$3,$C83:$AE83)</f>
        <v/>
      </c>
    </row>
    <row r="84">
      <c r="A84">
        <f>Headcount!A33</f>
        <v/>
      </c>
      <c r="B84" s="2">
        <f>Headcount!B33</f>
        <v/>
      </c>
      <c r="C84" s="4">
        <f>IF(Headcount!$D$33&lt;=Timeline!C5,Headcount!$C$33*Headcount!$E$33/12*(1+burden)*(1+salary_infl)^MAX(0,2026-2027),0)</f>
        <v/>
      </c>
      <c r="D84" s="4">
        <f>IF(Headcount!$D$33&lt;=Timeline!D5,Headcount!$C$33*Headcount!$E$33/12*(1+burden)*(1+salary_infl)^MAX(0,2026-2027),0)</f>
        <v/>
      </c>
      <c r="E84" s="4">
        <f>IF(Headcount!$D$33&lt;=Timeline!E5,Headcount!$C$33*Headcount!$E$33/12*(1+burden)*(1+salary_infl)^MAX(0,2027-2027),0)</f>
        <v/>
      </c>
      <c r="F84" s="4">
        <f>IF(Headcount!$D$33&lt;=Timeline!F5,Headcount!$C$33*Headcount!$E$33/12*(1+burden)*(1+salary_infl)^MAX(0,2027-2027),0)</f>
        <v/>
      </c>
      <c r="G84" s="4">
        <f>IF(Headcount!$D$33&lt;=Timeline!G5,Headcount!$C$33*Headcount!$E$33/12*(1+burden)*(1+salary_infl)^MAX(0,2027-2027),0)</f>
        <v/>
      </c>
      <c r="H84" s="4">
        <f>IF(Headcount!$D$33&lt;=Timeline!H5,Headcount!$C$33*Headcount!$E$33/12*(1+burden)*(1+salary_infl)^MAX(0,2027-2027),0)</f>
        <v/>
      </c>
      <c r="I84" s="4">
        <f>IF(Headcount!$D$33&lt;=Timeline!I5,Headcount!$C$33*Headcount!$E$33/12*(1+burden)*(1+salary_infl)^MAX(0,2027-2027),0)</f>
        <v/>
      </c>
      <c r="J84" s="4">
        <f>IF(Headcount!$D$33&lt;=Timeline!J5,Headcount!$C$33*Headcount!$E$33/12*(1+burden)*(1+salary_infl)^MAX(0,2027-2027),0)</f>
        <v/>
      </c>
      <c r="K84" s="4">
        <f>IF(Headcount!$D$33&lt;=Timeline!K5,Headcount!$C$33*Headcount!$E$33/12*(1+burden)*(1+salary_infl)^MAX(0,2027-2027),0)</f>
        <v/>
      </c>
      <c r="L84" s="4">
        <f>IF(Headcount!$D$33&lt;=Timeline!L5,Headcount!$C$33*Headcount!$E$33/12*(1+burden)*(1+salary_infl)^MAX(0,2027-2027),0)</f>
        <v/>
      </c>
      <c r="M84" s="4">
        <f>IF(Headcount!$D$33&lt;=Timeline!M5,Headcount!$C$33*Headcount!$E$33/12*(1+burden)*(1+salary_infl)^MAX(0,2027-2027),0)</f>
        <v/>
      </c>
      <c r="N84" s="4">
        <f>IF(Headcount!$D$33&lt;=Timeline!N5,Headcount!$C$33*Headcount!$E$33/12*(1+burden)*(1+salary_infl)^MAX(0,2027-2027),0)</f>
        <v/>
      </c>
      <c r="O84" s="4">
        <f>IF(Headcount!$D$33&lt;=Timeline!O5,Headcount!$C$33*Headcount!$E$33/12*(1+burden)*(1+salary_infl)^MAX(0,2027-2027),0)</f>
        <v/>
      </c>
      <c r="P84" s="4">
        <f>IF(Headcount!$D$33&lt;=Timeline!P5,Headcount!$C$33*Headcount!$E$33/12*(1+burden)*(1+salary_infl)^MAX(0,2027-2027),0)</f>
        <v/>
      </c>
      <c r="Q84" s="4">
        <f>IF(Headcount!$D$33&lt;=Timeline!Q5,Headcount!$C$33*Headcount!$E$33/12*(1+burden)*(1+salary_infl)^MAX(0,2028-2027),0)</f>
        <v/>
      </c>
      <c r="R84" s="4">
        <f>IF(Headcount!$D$33&lt;=Timeline!R5,Headcount!$C$33*Headcount!$E$33/12*(1+burden)*(1+salary_infl)^MAX(0,2028-2027),0)</f>
        <v/>
      </c>
      <c r="S84" s="4">
        <f>IF(Headcount!$D$33&lt;=Timeline!S5,Headcount!$C$33*Headcount!$E$33/12*(1+burden)*(1+salary_infl)^MAX(0,2028-2027),0)</f>
        <v/>
      </c>
      <c r="T84" s="4">
        <f>IF(Headcount!$D$33&lt;=Timeline!T5,Headcount!$C$33*Headcount!$E$33/12*(1+burden)*(1+salary_infl)^MAX(0,2028-2027),0)</f>
        <v/>
      </c>
      <c r="U84" s="4">
        <f>IF(Headcount!$D$33&lt;=Timeline!U5,Headcount!$C$33*Headcount!$E$33/12*(1+burden)*(1+salary_infl)^MAX(0,2028-2027),0)</f>
        <v/>
      </c>
      <c r="V84" s="4">
        <f>IF(Headcount!$D$33&lt;=Timeline!V5,Headcount!$C$33*Headcount!$E$33/12*(1+burden)*(1+salary_infl)^MAX(0,2028-2027),0)</f>
        <v/>
      </c>
      <c r="W84" s="4">
        <f>IF(Headcount!$D$33&lt;=Timeline!W5,Headcount!$C$33*Headcount!$E$33/12*(1+burden)*(1+salary_infl)^MAX(0,2028-2027),0)</f>
        <v/>
      </c>
      <c r="X84" s="4">
        <f>IF(Headcount!$D$33&lt;=Timeline!X5,Headcount!$C$33*Headcount!$E$33/12*(1+burden)*(1+salary_infl)^MAX(0,2028-2027),0)</f>
        <v/>
      </c>
      <c r="Y84" s="4">
        <f>IF(Headcount!$D$33&lt;=Timeline!Y5,Headcount!$C$33*Headcount!$E$33/12*(1+burden)*(1+salary_infl)^MAX(0,2028-2027),0)</f>
        <v/>
      </c>
      <c r="Z84" s="4">
        <f>IF(Headcount!$D$33&lt;=Timeline!Z5,Headcount!$C$33*Headcount!$E$33/12*(1+burden)*(1+salary_infl)^MAX(0,2028-2027),0)</f>
        <v/>
      </c>
      <c r="AA84" s="4">
        <f>IF(Headcount!$D$33&lt;=Timeline!AA5,Headcount!$C$33*Headcount!$E$33/12*(1+burden)*(1+salary_infl)^MAX(0,2028-2027),0)</f>
        <v/>
      </c>
      <c r="AB84" s="4">
        <f>IF(Headcount!$D$33&lt;=Timeline!AB5,Headcount!$C$33*Headcount!$E$33/12*(1+burden)*(1+salary_infl)^MAX(0,2028-2027),0)</f>
        <v/>
      </c>
      <c r="AC84" s="4">
        <f>Headcount!$C$33*Headcount!$E$33*(1+burden)*(1+salary_infl)^MAX(0,2029-2027)*MAX(0,MIN(12,(2029-YEAR(Headcount!$D$33))*12+13-MONTH(Headcount!$D$33)))/12</f>
        <v/>
      </c>
      <c r="AD84" s="4">
        <f>Headcount!$C$33*Headcount!$E$33*(1+burden)*(1+salary_infl)^MAX(0,2030-2027)*MAX(0,MIN(12,(2030-YEAR(Headcount!$D$33))*12+13-MONTH(Headcount!$D$33)))/12</f>
        <v/>
      </c>
      <c r="AE84" s="4">
        <f>Headcount!$C$33*Headcount!$E$33*(1+burden)*(1+salary_infl)^MAX(0,2031-2027)*MAX(0,MIN(12,(2031-YEAR(Headcount!$D$33))*12+13-MONTH(Headcount!$D$33)))/12</f>
        <v/>
      </c>
      <c r="AG84" s="4">
        <f>SUMIF($C$3:$AE$3,AG$3,$C84:$AE84)</f>
        <v/>
      </c>
      <c r="AH84" s="4">
        <f>SUMIF($C$3:$AE$3,AH$3,$C84:$AE84)</f>
        <v/>
      </c>
      <c r="AI84" s="4">
        <f>SUMIF($C$3:$AE$3,AI$3,$C84:$AE84)</f>
        <v/>
      </c>
      <c r="AJ84" s="4">
        <f>SUMIF($C$3:$AE$3,AJ$3,$C84:$AE84)</f>
        <v/>
      </c>
      <c r="AK84" s="4">
        <f>SUMIF($C$3:$AE$3,AK$3,$C84:$AE84)</f>
        <v/>
      </c>
      <c r="AL84" s="4">
        <f>SUMIF($C$3:$AE$3,AL$3,$C84:$AE84)</f>
        <v/>
      </c>
    </row>
    <row r="85">
      <c r="A85">
        <f>Headcount!A34</f>
        <v/>
      </c>
      <c r="B85" s="2">
        <f>Headcount!B34</f>
        <v/>
      </c>
      <c r="C85" s="4">
        <f>IF(Headcount!$D$34&lt;=Timeline!C5,Headcount!$C$34*Headcount!$E$34/12*(1+burden)*(1+salary_infl)^MAX(0,2026-2027),0)</f>
        <v/>
      </c>
      <c r="D85" s="4">
        <f>IF(Headcount!$D$34&lt;=Timeline!D5,Headcount!$C$34*Headcount!$E$34/12*(1+burden)*(1+salary_infl)^MAX(0,2026-2027),0)</f>
        <v/>
      </c>
      <c r="E85" s="4">
        <f>IF(Headcount!$D$34&lt;=Timeline!E5,Headcount!$C$34*Headcount!$E$34/12*(1+burden)*(1+salary_infl)^MAX(0,2027-2027),0)</f>
        <v/>
      </c>
      <c r="F85" s="4">
        <f>IF(Headcount!$D$34&lt;=Timeline!F5,Headcount!$C$34*Headcount!$E$34/12*(1+burden)*(1+salary_infl)^MAX(0,2027-2027),0)</f>
        <v/>
      </c>
      <c r="G85" s="4">
        <f>IF(Headcount!$D$34&lt;=Timeline!G5,Headcount!$C$34*Headcount!$E$34/12*(1+burden)*(1+salary_infl)^MAX(0,2027-2027),0)</f>
        <v/>
      </c>
      <c r="H85" s="4">
        <f>IF(Headcount!$D$34&lt;=Timeline!H5,Headcount!$C$34*Headcount!$E$34/12*(1+burden)*(1+salary_infl)^MAX(0,2027-2027),0)</f>
        <v/>
      </c>
      <c r="I85" s="4">
        <f>IF(Headcount!$D$34&lt;=Timeline!I5,Headcount!$C$34*Headcount!$E$34/12*(1+burden)*(1+salary_infl)^MAX(0,2027-2027),0)</f>
        <v/>
      </c>
      <c r="J85" s="4">
        <f>IF(Headcount!$D$34&lt;=Timeline!J5,Headcount!$C$34*Headcount!$E$34/12*(1+burden)*(1+salary_infl)^MAX(0,2027-2027),0)</f>
        <v/>
      </c>
      <c r="K85" s="4">
        <f>IF(Headcount!$D$34&lt;=Timeline!K5,Headcount!$C$34*Headcount!$E$34/12*(1+burden)*(1+salary_infl)^MAX(0,2027-2027),0)</f>
        <v/>
      </c>
      <c r="L85" s="4">
        <f>IF(Headcount!$D$34&lt;=Timeline!L5,Headcount!$C$34*Headcount!$E$34/12*(1+burden)*(1+salary_infl)^MAX(0,2027-2027),0)</f>
        <v/>
      </c>
      <c r="M85" s="4">
        <f>IF(Headcount!$D$34&lt;=Timeline!M5,Headcount!$C$34*Headcount!$E$34/12*(1+burden)*(1+salary_infl)^MAX(0,2027-2027),0)</f>
        <v/>
      </c>
      <c r="N85" s="4">
        <f>IF(Headcount!$D$34&lt;=Timeline!N5,Headcount!$C$34*Headcount!$E$34/12*(1+burden)*(1+salary_infl)^MAX(0,2027-2027),0)</f>
        <v/>
      </c>
      <c r="O85" s="4">
        <f>IF(Headcount!$D$34&lt;=Timeline!O5,Headcount!$C$34*Headcount!$E$34/12*(1+burden)*(1+salary_infl)^MAX(0,2027-2027),0)</f>
        <v/>
      </c>
      <c r="P85" s="4">
        <f>IF(Headcount!$D$34&lt;=Timeline!P5,Headcount!$C$34*Headcount!$E$34/12*(1+burden)*(1+salary_infl)^MAX(0,2027-2027),0)</f>
        <v/>
      </c>
      <c r="Q85" s="4">
        <f>IF(Headcount!$D$34&lt;=Timeline!Q5,Headcount!$C$34*Headcount!$E$34/12*(1+burden)*(1+salary_infl)^MAX(0,2028-2027),0)</f>
        <v/>
      </c>
      <c r="R85" s="4">
        <f>IF(Headcount!$D$34&lt;=Timeline!R5,Headcount!$C$34*Headcount!$E$34/12*(1+burden)*(1+salary_infl)^MAX(0,2028-2027),0)</f>
        <v/>
      </c>
      <c r="S85" s="4">
        <f>IF(Headcount!$D$34&lt;=Timeline!S5,Headcount!$C$34*Headcount!$E$34/12*(1+burden)*(1+salary_infl)^MAX(0,2028-2027),0)</f>
        <v/>
      </c>
      <c r="T85" s="4">
        <f>IF(Headcount!$D$34&lt;=Timeline!T5,Headcount!$C$34*Headcount!$E$34/12*(1+burden)*(1+salary_infl)^MAX(0,2028-2027),0)</f>
        <v/>
      </c>
      <c r="U85" s="4">
        <f>IF(Headcount!$D$34&lt;=Timeline!U5,Headcount!$C$34*Headcount!$E$34/12*(1+burden)*(1+salary_infl)^MAX(0,2028-2027),0)</f>
        <v/>
      </c>
      <c r="V85" s="4">
        <f>IF(Headcount!$D$34&lt;=Timeline!V5,Headcount!$C$34*Headcount!$E$34/12*(1+burden)*(1+salary_infl)^MAX(0,2028-2027),0)</f>
        <v/>
      </c>
      <c r="W85" s="4">
        <f>IF(Headcount!$D$34&lt;=Timeline!W5,Headcount!$C$34*Headcount!$E$34/12*(1+burden)*(1+salary_infl)^MAX(0,2028-2027),0)</f>
        <v/>
      </c>
      <c r="X85" s="4">
        <f>IF(Headcount!$D$34&lt;=Timeline!X5,Headcount!$C$34*Headcount!$E$34/12*(1+burden)*(1+salary_infl)^MAX(0,2028-2027),0)</f>
        <v/>
      </c>
      <c r="Y85" s="4">
        <f>IF(Headcount!$D$34&lt;=Timeline!Y5,Headcount!$C$34*Headcount!$E$34/12*(1+burden)*(1+salary_infl)^MAX(0,2028-2027),0)</f>
        <v/>
      </c>
      <c r="Z85" s="4">
        <f>IF(Headcount!$D$34&lt;=Timeline!Z5,Headcount!$C$34*Headcount!$E$34/12*(1+burden)*(1+salary_infl)^MAX(0,2028-2027),0)</f>
        <v/>
      </c>
      <c r="AA85" s="4">
        <f>IF(Headcount!$D$34&lt;=Timeline!AA5,Headcount!$C$34*Headcount!$E$34/12*(1+burden)*(1+salary_infl)^MAX(0,2028-2027),0)</f>
        <v/>
      </c>
      <c r="AB85" s="4">
        <f>IF(Headcount!$D$34&lt;=Timeline!AB5,Headcount!$C$34*Headcount!$E$34/12*(1+burden)*(1+salary_infl)^MAX(0,2028-2027),0)</f>
        <v/>
      </c>
      <c r="AC85" s="4">
        <f>Headcount!$C$34*Headcount!$E$34*(1+burden)*(1+salary_infl)^MAX(0,2029-2027)*MAX(0,MIN(12,(2029-YEAR(Headcount!$D$34))*12+13-MONTH(Headcount!$D$34)))/12</f>
        <v/>
      </c>
      <c r="AD85" s="4">
        <f>Headcount!$C$34*Headcount!$E$34*(1+burden)*(1+salary_infl)^MAX(0,2030-2027)*MAX(0,MIN(12,(2030-YEAR(Headcount!$D$34))*12+13-MONTH(Headcount!$D$34)))/12</f>
        <v/>
      </c>
      <c r="AE85" s="4">
        <f>Headcount!$C$34*Headcount!$E$34*(1+burden)*(1+salary_infl)^MAX(0,2031-2027)*MAX(0,MIN(12,(2031-YEAR(Headcount!$D$34))*12+13-MONTH(Headcount!$D$34)))/12</f>
        <v/>
      </c>
      <c r="AG85" s="4">
        <f>SUMIF($C$3:$AE$3,AG$3,$C85:$AE85)</f>
        <v/>
      </c>
      <c r="AH85" s="4">
        <f>SUMIF($C$3:$AE$3,AH$3,$C85:$AE85)</f>
        <v/>
      </c>
      <c r="AI85" s="4">
        <f>SUMIF($C$3:$AE$3,AI$3,$C85:$AE85)</f>
        <v/>
      </c>
      <c r="AJ85" s="4">
        <f>SUMIF($C$3:$AE$3,AJ$3,$C85:$AE85)</f>
        <v/>
      </c>
      <c r="AK85" s="4">
        <f>SUMIF($C$3:$AE$3,AK$3,$C85:$AE85)</f>
        <v/>
      </c>
      <c r="AL85" s="4">
        <f>SUMIF($C$3:$AE$3,AL$3,$C85:$AE85)</f>
        <v/>
      </c>
    </row>
    <row r="86">
      <c r="A86">
        <f>Headcount!A35</f>
        <v/>
      </c>
      <c r="B86" s="2">
        <f>Headcount!B35</f>
        <v/>
      </c>
      <c r="C86" s="4">
        <f>IF(Headcount!$D$35&lt;=Timeline!C5,Headcount!$C$35*Headcount!$E$35/12*(1+burden)*(1+salary_infl)^MAX(0,2026-2027),0)</f>
        <v/>
      </c>
      <c r="D86" s="4">
        <f>IF(Headcount!$D$35&lt;=Timeline!D5,Headcount!$C$35*Headcount!$E$35/12*(1+burden)*(1+salary_infl)^MAX(0,2026-2027),0)</f>
        <v/>
      </c>
      <c r="E86" s="4">
        <f>IF(Headcount!$D$35&lt;=Timeline!E5,Headcount!$C$35*Headcount!$E$35/12*(1+burden)*(1+salary_infl)^MAX(0,2027-2027),0)</f>
        <v/>
      </c>
      <c r="F86" s="4">
        <f>IF(Headcount!$D$35&lt;=Timeline!F5,Headcount!$C$35*Headcount!$E$35/12*(1+burden)*(1+salary_infl)^MAX(0,2027-2027),0)</f>
        <v/>
      </c>
      <c r="G86" s="4">
        <f>IF(Headcount!$D$35&lt;=Timeline!G5,Headcount!$C$35*Headcount!$E$35/12*(1+burden)*(1+salary_infl)^MAX(0,2027-2027),0)</f>
        <v/>
      </c>
      <c r="H86" s="4">
        <f>IF(Headcount!$D$35&lt;=Timeline!H5,Headcount!$C$35*Headcount!$E$35/12*(1+burden)*(1+salary_infl)^MAX(0,2027-2027),0)</f>
        <v/>
      </c>
      <c r="I86" s="4">
        <f>IF(Headcount!$D$35&lt;=Timeline!I5,Headcount!$C$35*Headcount!$E$35/12*(1+burden)*(1+salary_infl)^MAX(0,2027-2027),0)</f>
        <v/>
      </c>
      <c r="J86" s="4">
        <f>IF(Headcount!$D$35&lt;=Timeline!J5,Headcount!$C$35*Headcount!$E$35/12*(1+burden)*(1+salary_infl)^MAX(0,2027-2027),0)</f>
        <v/>
      </c>
      <c r="K86" s="4">
        <f>IF(Headcount!$D$35&lt;=Timeline!K5,Headcount!$C$35*Headcount!$E$35/12*(1+burden)*(1+salary_infl)^MAX(0,2027-2027),0)</f>
        <v/>
      </c>
      <c r="L86" s="4">
        <f>IF(Headcount!$D$35&lt;=Timeline!L5,Headcount!$C$35*Headcount!$E$35/12*(1+burden)*(1+salary_infl)^MAX(0,2027-2027),0)</f>
        <v/>
      </c>
      <c r="M86" s="4">
        <f>IF(Headcount!$D$35&lt;=Timeline!M5,Headcount!$C$35*Headcount!$E$35/12*(1+burden)*(1+salary_infl)^MAX(0,2027-2027),0)</f>
        <v/>
      </c>
      <c r="N86" s="4">
        <f>IF(Headcount!$D$35&lt;=Timeline!N5,Headcount!$C$35*Headcount!$E$35/12*(1+burden)*(1+salary_infl)^MAX(0,2027-2027),0)</f>
        <v/>
      </c>
      <c r="O86" s="4">
        <f>IF(Headcount!$D$35&lt;=Timeline!O5,Headcount!$C$35*Headcount!$E$35/12*(1+burden)*(1+salary_infl)^MAX(0,2027-2027),0)</f>
        <v/>
      </c>
      <c r="P86" s="4">
        <f>IF(Headcount!$D$35&lt;=Timeline!P5,Headcount!$C$35*Headcount!$E$35/12*(1+burden)*(1+salary_infl)^MAX(0,2027-2027),0)</f>
        <v/>
      </c>
      <c r="Q86" s="4">
        <f>IF(Headcount!$D$35&lt;=Timeline!Q5,Headcount!$C$35*Headcount!$E$35/12*(1+burden)*(1+salary_infl)^MAX(0,2028-2027),0)</f>
        <v/>
      </c>
      <c r="R86" s="4">
        <f>IF(Headcount!$D$35&lt;=Timeline!R5,Headcount!$C$35*Headcount!$E$35/12*(1+burden)*(1+salary_infl)^MAX(0,2028-2027),0)</f>
        <v/>
      </c>
      <c r="S86" s="4">
        <f>IF(Headcount!$D$35&lt;=Timeline!S5,Headcount!$C$35*Headcount!$E$35/12*(1+burden)*(1+salary_infl)^MAX(0,2028-2027),0)</f>
        <v/>
      </c>
      <c r="T86" s="4">
        <f>IF(Headcount!$D$35&lt;=Timeline!T5,Headcount!$C$35*Headcount!$E$35/12*(1+burden)*(1+salary_infl)^MAX(0,2028-2027),0)</f>
        <v/>
      </c>
      <c r="U86" s="4">
        <f>IF(Headcount!$D$35&lt;=Timeline!U5,Headcount!$C$35*Headcount!$E$35/12*(1+burden)*(1+salary_infl)^MAX(0,2028-2027),0)</f>
        <v/>
      </c>
      <c r="V86" s="4">
        <f>IF(Headcount!$D$35&lt;=Timeline!V5,Headcount!$C$35*Headcount!$E$35/12*(1+burden)*(1+salary_infl)^MAX(0,2028-2027),0)</f>
        <v/>
      </c>
      <c r="W86" s="4">
        <f>IF(Headcount!$D$35&lt;=Timeline!W5,Headcount!$C$35*Headcount!$E$35/12*(1+burden)*(1+salary_infl)^MAX(0,2028-2027),0)</f>
        <v/>
      </c>
      <c r="X86" s="4">
        <f>IF(Headcount!$D$35&lt;=Timeline!X5,Headcount!$C$35*Headcount!$E$35/12*(1+burden)*(1+salary_infl)^MAX(0,2028-2027),0)</f>
        <v/>
      </c>
      <c r="Y86" s="4">
        <f>IF(Headcount!$D$35&lt;=Timeline!Y5,Headcount!$C$35*Headcount!$E$35/12*(1+burden)*(1+salary_infl)^MAX(0,2028-2027),0)</f>
        <v/>
      </c>
      <c r="Z86" s="4">
        <f>IF(Headcount!$D$35&lt;=Timeline!Z5,Headcount!$C$35*Headcount!$E$35/12*(1+burden)*(1+salary_infl)^MAX(0,2028-2027),0)</f>
        <v/>
      </c>
      <c r="AA86" s="4">
        <f>IF(Headcount!$D$35&lt;=Timeline!AA5,Headcount!$C$35*Headcount!$E$35/12*(1+burden)*(1+salary_infl)^MAX(0,2028-2027),0)</f>
        <v/>
      </c>
      <c r="AB86" s="4">
        <f>IF(Headcount!$D$35&lt;=Timeline!AB5,Headcount!$C$35*Headcount!$E$35/12*(1+burden)*(1+salary_infl)^MAX(0,2028-2027),0)</f>
        <v/>
      </c>
      <c r="AC86" s="4">
        <f>Headcount!$C$35*Headcount!$E$35*(1+burden)*(1+salary_infl)^MAX(0,2029-2027)*MAX(0,MIN(12,(2029-YEAR(Headcount!$D$35))*12+13-MONTH(Headcount!$D$35)))/12</f>
        <v/>
      </c>
      <c r="AD86" s="4">
        <f>Headcount!$C$35*Headcount!$E$35*(1+burden)*(1+salary_infl)^MAX(0,2030-2027)*MAX(0,MIN(12,(2030-YEAR(Headcount!$D$35))*12+13-MONTH(Headcount!$D$35)))/12</f>
        <v/>
      </c>
      <c r="AE86" s="4">
        <f>Headcount!$C$35*Headcount!$E$35*(1+burden)*(1+salary_infl)^MAX(0,2031-2027)*MAX(0,MIN(12,(2031-YEAR(Headcount!$D$35))*12+13-MONTH(Headcount!$D$35)))/12</f>
        <v/>
      </c>
      <c r="AG86" s="4">
        <f>SUMIF($C$3:$AE$3,AG$3,$C86:$AE86)</f>
        <v/>
      </c>
      <c r="AH86" s="4">
        <f>SUMIF($C$3:$AE$3,AH$3,$C86:$AE86)</f>
        <v/>
      </c>
      <c r="AI86" s="4">
        <f>SUMIF($C$3:$AE$3,AI$3,$C86:$AE86)</f>
        <v/>
      </c>
      <c r="AJ86" s="4">
        <f>SUMIF($C$3:$AE$3,AJ$3,$C86:$AE86)</f>
        <v/>
      </c>
      <c r="AK86" s="4">
        <f>SUMIF($C$3:$AE$3,AK$3,$C86:$AE86)</f>
        <v/>
      </c>
      <c r="AL86" s="4">
        <f>SUMIF($C$3:$AE$3,AL$3,$C86:$AE86)</f>
        <v/>
      </c>
    </row>
    <row r="87">
      <c r="A87">
        <f>Headcount!A36</f>
        <v/>
      </c>
      <c r="B87" s="2">
        <f>Headcount!B36</f>
        <v/>
      </c>
      <c r="C87" s="4">
        <f>IF(Headcount!$D$36&lt;=Timeline!C5,Headcount!$C$36*Headcount!$E$36/12*(1+burden)*(1+salary_infl)^MAX(0,2026-2027),0)</f>
        <v/>
      </c>
      <c r="D87" s="4">
        <f>IF(Headcount!$D$36&lt;=Timeline!D5,Headcount!$C$36*Headcount!$E$36/12*(1+burden)*(1+salary_infl)^MAX(0,2026-2027),0)</f>
        <v/>
      </c>
      <c r="E87" s="4">
        <f>IF(Headcount!$D$36&lt;=Timeline!E5,Headcount!$C$36*Headcount!$E$36/12*(1+burden)*(1+salary_infl)^MAX(0,2027-2027),0)</f>
        <v/>
      </c>
      <c r="F87" s="4">
        <f>IF(Headcount!$D$36&lt;=Timeline!F5,Headcount!$C$36*Headcount!$E$36/12*(1+burden)*(1+salary_infl)^MAX(0,2027-2027),0)</f>
        <v/>
      </c>
      <c r="G87" s="4">
        <f>IF(Headcount!$D$36&lt;=Timeline!G5,Headcount!$C$36*Headcount!$E$36/12*(1+burden)*(1+salary_infl)^MAX(0,2027-2027),0)</f>
        <v/>
      </c>
      <c r="H87" s="4">
        <f>IF(Headcount!$D$36&lt;=Timeline!H5,Headcount!$C$36*Headcount!$E$36/12*(1+burden)*(1+salary_infl)^MAX(0,2027-2027),0)</f>
        <v/>
      </c>
      <c r="I87" s="4">
        <f>IF(Headcount!$D$36&lt;=Timeline!I5,Headcount!$C$36*Headcount!$E$36/12*(1+burden)*(1+salary_infl)^MAX(0,2027-2027),0)</f>
        <v/>
      </c>
      <c r="J87" s="4">
        <f>IF(Headcount!$D$36&lt;=Timeline!J5,Headcount!$C$36*Headcount!$E$36/12*(1+burden)*(1+salary_infl)^MAX(0,2027-2027),0)</f>
        <v/>
      </c>
      <c r="K87" s="4">
        <f>IF(Headcount!$D$36&lt;=Timeline!K5,Headcount!$C$36*Headcount!$E$36/12*(1+burden)*(1+salary_infl)^MAX(0,2027-2027),0)</f>
        <v/>
      </c>
      <c r="L87" s="4">
        <f>IF(Headcount!$D$36&lt;=Timeline!L5,Headcount!$C$36*Headcount!$E$36/12*(1+burden)*(1+salary_infl)^MAX(0,2027-2027),0)</f>
        <v/>
      </c>
      <c r="M87" s="4">
        <f>IF(Headcount!$D$36&lt;=Timeline!M5,Headcount!$C$36*Headcount!$E$36/12*(1+burden)*(1+salary_infl)^MAX(0,2027-2027),0)</f>
        <v/>
      </c>
      <c r="N87" s="4">
        <f>IF(Headcount!$D$36&lt;=Timeline!N5,Headcount!$C$36*Headcount!$E$36/12*(1+burden)*(1+salary_infl)^MAX(0,2027-2027),0)</f>
        <v/>
      </c>
      <c r="O87" s="4">
        <f>IF(Headcount!$D$36&lt;=Timeline!O5,Headcount!$C$36*Headcount!$E$36/12*(1+burden)*(1+salary_infl)^MAX(0,2027-2027),0)</f>
        <v/>
      </c>
      <c r="P87" s="4">
        <f>IF(Headcount!$D$36&lt;=Timeline!P5,Headcount!$C$36*Headcount!$E$36/12*(1+burden)*(1+salary_infl)^MAX(0,2027-2027),0)</f>
        <v/>
      </c>
      <c r="Q87" s="4">
        <f>IF(Headcount!$D$36&lt;=Timeline!Q5,Headcount!$C$36*Headcount!$E$36/12*(1+burden)*(1+salary_infl)^MAX(0,2028-2027),0)</f>
        <v/>
      </c>
      <c r="R87" s="4">
        <f>IF(Headcount!$D$36&lt;=Timeline!R5,Headcount!$C$36*Headcount!$E$36/12*(1+burden)*(1+salary_infl)^MAX(0,2028-2027),0)</f>
        <v/>
      </c>
      <c r="S87" s="4">
        <f>IF(Headcount!$D$36&lt;=Timeline!S5,Headcount!$C$36*Headcount!$E$36/12*(1+burden)*(1+salary_infl)^MAX(0,2028-2027),0)</f>
        <v/>
      </c>
      <c r="T87" s="4">
        <f>IF(Headcount!$D$36&lt;=Timeline!T5,Headcount!$C$36*Headcount!$E$36/12*(1+burden)*(1+salary_infl)^MAX(0,2028-2027),0)</f>
        <v/>
      </c>
      <c r="U87" s="4">
        <f>IF(Headcount!$D$36&lt;=Timeline!U5,Headcount!$C$36*Headcount!$E$36/12*(1+burden)*(1+salary_infl)^MAX(0,2028-2027),0)</f>
        <v/>
      </c>
      <c r="V87" s="4">
        <f>IF(Headcount!$D$36&lt;=Timeline!V5,Headcount!$C$36*Headcount!$E$36/12*(1+burden)*(1+salary_infl)^MAX(0,2028-2027),0)</f>
        <v/>
      </c>
      <c r="W87" s="4">
        <f>IF(Headcount!$D$36&lt;=Timeline!W5,Headcount!$C$36*Headcount!$E$36/12*(1+burden)*(1+salary_infl)^MAX(0,2028-2027),0)</f>
        <v/>
      </c>
      <c r="X87" s="4">
        <f>IF(Headcount!$D$36&lt;=Timeline!X5,Headcount!$C$36*Headcount!$E$36/12*(1+burden)*(1+salary_infl)^MAX(0,2028-2027),0)</f>
        <v/>
      </c>
      <c r="Y87" s="4">
        <f>IF(Headcount!$D$36&lt;=Timeline!Y5,Headcount!$C$36*Headcount!$E$36/12*(1+burden)*(1+salary_infl)^MAX(0,2028-2027),0)</f>
        <v/>
      </c>
      <c r="Z87" s="4">
        <f>IF(Headcount!$D$36&lt;=Timeline!Z5,Headcount!$C$36*Headcount!$E$36/12*(1+burden)*(1+salary_infl)^MAX(0,2028-2027),0)</f>
        <v/>
      </c>
      <c r="AA87" s="4">
        <f>IF(Headcount!$D$36&lt;=Timeline!AA5,Headcount!$C$36*Headcount!$E$36/12*(1+burden)*(1+salary_infl)^MAX(0,2028-2027),0)</f>
        <v/>
      </c>
      <c r="AB87" s="4">
        <f>IF(Headcount!$D$36&lt;=Timeline!AB5,Headcount!$C$36*Headcount!$E$36/12*(1+burden)*(1+salary_infl)^MAX(0,2028-2027),0)</f>
        <v/>
      </c>
      <c r="AC87" s="4">
        <f>Headcount!$C$36*Headcount!$E$36*(1+burden)*(1+salary_infl)^MAX(0,2029-2027)*MAX(0,MIN(12,(2029-YEAR(Headcount!$D$36))*12+13-MONTH(Headcount!$D$36)))/12</f>
        <v/>
      </c>
      <c r="AD87" s="4">
        <f>Headcount!$C$36*Headcount!$E$36*(1+burden)*(1+salary_infl)^MAX(0,2030-2027)*MAX(0,MIN(12,(2030-YEAR(Headcount!$D$36))*12+13-MONTH(Headcount!$D$36)))/12</f>
        <v/>
      </c>
      <c r="AE87" s="4">
        <f>Headcount!$C$36*Headcount!$E$36*(1+burden)*(1+salary_infl)^MAX(0,2031-2027)*MAX(0,MIN(12,(2031-YEAR(Headcount!$D$36))*12+13-MONTH(Headcount!$D$36)))/12</f>
        <v/>
      </c>
      <c r="AG87" s="4">
        <f>SUMIF($C$3:$AE$3,AG$3,$C87:$AE87)</f>
        <v/>
      </c>
      <c r="AH87" s="4">
        <f>SUMIF($C$3:$AE$3,AH$3,$C87:$AE87)</f>
        <v/>
      </c>
      <c r="AI87" s="4">
        <f>SUMIF($C$3:$AE$3,AI$3,$C87:$AE87)</f>
        <v/>
      </c>
      <c r="AJ87" s="4">
        <f>SUMIF($C$3:$AE$3,AJ$3,$C87:$AE87)</f>
        <v/>
      </c>
      <c r="AK87" s="4">
        <f>SUMIF($C$3:$AE$3,AK$3,$C87:$AE87)</f>
        <v/>
      </c>
      <c r="AL87" s="4">
        <f>SUMIF($C$3:$AE$3,AL$3,$C87:$AE87)</f>
        <v/>
      </c>
    </row>
    <row r="88">
      <c r="A88">
        <f>Headcount!A37</f>
        <v/>
      </c>
      <c r="B88" s="2">
        <f>Headcount!B37</f>
        <v/>
      </c>
      <c r="C88" s="4">
        <f>IF(Headcount!$D$37&lt;=Timeline!C5,Headcount!$C$37*Headcount!$E$37/12*(1+burden)*(1+salary_infl)^MAX(0,2026-2027),0)</f>
        <v/>
      </c>
      <c r="D88" s="4">
        <f>IF(Headcount!$D$37&lt;=Timeline!D5,Headcount!$C$37*Headcount!$E$37/12*(1+burden)*(1+salary_infl)^MAX(0,2026-2027),0)</f>
        <v/>
      </c>
      <c r="E88" s="4">
        <f>IF(Headcount!$D$37&lt;=Timeline!E5,Headcount!$C$37*Headcount!$E$37/12*(1+burden)*(1+salary_infl)^MAX(0,2027-2027),0)</f>
        <v/>
      </c>
      <c r="F88" s="4">
        <f>IF(Headcount!$D$37&lt;=Timeline!F5,Headcount!$C$37*Headcount!$E$37/12*(1+burden)*(1+salary_infl)^MAX(0,2027-2027),0)</f>
        <v/>
      </c>
      <c r="G88" s="4">
        <f>IF(Headcount!$D$37&lt;=Timeline!G5,Headcount!$C$37*Headcount!$E$37/12*(1+burden)*(1+salary_infl)^MAX(0,2027-2027),0)</f>
        <v/>
      </c>
      <c r="H88" s="4">
        <f>IF(Headcount!$D$37&lt;=Timeline!H5,Headcount!$C$37*Headcount!$E$37/12*(1+burden)*(1+salary_infl)^MAX(0,2027-2027),0)</f>
        <v/>
      </c>
      <c r="I88" s="4">
        <f>IF(Headcount!$D$37&lt;=Timeline!I5,Headcount!$C$37*Headcount!$E$37/12*(1+burden)*(1+salary_infl)^MAX(0,2027-2027),0)</f>
        <v/>
      </c>
      <c r="J88" s="4">
        <f>IF(Headcount!$D$37&lt;=Timeline!J5,Headcount!$C$37*Headcount!$E$37/12*(1+burden)*(1+salary_infl)^MAX(0,2027-2027),0)</f>
        <v/>
      </c>
      <c r="K88" s="4">
        <f>IF(Headcount!$D$37&lt;=Timeline!K5,Headcount!$C$37*Headcount!$E$37/12*(1+burden)*(1+salary_infl)^MAX(0,2027-2027),0)</f>
        <v/>
      </c>
      <c r="L88" s="4">
        <f>IF(Headcount!$D$37&lt;=Timeline!L5,Headcount!$C$37*Headcount!$E$37/12*(1+burden)*(1+salary_infl)^MAX(0,2027-2027),0)</f>
        <v/>
      </c>
      <c r="M88" s="4">
        <f>IF(Headcount!$D$37&lt;=Timeline!M5,Headcount!$C$37*Headcount!$E$37/12*(1+burden)*(1+salary_infl)^MAX(0,2027-2027),0)</f>
        <v/>
      </c>
      <c r="N88" s="4">
        <f>IF(Headcount!$D$37&lt;=Timeline!N5,Headcount!$C$37*Headcount!$E$37/12*(1+burden)*(1+salary_infl)^MAX(0,2027-2027),0)</f>
        <v/>
      </c>
      <c r="O88" s="4">
        <f>IF(Headcount!$D$37&lt;=Timeline!O5,Headcount!$C$37*Headcount!$E$37/12*(1+burden)*(1+salary_infl)^MAX(0,2027-2027),0)</f>
        <v/>
      </c>
      <c r="P88" s="4">
        <f>IF(Headcount!$D$37&lt;=Timeline!P5,Headcount!$C$37*Headcount!$E$37/12*(1+burden)*(1+salary_infl)^MAX(0,2027-2027),0)</f>
        <v/>
      </c>
      <c r="Q88" s="4">
        <f>IF(Headcount!$D$37&lt;=Timeline!Q5,Headcount!$C$37*Headcount!$E$37/12*(1+burden)*(1+salary_infl)^MAX(0,2028-2027),0)</f>
        <v/>
      </c>
      <c r="R88" s="4">
        <f>IF(Headcount!$D$37&lt;=Timeline!R5,Headcount!$C$37*Headcount!$E$37/12*(1+burden)*(1+salary_infl)^MAX(0,2028-2027),0)</f>
        <v/>
      </c>
      <c r="S88" s="4">
        <f>IF(Headcount!$D$37&lt;=Timeline!S5,Headcount!$C$37*Headcount!$E$37/12*(1+burden)*(1+salary_infl)^MAX(0,2028-2027),0)</f>
        <v/>
      </c>
      <c r="T88" s="4">
        <f>IF(Headcount!$D$37&lt;=Timeline!T5,Headcount!$C$37*Headcount!$E$37/12*(1+burden)*(1+salary_infl)^MAX(0,2028-2027),0)</f>
        <v/>
      </c>
      <c r="U88" s="4">
        <f>IF(Headcount!$D$37&lt;=Timeline!U5,Headcount!$C$37*Headcount!$E$37/12*(1+burden)*(1+salary_infl)^MAX(0,2028-2027),0)</f>
        <v/>
      </c>
      <c r="V88" s="4">
        <f>IF(Headcount!$D$37&lt;=Timeline!V5,Headcount!$C$37*Headcount!$E$37/12*(1+burden)*(1+salary_infl)^MAX(0,2028-2027),0)</f>
        <v/>
      </c>
      <c r="W88" s="4">
        <f>IF(Headcount!$D$37&lt;=Timeline!W5,Headcount!$C$37*Headcount!$E$37/12*(1+burden)*(1+salary_infl)^MAX(0,2028-2027),0)</f>
        <v/>
      </c>
      <c r="X88" s="4">
        <f>IF(Headcount!$D$37&lt;=Timeline!X5,Headcount!$C$37*Headcount!$E$37/12*(1+burden)*(1+salary_infl)^MAX(0,2028-2027),0)</f>
        <v/>
      </c>
      <c r="Y88" s="4">
        <f>IF(Headcount!$D$37&lt;=Timeline!Y5,Headcount!$C$37*Headcount!$E$37/12*(1+burden)*(1+salary_infl)^MAX(0,2028-2027),0)</f>
        <v/>
      </c>
      <c r="Z88" s="4">
        <f>IF(Headcount!$D$37&lt;=Timeline!Z5,Headcount!$C$37*Headcount!$E$37/12*(1+burden)*(1+salary_infl)^MAX(0,2028-2027),0)</f>
        <v/>
      </c>
      <c r="AA88" s="4">
        <f>IF(Headcount!$D$37&lt;=Timeline!AA5,Headcount!$C$37*Headcount!$E$37/12*(1+burden)*(1+salary_infl)^MAX(0,2028-2027),0)</f>
        <v/>
      </c>
      <c r="AB88" s="4">
        <f>IF(Headcount!$D$37&lt;=Timeline!AB5,Headcount!$C$37*Headcount!$E$37/12*(1+burden)*(1+salary_infl)^MAX(0,2028-2027),0)</f>
        <v/>
      </c>
      <c r="AC88" s="4">
        <f>Headcount!$C$37*Headcount!$E$37*(1+burden)*(1+salary_infl)^MAX(0,2029-2027)*MAX(0,MIN(12,(2029-YEAR(Headcount!$D$37))*12+13-MONTH(Headcount!$D$37)))/12</f>
        <v/>
      </c>
      <c r="AD88" s="4">
        <f>Headcount!$C$37*Headcount!$E$37*(1+burden)*(1+salary_infl)^MAX(0,2030-2027)*MAX(0,MIN(12,(2030-YEAR(Headcount!$D$37))*12+13-MONTH(Headcount!$D$37)))/12</f>
        <v/>
      </c>
      <c r="AE88" s="4">
        <f>Headcount!$C$37*Headcount!$E$37*(1+burden)*(1+salary_infl)^MAX(0,2031-2027)*MAX(0,MIN(12,(2031-YEAR(Headcount!$D$37))*12+13-MONTH(Headcount!$D$37)))/12</f>
        <v/>
      </c>
      <c r="AG88" s="4">
        <f>SUMIF($C$3:$AE$3,AG$3,$C88:$AE88)</f>
        <v/>
      </c>
      <c r="AH88" s="4">
        <f>SUMIF($C$3:$AE$3,AH$3,$C88:$AE88)</f>
        <v/>
      </c>
      <c r="AI88" s="4">
        <f>SUMIF($C$3:$AE$3,AI$3,$C88:$AE88)</f>
        <v/>
      </c>
      <c r="AJ88" s="4">
        <f>SUMIF($C$3:$AE$3,AJ$3,$C88:$AE88)</f>
        <v/>
      </c>
      <c r="AK88" s="4">
        <f>SUMIF($C$3:$AE$3,AK$3,$C88:$AE88)</f>
        <v/>
      </c>
      <c r="AL88" s="4">
        <f>SUMIF($C$3:$AE$3,AL$3,$C88:$AE88)</f>
        <v/>
      </c>
    </row>
    <row r="89">
      <c r="A89">
        <f>Headcount!A38</f>
        <v/>
      </c>
      <c r="B89" s="2">
        <f>Headcount!B38</f>
        <v/>
      </c>
      <c r="C89" s="4">
        <f>IF(Headcount!$D$38&lt;=Timeline!C5,Headcount!$C$38*Headcount!$E$38/12*(1+burden)*(1+salary_infl)^MAX(0,2026-2027),0)</f>
        <v/>
      </c>
      <c r="D89" s="4">
        <f>IF(Headcount!$D$38&lt;=Timeline!D5,Headcount!$C$38*Headcount!$E$38/12*(1+burden)*(1+salary_infl)^MAX(0,2026-2027),0)</f>
        <v/>
      </c>
      <c r="E89" s="4">
        <f>IF(Headcount!$D$38&lt;=Timeline!E5,Headcount!$C$38*Headcount!$E$38/12*(1+burden)*(1+salary_infl)^MAX(0,2027-2027),0)</f>
        <v/>
      </c>
      <c r="F89" s="4">
        <f>IF(Headcount!$D$38&lt;=Timeline!F5,Headcount!$C$38*Headcount!$E$38/12*(1+burden)*(1+salary_infl)^MAX(0,2027-2027),0)</f>
        <v/>
      </c>
      <c r="G89" s="4">
        <f>IF(Headcount!$D$38&lt;=Timeline!G5,Headcount!$C$38*Headcount!$E$38/12*(1+burden)*(1+salary_infl)^MAX(0,2027-2027),0)</f>
        <v/>
      </c>
      <c r="H89" s="4">
        <f>IF(Headcount!$D$38&lt;=Timeline!H5,Headcount!$C$38*Headcount!$E$38/12*(1+burden)*(1+salary_infl)^MAX(0,2027-2027),0)</f>
        <v/>
      </c>
      <c r="I89" s="4">
        <f>IF(Headcount!$D$38&lt;=Timeline!I5,Headcount!$C$38*Headcount!$E$38/12*(1+burden)*(1+salary_infl)^MAX(0,2027-2027),0)</f>
        <v/>
      </c>
      <c r="J89" s="4">
        <f>IF(Headcount!$D$38&lt;=Timeline!J5,Headcount!$C$38*Headcount!$E$38/12*(1+burden)*(1+salary_infl)^MAX(0,2027-2027),0)</f>
        <v/>
      </c>
      <c r="K89" s="4">
        <f>IF(Headcount!$D$38&lt;=Timeline!K5,Headcount!$C$38*Headcount!$E$38/12*(1+burden)*(1+salary_infl)^MAX(0,2027-2027),0)</f>
        <v/>
      </c>
      <c r="L89" s="4">
        <f>IF(Headcount!$D$38&lt;=Timeline!L5,Headcount!$C$38*Headcount!$E$38/12*(1+burden)*(1+salary_infl)^MAX(0,2027-2027),0)</f>
        <v/>
      </c>
      <c r="M89" s="4">
        <f>IF(Headcount!$D$38&lt;=Timeline!M5,Headcount!$C$38*Headcount!$E$38/12*(1+burden)*(1+salary_infl)^MAX(0,2027-2027),0)</f>
        <v/>
      </c>
      <c r="N89" s="4">
        <f>IF(Headcount!$D$38&lt;=Timeline!N5,Headcount!$C$38*Headcount!$E$38/12*(1+burden)*(1+salary_infl)^MAX(0,2027-2027),0)</f>
        <v/>
      </c>
      <c r="O89" s="4">
        <f>IF(Headcount!$D$38&lt;=Timeline!O5,Headcount!$C$38*Headcount!$E$38/12*(1+burden)*(1+salary_infl)^MAX(0,2027-2027),0)</f>
        <v/>
      </c>
      <c r="P89" s="4">
        <f>IF(Headcount!$D$38&lt;=Timeline!P5,Headcount!$C$38*Headcount!$E$38/12*(1+burden)*(1+salary_infl)^MAX(0,2027-2027),0)</f>
        <v/>
      </c>
      <c r="Q89" s="4">
        <f>IF(Headcount!$D$38&lt;=Timeline!Q5,Headcount!$C$38*Headcount!$E$38/12*(1+burden)*(1+salary_infl)^MAX(0,2028-2027),0)</f>
        <v/>
      </c>
      <c r="R89" s="4">
        <f>IF(Headcount!$D$38&lt;=Timeline!R5,Headcount!$C$38*Headcount!$E$38/12*(1+burden)*(1+salary_infl)^MAX(0,2028-2027),0)</f>
        <v/>
      </c>
      <c r="S89" s="4">
        <f>IF(Headcount!$D$38&lt;=Timeline!S5,Headcount!$C$38*Headcount!$E$38/12*(1+burden)*(1+salary_infl)^MAX(0,2028-2027),0)</f>
        <v/>
      </c>
      <c r="T89" s="4">
        <f>IF(Headcount!$D$38&lt;=Timeline!T5,Headcount!$C$38*Headcount!$E$38/12*(1+burden)*(1+salary_infl)^MAX(0,2028-2027),0)</f>
        <v/>
      </c>
      <c r="U89" s="4">
        <f>IF(Headcount!$D$38&lt;=Timeline!U5,Headcount!$C$38*Headcount!$E$38/12*(1+burden)*(1+salary_infl)^MAX(0,2028-2027),0)</f>
        <v/>
      </c>
      <c r="V89" s="4">
        <f>IF(Headcount!$D$38&lt;=Timeline!V5,Headcount!$C$38*Headcount!$E$38/12*(1+burden)*(1+salary_infl)^MAX(0,2028-2027),0)</f>
        <v/>
      </c>
      <c r="W89" s="4">
        <f>IF(Headcount!$D$38&lt;=Timeline!W5,Headcount!$C$38*Headcount!$E$38/12*(1+burden)*(1+salary_infl)^MAX(0,2028-2027),0)</f>
        <v/>
      </c>
      <c r="X89" s="4">
        <f>IF(Headcount!$D$38&lt;=Timeline!X5,Headcount!$C$38*Headcount!$E$38/12*(1+burden)*(1+salary_infl)^MAX(0,2028-2027),0)</f>
        <v/>
      </c>
      <c r="Y89" s="4">
        <f>IF(Headcount!$D$38&lt;=Timeline!Y5,Headcount!$C$38*Headcount!$E$38/12*(1+burden)*(1+salary_infl)^MAX(0,2028-2027),0)</f>
        <v/>
      </c>
      <c r="Z89" s="4">
        <f>IF(Headcount!$D$38&lt;=Timeline!Z5,Headcount!$C$38*Headcount!$E$38/12*(1+burden)*(1+salary_infl)^MAX(0,2028-2027),0)</f>
        <v/>
      </c>
      <c r="AA89" s="4">
        <f>IF(Headcount!$D$38&lt;=Timeline!AA5,Headcount!$C$38*Headcount!$E$38/12*(1+burden)*(1+salary_infl)^MAX(0,2028-2027),0)</f>
        <v/>
      </c>
      <c r="AB89" s="4">
        <f>IF(Headcount!$D$38&lt;=Timeline!AB5,Headcount!$C$38*Headcount!$E$38/12*(1+burden)*(1+salary_infl)^MAX(0,2028-2027),0)</f>
        <v/>
      </c>
      <c r="AC89" s="4">
        <f>Headcount!$C$38*Headcount!$E$38*(1+burden)*(1+salary_infl)^MAX(0,2029-2027)*MAX(0,MIN(12,(2029-YEAR(Headcount!$D$38))*12+13-MONTH(Headcount!$D$38)))/12</f>
        <v/>
      </c>
      <c r="AD89" s="4">
        <f>Headcount!$C$38*Headcount!$E$38*(1+burden)*(1+salary_infl)^MAX(0,2030-2027)*MAX(0,MIN(12,(2030-YEAR(Headcount!$D$38))*12+13-MONTH(Headcount!$D$38)))/12</f>
        <v/>
      </c>
      <c r="AE89" s="4">
        <f>Headcount!$C$38*Headcount!$E$38*(1+burden)*(1+salary_infl)^MAX(0,2031-2027)*MAX(0,MIN(12,(2031-YEAR(Headcount!$D$38))*12+13-MONTH(Headcount!$D$38)))/12</f>
        <v/>
      </c>
      <c r="AG89" s="4">
        <f>SUMIF($C$3:$AE$3,AG$3,$C89:$AE89)</f>
        <v/>
      </c>
      <c r="AH89" s="4">
        <f>SUMIF($C$3:$AE$3,AH$3,$C89:$AE89)</f>
        <v/>
      </c>
      <c r="AI89" s="4">
        <f>SUMIF($C$3:$AE$3,AI$3,$C89:$AE89)</f>
        <v/>
      </c>
      <c r="AJ89" s="4">
        <f>SUMIF($C$3:$AE$3,AJ$3,$C89:$AE89)</f>
        <v/>
      </c>
      <c r="AK89" s="4">
        <f>SUMIF($C$3:$AE$3,AK$3,$C89:$AE89)</f>
        <v/>
      </c>
      <c r="AL89" s="4">
        <f>SUMIF($C$3:$AE$3,AL$3,$C89:$AE89)</f>
        <v/>
      </c>
    </row>
    <row r="90">
      <c r="A90">
        <f>Headcount!A39</f>
        <v/>
      </c>
      <c r="B90" s="2">
        <f>Headcount!B39</f>
        <v/>
      </c>
      <c r="C90" s="4">
        <f>IF(Headcount!$D$39&lt;=Timeline!C5,Headcount!$C$39*Headcount!$E$39/12*(1+burden)*(1+salary_infl)^MAX(0,2026-2027),0)</f>
        <v/>
      </c>
      <c r="D90" s="4">
        <f>IF(Headcount!$D$39&lt;=Timeline!D5,Headcount!$C$39*Headcount!$E$39/12*(1+burden)*(1+salary_infl)^MAX(0,2026-2027),0)</f>
        <v/>
      </c>
      <c r="E90" s="4">
        <f>IF(Headcount!$D$39&lt;=Timeline!E5,Headcount!$C$39*Headcount!$E$39/12*(1+burden)*(1+salary_infl)^MAX(0,2027-2027),0)</f>
        <v/>
      </c>
      <c r="F90" s="4">
        <f>IF(Headcount!$D$39&lt;=Timeline!F5,Headcount!$C$39*Headcount!$E$39/12*(1+burden)*(1+salary_infl)^MAX(0,2027-2027),0)</f>
        <v/>
      </c>
      <c r="G90" s="4">
        <f>IF(Headcount!$D$39&lt;=Timeline!G5,Headcount!$C$39*Headcount!$E$39/12*(1+burden)*(1+salary_infl)^MAX(0,2027-2027),0)</f>
        <v/>
      </c>
      <c r="H90" s="4">
        <f>IF(Headcount!$D$39&lt;=Timeline!H5,Headcount!$C$39*Headcount!$E$39/12*(1+burden)*(1+salary_infl)^MAX(0,2027-2027),0)</f>
        <v/>
      </c>
      <c r="I90" s="4">
        <f>IF(Headcount!$D$39&lt;=Timeline!I5,Headcount!$C$39*Headcount!$E$39/12*(1+burden)*(1+salary_infl)^MAX(0,2027-2027),0)</f>
        <v/>
      </c>
      <c r="J90" s="4">
        <f>IF(Headcount!$D$39&lt;=Timeline!J5,Headcount!$C$39*Headcount!$E$39/12*(1+burden)*(1+salary_infl)^MAX(0,2027-2027),0)</f>
        <v/>
      </c>
      <c r="K90" s="4">
        <f>IF(Headcount!$D$39&lt;=Timeline!K5,Headcount!$C$39*Headcount!$E$39/12*(1+burden)*(1+salary_infl)^MAX(0,2027-2027),0)</f>
        <v/>
      </c>
      <c r="L90" s="4">
        <f>IF(Headcount!$D$39&lt;=Timeline!L5,Headcount!$C$39*Headcount!$E$39/12*(1+burden)*(1+salary_infl)^MAX(0,2027-2027),0)</f>
        <v/>
      </c>
      <c r="M90" s="4">
        <f>IF(Headcount!$D$39&lt;=Timeline!M5,Headcount!$C$39*Headcount!$E$39/12*(1+burden)*(1+salary_infl)^MAX(0,2027-2027),0)</f>
        <v/>
      </c>
      <c r="N90" s="4">
        <f>IF(Headcount!$D$39&lt;=Timeline!N5,Headcount!$C$39*Headcount!$E$39/12*(1+burden)*(1+salary_infl)^MAX(0,2027-2027),0)</f>
        <v/>
      </c>
      <c r="O90" s="4">
        <f>IF(Headcount!$D$39&lt;=Timeline!O5,Headcount!$C$39*Headcount!$E$39/12*(1+burden)*(1+salary_infl)^MAX(0,2027-2027),0)</f>
        <v/>
      </c>
      <c r="P90" s="4">
        <f>IF(Headcount!$D$39&lt;=Timeline!P5,Headcount!$C$39*Headcount!$E$39/12*(1+burden)*(1+salary_infl)^MAX(0,2027-2027),0)</f>
        <v/>
      </c>
      <c r="Q90" s="4">
        <f>IF(Headcount!$D$39&lt;=Timeline!Q5,Headcount!$C$39*Headcount!$E$39/12*(1+burden)*(1+salary_infl)^MAX(0,2028-2027),0)</f>
        <v/>
      </c>
      <c r="R90" s="4">
        <f>IF(Headcount!$D$39&lt;=Timeline!R5,Headcount!$C$39*Headcount!$E$39/12*(1+burden)*(1+salary_infl)^MAX(0,2028-2027),0)</f>
        <v/>
      </c>
      <c r="S90" s="4">
        <f>IF(Headcount!$D$39&lt;=Timeline!S5,Headcount!$C$39*Headcount!$E$39/12*(1+burden)*(1+salary_infl)^MAX(0,2028-2027),0)</f>
        <v/>
      </c>
      <c r="T90" s="4">
        <f>IF(Headcount!$D$39&lt;=Timeline!T5,Headcount!$C$39*Headcount!$E$39/12*(1+burden)*(1+salary_infl)^MAX(0,2028-2027),0)</f>
        <v/>
      </c>
      <c r="U90" s="4">
        <f>IF(Headcount!$D$39&lt;=Timeline!U5,Headcount!$C$39*Headcount!$E$39/12*(1+burden)*(1+salary_infl)^MAX(0,2028-2027),0)</f>
        <v/>
      </c>
      <c r="V90" s="4">
        <f>IF(Headcount!$D$39&lt;=Timeline!V5,Headcount!$C$39*Headcount!$E$39/12*(1+burden)*(1+salary_infl)^MAX(0,2028-2027),0)</f>
        <v/>
      </c>
      <c r="W90" s="4">
        <f>IF(Headcount!$D$39&lt;=Timeline!W5,Headcount!$C$39*Headcount!$E$39/12*(1+burden)*(1+salary_infl)^MAX(0,2028-2027),0)</f>
        <v/>
      </c>
      <c r="X90" s="4">
        <f>IF(Headcount!$D$39&lt;=Timeline!X5,Headcount!$C$39*Headcount!$E$39/12*(1+burden)*(1+salary_infl)^MAX(0,2028-2027),0)</f>
        <v/>
      </c>
      <c r="Y90" s="4">
        <f>IF(Headcount!$D$39&lt;=Timeline!Y5,Headcount!$C$39*Headcount!$E$39/12*(1+burden)*(1+salary_infl)^MAX(0,2028-2027),0)</f>
        <v/>
      </c>
      <c r="Z90" s="4">
        <f>IF(Headcount!$D$39&lt;=Timeline!Z5,Headcount!$C$39*Headcount!$E$39/12*(1+burden)*(1+salary_infl)^MAX(0,2028-2027),0)</f>
        <v/>
      </c>
      <c r="AA90" s="4">
        <f>IF(Headcount!$D$39&lt;=Timeline!AA5,Headcount!$C$39*Headcount!$E$39/12*(1+burden)*(1+salary_infl)^MAX(0,2028-2027),0)</f>
        <v/>
      </c>
      <c r="AB90" s="4">
        <f>IF(Headcount!$D$39&lt;=Timeline!AB5,Headcount!$C$39*Headcount!$E$39/12*(1+burden)*(1+salary_infl)^MAX(0,2028-2027),0)</f>
        <v/>
      </c>
      <c r="AC90" s="4">
        <f>Headcount!$C$39*Headcount!$E$39*(1+burden)*(1+salary_infl)^MAX(0,2029-2027)*MAX(0,MIN(12,(2029-YEAR(Headcount!$D$39))*12+13-MONTH(Headcount!$D$39)))/12</f>
        <v/>
      </c>
      <c r="AD90" s="4">
        <f>Headcount!$C$39*Headcount!$E$39*(1+burden)*(1+salary_infl)^MAX(0,2030-2027)*MAX(0,MIN(12,(2030-YEAR(Headcount!$D$39))*12+13-MONTH(Headcount!$D$39)))/12</f>
        <v/>
      </c>
      <c r="AE90" s="4">
        <f>Headcount!$C$39*Headcount!$E$39*(1+burden)*(1+salary_infl)^MAX(0,2031-2027)*MAX(0,MIN(12,(2031-YEAR(Headcount!$D$39))*12+13-MONTH(Headcount!$D$39)))/12</f>
        <v/>
      </c>
      <c r="AG90" s="4">
        <f>SUMIF($C$3:$AE$3,AG$3,$C90:$AE90)</f>
        <v/>
      </c>
      <c r="AH90" s="4">
        <f>SUMIF($C$3:$AE$3,AH$3,$C90:$AE90)</f>
        <v/>
      </c>
      <c r="AI90" s="4">
        <f>SUMIF($C$3:$AE$3,AI$3,$C90:$AE90)</f>
        <v/>
      </c>
      <c r="AJ90" s="4">
        <f>SUMIF($C$3:$AE$3,AJ$3,$C90:$AE90)</f>
        <v/>
      </c>
      <c r="AK90" s="4">
        <f>SUMIF($C$3:$AE$3,AK$3,$C90:$AE90)</f>
        <v/>
      </c>
      <c r="AL90" s="4">
        <f>SUMIF($C$3:$AE$3,AL$3,$C90:$AE90)</f>
        <v/>
      </c>
    </row>
    <row r="91">
      <c r="A91">
        <f>Headcount!A40</f>
        <v/>
      </c>
      <c r="B91" s="2">
        <f>Headcount!B40</f>
        <v/>
      </c>
      <c r="C91" s="4">
        <f>IF(Headcount!$D$40&lt;=Timeline!C5,Headcount!$C$40*Headcount!$E$40/12*(1+burden)*(1+salary_infl)^MAX(0,2026-2027),0)</f>
        <v/>
      </c>
      <c r="D91" s="4">
        <f>IF(Headcount!$D$40&lt;=Timeline!D5,Headcount!$C$40*Headcount!$E$40/12*(1+burden)*(1+salary_infl)^MAX(0,2026-2027),0)</f>
        <v/>
      </c>
      <c r="E91" s="4">
        <f>IF(Headcount!$D$40&lt;=Timeline!E5,Headcount!$C$40*Headcount!$E$40/12*(1+burden)*(1+salary_infl)^MAX(0,2027-2027),0)</f>
        <v/>
      </c>
      <c r="F91" s="4">
        <f>IF(Headcount!$D$40&lt;=Timeline!F5,Headcount!$C$40*Headcount!$E$40/12*(1+burden)*(1+salary_infl)^MAX(0,2027-2027),0)</f>
        <v/>
      </c>
      <c r="G91" s="4">
        <f>IF(Headcount!$D$40&lt;=Timeline!G5,Headcount!$C$40*Headcount!$E$40/12*(1+burden)*(1+salary_infl)^MAX(0,2027-2027),0)</f>
        <v/>
      </c>
      <c r="H91" s="4">
        <f>IF(Headcount!$D$40&lt;=Timeline!H5,Headcount!$C$40*Headcount!$E$40/12*(1+burden)*(1+salary_infl)^MAX(0,2027-2027),0)</f>
        <v/>
      </c>
      <c r="I91" s="4">
        <f>IF(Headcount!$D$40&lt;=Timeline!I5,Headcount!$C$40*Headcount!$E$40/12*(1+burden)*(1+salary_infl)^MAX(0,2027-2027),0)</f>
        <v/>
      </c>
      <c r="J91" s="4">
        <f>IF(Headcount!$D$40&lt;=Timeline!J5,Headcount!$C$40*Headcount!$E$40/12*(1+burden)*(1+salary_infl)^MAX(0,2027-2027),0)</f>
        <v/>
      </c>
      <c r="K91" s="4">
        <f>IF(Headcount!$D$40&lt;=Timeline!K5,Headcount!$C$40*Headcount!$E$40/12*(1+burden)*(1+salary_infl)^MAX(0,2027-2027),0)</f>
        <v/>
      </c>
      <c r="L91" s="4">
        <f>IF(Headcount!$D$40&lt;=Timeline!L5,Headcount!$C$40*Headcount!$E$40/12*(1+burden)*(1+salary_infl)^MAX(0,2027-2027),0)</f>
        <v/>
      </c>
      <c r="M91" s="4">
        <f>IF(Headcount!$D$40&lt;=Timeline!M5,Headcount!$C$40*Headcount!$E$40/12*(1+burden)*(1+salary_infl)^MAX(0,2027-2027),0)</f>
        <v/>
      </c>
      <c r="N91" s="4">
        <f>IF(Headcount!$D$40&lt;=Timeline!N5,Headcount!$C$40*Headcount!$E$40/12*(1+burden)*(1+salary_infl)^MAX(0,2027-2027),0)</f>
        <v/>
      </c>
      <c r="O91" s="4">
        <f>IF(Headcount!$D$40&lt;=Timeline!O5,Headcount!$C$40*Headcount!$E$40/12*(1+burden)*(1+salary_infl)^MAX(0,2027-2027),0)</f>
        <v/>
      </c>
      <c r="P91" s="4">
        <f>IF(Headcount!$D$40&lt;=Timeline!P5,Headcount!$C$40*Headcount!$E$40/12*(1+burden)*(1+salary_infl)^MAX(0,2027-2027),0)</f>
        <v/>
      </c>
      <c r="Q91" s="4">
        <f>IF(Headcount!$D$40&lt;=Timeline!Q5,Headcount!$C$40*Headcount!$E$40/12*(1+burden)*(1+salary_infl)^MAX(0,2028-2027),0)</f>
        <v/>
      </c>
      <c r="R91" s="4">
        <f>IF(Headcount!$D$40&lt;=Timeline!R5,Headcount!$C$40*Headcount!$E$40/12*(1+burden)*(1+salary_infl)^MAX(0,2028-2027),0)</f>
        <v/>
      </c>
      <c r="S91" s="4">
        <f>IF(Headcount!$D$40&lt;=Timeline!S5,Headcount!$C$40*Headcount!$E$40/12*(1+burden)*(1+salary_infl)^MAX(0,2028-2027),0)</f>
        <v/>
      </c>
      <c r="T91" s="4">
        <f>IF(Headcount!$D$40&lt;=Timeline!T5,Headcount!$C$40*Headcount!$E$40/12*(1+burden)*(1+salary_infl)^MAX(0,2028-2027),0)</f>
        <v/>
      </c>
      <c r="U91" s="4">
        <f>IF(Headcount!$D$40&lt;=Timeline!U5,Headcount!$C$40*Headcount!$E$40/12*(1+burden)*(1+salary_infl)^MAX(0,2028-2027),0)</f>
        <v/>
      </c>
      <c r="V91" s="4">
        <f>IF(Headcount!$D$40&lt;=Timeline!V5,Headcount!$C$40*Headcount!$E$40/12*(1+burden)*(1+salary_infl)^MAX(0,2028-2027),0)</f>
        <v/>
      </c>
      <c r="W91" s="4">
        <f>IF(Headcount!$D$40&lt;=Timeline!W5,Headcount!$C$40*Headcount!$E$40/12*(1+burden)*(1+salary_infl)^MAX(0,2028-2027),0)</f>
        <v/>
      </c>
      <c r="X91" s="4">
        <f>IF(Headcount!$D$40&lt;=Timeline!X5,Headcount!$C$40*Headcount!$E$40/12*(1+burden)*(1+salary_infl)^MAX(0,2028-2027),0)</f>
        <v/>
      </c>
      <c r="Y91" s="4">
        <f>IF(Headcount!$D$40&lt;=Timeline!Y5,Headcount!$C$40*Headcount!$E$40/12*(1+burden)*(1+salary_infl)^MAX(0,2028-2027),0)</f>
        <v/>
      </c>
      <c r="Z91" s="4">
        <f>IF(Headcount!$D$40&lt;=Timeline!Z5,Headcount!$C$40*Headcount!$E$40/12*(1+burden)*(1+salary_infl)^MAX(0,2028-2027),0)</f>
        <v/>
      </c>
      <c r="AA91" s="4">
        <f>IF(Headcount!$D$40&lt;=Timeline!AA5,Headcount!$C$40*Headcount!$E$40/12*(1+burden)*(1+salary_infl)^MAX(0,2028-2027),0)</f>
        <v/>
      </c>
      <c r="AB91" s="4">
        <f>IF(Headcount!$D$40&lt;=Timeline!AB5,Headcount!$C$40*Headcount!$E$40/12*(1+burden)*(1+salary_infl)^MAX(0,2028-2027),0)</f>
        <v/>
      </c>
      <c r="AC91" s="4">
        <f>Headcount!$C$40*Headcount!$E$40*(1+burden)*(1+salary_infl)^MAX(0,2029-2027)*MAX(0,MIN(12,(2029-YEAR(Headcount!$D$40))*12+13-MONTH(Headcount!$D$40)))/12</f>
        <v/>
      </c>
      <c r="AD91" s="4">
        <f>Headcount!$C$40*Headcount!$E$40*(1+burden)*(1+salary_infl)^MAX(0,2030-2027)*MAX(0,MIN(12,(2030-YEAR(Headcount!$D$40))*12+13-MONTH(Headcount!$D$40)))/12</f>
        <v/>
      </c>
      <c r="AE91" s="4">
        <f>Headcount!$C$40*Headcount!$E$40*(1+burden)*(1+salary_infl)^MAX(0,2031-2027)*MAX(0,MIN(12,(2031-YEAR(Headcount!$D$40))*12+13-MONTH(Headcount!$D$40)))/12</f>
        <v/>
      </c>
      <c r="AG91" s="4">
        <f>SUMIF($C$3:$AE$3,AG$3,$C91:$AE91)</f>
        <v/>
      </c>
      <c r="AH91" s="4">
        <f>SUMIF($C$3:$AE$3,AH$3,$C91:$AE91)</f>
        <v/>
      </c>
      <c r="AI91" s="4">
        <f>SUMIF($C$3:$AE$3,AI$3,$C91:$AE91)</f>
        <v/>
      </c>
      <c r="AJ91" s="4">
        <f>SUMIF($C$3:$AE$3,AJ$3,$C91:$AE91)</f>
        <v/>
      </c>
      <c r="AK91" s="4">
        <f>SUMIF($C$3:$AE$3,AK$3,$C91:$AE91)</f>
        <v/>
      </c>
      <c r="AL91" s="4">
        <f>SUMIF($C$3:$AE$3,AL$3,$C91:$AE91)</f>
        <v/>
      </c>
    </row>
    <row r="92">
      <c r="A92">
        <f>Headcount!A41</f>
        <v/>
      </c>
      <c r="B92" s="2">
        <f>Headcount!B41</f>
        <v/>
      </c>
      <c r="C92" s="4">
        <f>IF(Headcount!$D$41&lt;=Timeline!C5,Headcount!$C$41*Headcount!$E$41/12*(1+burden)*(1+salary_infl)^MAX(0,2026-2027),0)</f>
        <v/>
      </c>
      <c r="D92" s="4">
        <f>IF(Headcount!$D$41&lt;=Timeline!D5,Headcount!$C$41*Headcount!$E$41/12*(1+burden)*(1+salary_infl)^MAX(0,2026-2027),0)</f>
        <v/>
      </c>
      <c r="E92" s="4">
        <f>IF(Headcount!$D$41&lt;=Timeline!E5,Headcount!$C$41*Headcount!$E$41/12*(1+burden)*(1+salary_infl)^MAX(0,2027-2027),0)</f>
        <v/>
      </c>
      <c r="F92" s="4">
        <f>IF(Headcount!$D$41&lt;=Timeline!F5,Headcount!$C$41*Headcount!$E$41/12*(1+burden)*(1+salary_infl)^MAX(0,2027-2027),0)</f>
        <v/>
      </c>
      <c r="G92" s="4">
        <f>IF(Headcount!$D$41&lt;=Timeline!G5,Headcount!$C$41*Headcount!$E$41/12*(1+burden)*(1+salary_infl)^MAX(0,2027-2027),0)</f>
        <v/>
      </c>
      <c r="H92" s="4">
        <f>IF(Headcount!$D$41&lt;=Timeline!H5,Headcount!$C$41*Headcount!$E$41/12*(1+burden)*(1+salary_infl)^MAX(0,2027-2027),0)</f>
        <v/>
      </c>
      <c r="I92" s="4">
        <f>IF(Headcount!$D$41&lt;=Timeline!I5,Headcount!$C$41*Headcount!$E$41/12*(1+burden)*(1+salary_infl)^MAX(0,2027-2027),0)</f>
        <v/>
      </c>
      <c r="J92" s="4">
        <f>IF(Headcount!$D$41&lt;=Timeline!J5,Headcount!$C$41*Headcount!$E$41/12*(1+burden)*(1+salary_infl)^MAX(0,2027-2027),0)</f>
        <v/>
      </c>
      <c r="K92" s="4">
        <f>IF(Headcount!$D$41&lt;=Timeline!K5,Headcount!$C$41*Headcount!$E$41/12*(1+burden)*(1+salary_infl)^MAX(0,2027-2027),0)</f>
        <v/>
      </c>
      <c r="L92" s="4">
        <f>IF(Headcount!$D$41&lt;=Timeline!L5,Headcount!$C$41*Headcount!$E$41/12*(1+burden)*(1+salary_infl)^MAX(0,2027-2027),0)</f>
        <v/>
      </c>
      <c r="M92" s="4">
        <f>IF(Headcount!$D$41&lt;=Timeline!M5,Headcount!$C$41*Headcount!$E$41/12*(1+burden)*(1+salary_infl)^MAX(0,2027-2027),0)</f>
        <v/>
      </c>
      <c r="N92" s="4">
        <f>IF(Headcount!$D$41&lt;=Timeline!N5,Headcount!$C$41*Headcount!$E$41/12*(1+burden)*(1+salary_infl)^MAX(0,2027-2027),0)</f>
        <v/>
      </c>
      <c r="O92" s="4">
        <f>IF(Headcount!$D$41&lt;=Timeline!O5,Headcount!$C$41*Headcount!$E$41/12*(1+burden)*(1+salary_infl)^MAX(0,2027-2027),0)</f>
        <v/>
      </c>
      <c r="P92" s="4">
        <f>IF(Headcount!$D$41&lt;=Timeline!P5,Headcount!$C$41*Headcount!$E$41/12*(1+burden)*(1+salary_infl)^MAX(0,2027-2027),0)</f>
        <v/>
      </c>
      <c r="Q92" s="4">
        <f>IF(Headcount!$D$41&lt;=Timeline!Q5,Headcount!$C$41*Headcount!$E$41/12*(1+burden)*(1+salary_infl)^MAX(0,2028-2027),0)</f>
        <v/>
      </c>
      <c r="R92" s="4">
        <f>IF(Headcount!$D$41&lt;=Timeline!R5,Headcount!$C$41*Headcount!$E$41/12*(1+burden)*(1+salary_infl)^MAX(0,2028-2027),0)</f>
        <v/>
      </c>
      <c r="S92" s="4">
        <f>IF(Headcount!$D$41&lt;=Timeline!S5,Headcount!$C$41*Headcount!$E$41/12*(1+burden)*(1+salary_infl)^MAX(0,2028-2027),0)</f>
        <v/>
      </c>
      <c r="T92" s="4">
        <f>IF(Headcount!$D$41&lt;=Timeline!T5,Headcount!$C$41*Headcount!$E$41/12*(1+burden)*(1+salary_infl)^MAX(0,2028-2027),0)</f>
        <v/>
      </c>
      <c r="U92" s="4">
        <f>IF(Headcount!$D$41&lt;=Timeline!U5,Headcount!$C$41*Headcount!$E$41/12*(1+burden)*(1+salary_infl)^MAX(0,2028-2027),0)</f>
        <v/>
      </c>
      <c r="V92" s="4">
        <f>IF(Headcount!$D$41&lt;=Timeline!V5,Headcount!$C$41*Headcount!$E$41/12*(1+burden)*(1+salary_infl)^MAX(0,2028-2027),0)</f>
        <v/>
      </c>
      <c r="W92" s="4">
        <f>IF(Headcount!$D$41&lt;=Timeline!W5,Headcount!$C$41*Headcount!$E$41/12*(1+burden)*(1+salary_infl)^MAX(0,2028-2027),0)</f>
        <v/>
      </c>
      <c r="X92" s="4">
        <f>IF(Headcount!$D$41&lt;=Timeline!X5,Headcount!$C$41*Headcount!$E$41/12*(1+burden)*(1+salary_infl)^MAX(0,2028-2027),0)</f>
        <v/>
      </c>
      <c r="Y92" s="4">
        <f>IF(Headcount!$D$41&lt;=Timeline!Y5,Headcount!$C$41*Headcount!$E$41/12*(1+burden)*(1+salary_infl)^MAX(0,2028-2027),0)</f>
        <v/>
      </c>
      <c r="Z92" s="4">
        <f>IF(Headcount!$D$41&lt;=Timeline!Z5,Headcount!$C$41*Headcount!$E$41/12*(1+burden)*(1+salary_infl)^MAX(0,2028-2027),0)</f>
        <v/>
      </c>
      <c r="AA92" s="4">
        <f>IF(Headcount!$D$41&lt;=Timeline!AA5,Headcount!$C$41*Headcount!$E$41/12*(1+burden)*(1+salary_infl)^MAX(0,2028-2027),0)</f>
        <v/>
      </c>
      <c r="AB92" s="4">
        <f>IF(Headcount!$D$41&lt;=Timeline!AB5,Headcount!$C$41*Headcount!$E$41/12*(1+burden)*(1+salary_infl)^MAX(0,2028-2027),0)</f>
        <v/>
      </c>
      <c r="AC92" s="4">
        <f>Headcount!$C$41*Headcount!$E$41*(1+burden)*(1+salary_infl)^MAX(0,2029-2027)*MAX(0,MIN(12,(2029-YEAR(Headcount!$D$41))*12+13-MONTH(Headcount!$D$41)))/12</f>
        <v/>
      </c>
      <c r="AD92" s="4">
        <f>Headcount!$C$41*Headcount!$E$41*(1+burden)*(1+salary_infl)^MAX(0,2030-2027)*MAX(0,MIN(12,(2030-YEAR(Headcount!$D$41))*12+13-MONTH(Headcount!$D$41)))/12</f>
        <v/>
      </c>
      <c r="AE92" s="4">
        <f>Headcount!$C$41*Headcount!$E$41*(1+burden)*(1+salary_infl)^MAX(0,2031-2027)*MAX(0,MIN(12,(2031-YEAR(Headcount!$D$41))*12+13-MONTH(Headcount!$D$41)))/12</f>
        <v/>
      </c>
      <c r="AG92" s="4">
        <f>SUMIF($C$3:$AE$3,AG$3,$C92:$AE92)</f>
        <v/>
      </c>
      <c r="AH92" s="4">
        <f>SUMIF($C$3:$AE$3,AH$3,$C92:$AE92)</f>
        <v/>
      </c>
      <c r="AI92" s="4">
        <f>SUMIF($C$3:$AE$3,AI$3,$C92:$AE92)</f>
        <v/>
      </c>
      <c r="AJ92" s="4">
        <f>SUMIF($C$3:$AE$3,AJ$3,$C92:$AE92)</f>
        <v/>
      </c>
      <c r="AK92" s="4">
        <f>SUMIF($C$3:$AE$3,AK$3,$C92:$AE92)</f>
        <v/>
      </c>
      <c r="AL92" s="4">
        <f>SUMIF($C$3:$AE$3,AL$3,$C92:$AE92)</f>
        <v/>
      </c>
    </row>
    <row r="93">
      <c r="A93">
        <f>Headcount!A42</f>
        <v/>
      </c>
      <c r="B93" s="2">
        <f>Headcount!B42</f>
        <v/>
      </c>
      <c r="C93" s="4">
        <f>IF(Headcount!$D$42&lt;=Timeline!C5,Headcount!$C$42*Headcount!$E$42/12*(1+burden)*(1+salary_infl)^MAX(0,2026-2027),0)</f>
        <v/>
      </c>
      <c r="D93" s="4">
        <f>IF(Headcount!$D$42&lt;=Timeline!D5,Headcount!$C$42*Headcount!$E$42/12*(1+burden)*(1+salary_infl)^MAX(0,2026-2027),0)</f>
        <v/>
      </c>
      <c r="E93" s="4">
        <f>IF(Headcount!$D$42&lt;=Timeline!E5,Headcount!$C$42*Headcount!$E$42/12*(1+burden)*(1+salary_infl)^MAX(0,2027-2027),0)</f>
        <v/>
      </c>
      <c r="F93" s="4">
        <f>IF(Headcount!$D$42&lt;=Timeline!F5,Headcount!$C$42*Headcount!$E$42/12*(1+burden)*(1+salary_infl)^MAX(0,2027-2027),0)</f>
        <v/>
      </c>
      <c r="G93" s="4">
        <f>IF(Headcount!$D$42&lt;=Timeline!G5,Headcount!$C$42*Headcount!$E$42/12*(1+burden)*(1+salary_infl)^MAX(0,2027-2027),0)</f>
        <v/>
      </c>
      <c r="H93" s="4">
        <f>IF(Headcount!$D$42&lt;=Timeline!H5,Headcount!$C$42*Headcount!$E$42/12*(1+burden)*(1+salary_infl)^MAX(0,2027-2027),0)</f>
        <v/>
      </c>
      <c r="I93" s="4">
        <f>IF(Headcount!$D$42&lt;=Timeline!I5,Headcount!$C$42*Headcount!$E$42/12*(1+burden)*(1+salary_infl)^MAX(0,2027-2027),0)</f>
        <v/>
      </c>
      <c r="J93" s="4">
        <f>IF(Headcount!$D$42&lt;=Timeline!J5,Headcount!$C$42*Headcount!$E$42/12*(1+burden)*(1+salary_infl)^MAX(0,2027-2027),0)</f>
        <v/>
      </c>
      <c r="K93" s="4">
        <f>IF(Headcount!$D$42&lt;=Timeline!K5,Headcount!$C$42*Headcount!$E$42/12*(1+burden)*(1+salary_infl)^MAX(0,2027-2027),0)</f>
        <v/>
      </c>
      <c r="L93" s="4">
        <f>IF(Headcount!$D$42&lt;=Timeline!L5,Headcount!$C$42*Headcount!$E$42/12*(1+burden)*(1+salary_infl)^MAX(0,2027-2027),0)</f>
        <v/>
      </c>
      <c r="M93" s="4">
        <f>IF(Headcount!$D$42&lt;=Timeline!M5,Headcount!$C$42*Headcount!$E$42/12*(1+burden)*(1+salary_infl)^MAX(0,2027-2027),0)</f>
        <v/>
      </c>
      <c r="N93" s="4">
        <f>IF(Headcount!$D$42&lt;=Timeline!N5,Headcount!$C$42*Headcount!$E$42/12*(1+burden)*(1+salary_infl)^MAX(0,2027-2027),0)</f>
        <v/>
      </c>
      <c r="O93" s="4">
        <f>IF(Headcount!$D$42&lt;=Timeline!O5,Headcount!$C$42*Headcount!$E$42/12*(1+burden)*(1+salary_infl)^MAX(0,2027-2027),0)</f>
        <v/>
      </c>
      <c r="P93" s="4">
        <f>IF(Headcount!$D$42&lt;=Timeline!P5,Headcount!$C$42*Headcount!$E$42/12*(1+burden)*(1+salary_infl)^MAX(0,2027-2027),0)</f>
        <v/>
      </c>
      <c r="Q93" s="4">
        <f>IF(Headcount!$D$42&lt;=Timeline!Q5,Headcount!$C$42*Headcount!$E$42/12*(1+burden)*(1+salary_infl)^MAX(0,2028-2027),0)</f>
        <v/>
      </c>
      <c r="R93" s="4">
        <f>IF(Headcount!$D$42&lt;=Timeline!R5,Headcount!$C$42*Headcount!$E$42/12*(1+burden)*(1+salary_infl)^MAX(0,2028-2027),0)</f>
        <v/>
      </c>
      <c r="S93" s="4">
        <f>IF(Headcount!$D$42&lt;=Timeline!S5,Headcount!$C$42*Headcount!$E$42/12*(1+burden)*(1+salary_infl)^MAX(0,2028-2027),0)</f>
        <v/>
      </c>
      <c r="T93" s="4">
        <f>IF(Headcount!$D$42&lt;=Timeline!T5,Headcount!$C$42*Headcount!$E$42/12*(1+burden)*(1+salary_infl)^MAX(0,2028-2027),0)</f>
        <v/>
      </c>
      <c r="U93" s="4">
        <f>IF(Headcount!$D$42&lt;=Timeline!U5,Headcount!$C$42*Headcount!$E$42/12*(1+burden)*(1+salary_infl)^MAX(0,2028-2027),0)</f>
        <v/>
      </c>
      <c r="V93" s="4">
        <f>IF(Headcount!$D$42&lt;=Timeline!V5,Headcount!$C$42*Headcount!$E$42/12*(1+burden)*(1+salary_infl)^MAX(0,2028-2027),0)</f>
        <v/>
      </c>
      <c r="W93" s="4">
        <f>IF(Headcount!$D$42&lt;=Timeline!W5,Headcount!$C$42*Headcount!$E$42/12*(1+burden)*(1+salary_infl)^MAX(0,2028-2027),0)</f>
        <v/>
      </c>
      <c r="X93" s="4">
        <f>IF(Headcount!$D$42&lt;=Timeline!X5,Headcount!$C$42*Headcount!$E$42/12*(1+burden)*(1+salary_infl)^MAX(0,2028-2027),0)</f>
        <v/>
      </c>
      <c r="Y93" s="4">
        <f>IF(Headcount!$D$42&lt;=Timeline!Y5,Headcount!$C$42*Headcount!$E$42/12*(1+burden)*(1+salary_infl)^MAX(0,2028-2027),0)</f>
        <v/>
      </c>
      <c r="Z93" s="4">
        <f>IF(Headcount!$D$42&lt;=Timeline!Z5,Headcount!$C$42*Headcount!$E$42/12*(1+burden)*(1+salary_infl)^MAX(0,2028-2027),0)</f>
        <v/>
      </c>
      <c r="AA93" s="4">
        <f>IF(Headcount!$D$42&lt;=Timeline!AA5,Headcount!$C$42*Headcount!$E$42/12*(1+burden)*(1+salary_infl)^MAX(0,2028-2027),0)</f>
        <v/>
      </c>
      <c r="AB93" s="4">
        <f>IF(Headcount!$D$42&lt;=Timeline!AB5,Headcount!$C$42*Headcount!$E$42/12*(1+burden)*(1+salary_infl)^MAX(0,2028-2027),0)</f>
        <v/>
      </c>
      <c r="AC93" s="4">
        <f>Headcount!$C$42*Headcount!$E$42*(1+burden)*(1+salary_infl)^MAX(0,2029-2027)*MAX(0,MIN(12,(2029-YEAR(Headcount!$D$42))*12+13-MONTH(Headcount!$D$42)))/12</f>
        <v/>
      </c>
      <c r="AD93" s="4">
        <f>Headcount!$C$42*Headcount!$E$42*(1+burden)*(1+salary_infl)^MAX(0,2030-2027)*MAX(0,MIN(12,(2030-YEAR(Headcount!$D$42))*12+13-MONTH(Headcount!$D$42)))/12</f>
        <v/>
      </c>
      <c r="AE93" s="4">
        <f>Headcount!$C$42*Headcount!$E$42*(1+burden)*(1+salary_infl)^MAX(0,2031-2027)*MAX(0,MIN(12,(2031-YEAR(Headcount!$D$42))*12+13-MONTH(Headcount!$D$42)))/12</f>
        <v/>
      </c>
      <c r="AG93" s="4">
        <f>SUMIF($C$3:$AE$3,AG$3,$C93:$AE93)</f>
        <v/>
      </c>
      <c r="AH93" s="4">
        <f>SUMIF($C$3:$AE$3,AH$3,$C93:$AE93)</f>
        <v/>
      </c>
      <c r="AI93" s="4">
        <f>SUMIF($C$3:$AE$3,AI$3,$C93:$AE93)</f>
        <v/>
      </c>
      <c r="AJ93" s="4">
        <f>SUMIF($C$3:$AE$3,AJ$3,$C93:$AE93)</f>
        <v/>
      </c>
      <c r="AK93" s="4">
        <f>SUMIF($C$3:$AE$3,AK$3,$C93:$AE93)</f>
        <v/>
      </c>
      <c r="AL93" s="4">
        <f>SUMIF($C$3:$AE$3,AL$3,$C93:$AE93)</f>
        <v/>
      </c>
    </row>
    <row r="94">
      <c r="A94">
        <f>Headcount!A43</f>
        <v/>
      </c>
      <c r="B94" s="2">
        <f>Headcount!B43</f>
        <v/>
      </c>
      <c r="C94" s="4">
        <f>IF(Headcount!$D$43&lt;=Timeline!C5,Headcount!$C$43*Headcount!$E$43/12*(1+burden)*(1+salary_infl)^MAX(0,2026-2027),0)</f>
        <v/>
      </c>
      <c r="D94" s="4">
        <f>IF(Headcount!$D$43&lt;=Timeline!D5,Headcount!$C$43*Headcount!$E$43/12*(1+burden)*(1+salary_infl)^MAX(0,2026-2027),0)</f>
        <v/>
      </c>
      <c r="E94" s="4">
        <f>IF(Headcount!$D$43&lt;=Timeline!E5,Headcount!$C$43*Headcount!$E$43/12*(1+burden)*(1+salary_infl)^MAX(0,2027-2027),0)</f>
        <v/>
      </c>
      <c r="F94" s="4">
        <f>IF(Headcount!$D$43&lt;=Timeline!F5,Headcount!$C$43*Headcount!$E$43/12*(1+burden)*(1+salary_infl)^MAX(0,2027-2027),0)</f>
        <v/>
      </c>
      <c r="G94" s="4">
        <f>IF(Headcount!$D$43&lt;=Timeline!G5,Headcount!$C$43*Headcount!$E$43/12*(1+burden)*(1+salary_infl)^MAX(0,2027-2027),0)</f>
        <v/>
      </c>
      <c r="H94" s="4">
        <f>IF(Headcount!$D$43&lt;=Timeline!H5,Headcount!$C$43*Headcount!$E$43/12*(1+burden)*(1+salary_infl)^MAX(0,2027-2027),0)</f>
        <v/>
      </c>
      <c r="I94" s="4">
        <f>IF(Headcount!$D$43&lt;=Timeline!I5,Headcount!$C$43*Headcount!$E$43/12*(1+burden)*(1+salary_infl)^MAX(0,2027-2027),0)</f>
        <v/>
      </c>
      <c r="J94" s="4">
        <f>IF(Headcount!$D$43&lt;=Timeline!J5,Headcount!$C$43*Headcount!$E$43/12*(1+burden)*(1+salary_infl)^MAX(0,2027-2027),0)</f>
        <v/>
      </c>
      <c r="K94" s="4">
        <f>IF(Headcount!$D$43&lt;=Timeline!K5,Headcount!$C$43*Headcount!$E$43/12*(1+burden)*(1+salary_infl)^MAX(0,2027-2027),0)</f>
        <v/>
      </c>
      <c r="L94" s="4">
        <f>IF(Headcount!$D$43&lt;=Timeline!L5,Headcount!$C$43*Headcount!$E$43/12*(1+burden)*(1+salary_infl)^MAX(0,2027-2027),0)</f>
        <v/>
      </c>
      <c r="M94" s="4">
        <f>IF(Headcount!$D$43&lt;=Timeline!M5,Headcount!$C$43*Headcount!$E$43/12*(1+burden)*(1+salary_infl)^MAX(0,2027-2027),0)</f>
        <v/>
      </c>
      <c r="N94" s="4">
        <f>IF(Headcount!$D$43&lt;=Timeline!N5,Headcount!$C$43*Headcount!$E$43/12*(1+burden)*(1+salary_infl)^MAX(0,2027-2027),0)</f>
        <v/>
      </c>
      <c r="O94" s="4">
        <f>IF(Headcount!$D$43&lt;=Timeline!O5,Headcount!$C$43*Headcount!$E$43/12*(1+burden)*(1+salary_infl)^MAX(0,2027-2027),0)</f>
        <v/>
      </c>
      <c r="P94" s="4">
        <f>IF(Headcount!$D$43&lt;=Timeline!P5,Headcount!$C$43*Headcount!$E$43/12*(1+burden)*(1+salary_infl)^MAX(0,2027-2027),0)</f>
        <v/>
      </c>
      <c r="Q94" s="4">
        <f>IF(Headcount!$D$43&lt;=Timeline!Q5,Headcount!$C$43*Headcount!$E$43/12*(1+burden)*(1+salary_infl)^MAX(0,2028-2027),0)</f>
        <v/>
      </c>
      <c r="R94" s="4">
        <f>IF(Headcount!$D$43&lt;=Timeline!R5,Headcount!$C$43*Headcount!$E$43/12*(1+burden)*(1+salary_infl)^MAX(0,2028-2027),0)</f>
        <v/>
      </c>
      <c r="S94" s="4">
        <f>IF(Headcount!$D$43&lt;=Timeline!S5,Headcount!$C$43*Headcount!$E$43/12*(1+burden)*(1+salary_infl)^MAX(0,2028-2027),0)</f>
        <v/>
      </c>
      <c r="T94" s="4">
        <f>IF(Headcount!$D$43&lt;=Timeline!T5,Headcount!$C$43*Headcount!$E$43/12*(1+burden)*(1+salary_infl)^MAX(0,2028-2027),0)</f>
        <v/>
      </c>
      <c r="U94" s="4">
        <f>IF(Headcount!$D$43&lt;=Timeline!U5,Headcount!$C$43*Headcount!$E$43/12*(1+burden)*(1+salary_infl)^MAX(0,2028-2027),0)</f>
        <v/>
      </c>
      <c r="V94" s="4">
        <f>IF(Headcount!$D$43&lt;=Timeline!V5,Headcount!$C$43*Headcount!$E$43/12*(1+burden)*(1+salary_infl)^MAX(0,2028-2027),0)</f>
        <v/>
      </c>
      <c r="W94" s="4">
        <f>IF(Headcount!$D$43&lt;=Timeline!W5,Headcount!$C$43*Headcount!$E$43/12*(1+burden)*(1+salary_infl)^MAX(0,2028-2027),0)</f>
        <v/>
      </c>
      <c r="X94" s="4">
        <f>IF(Headcount!$D$43&lt;=Timeline!X5,Headcount!$C$43*Headcount!$E$43/12*(1+burden)*(1+salary_infl)^MAX(0,2028-2027),0)</f>
        <v/>
      </c>
      <c r="Y94" s="4">
        <f>IF(Headcount!$D$43&lt;=Timeline!Y5,Headcount!$C$43*Headcount!$E$43/12*(1+burden)*(1+salary_infl)^MAX(0,2028-2027),0)</f>
        <v/>
      </c>
      <c r="Z94" s="4">
        <f>IF(Headcount!$D$43&lt;=Timeline!Z5,Headcount!$C$43*Headcount!$E$43/12*(1+burden)*(1+salary_infl)^MAX(0,2028-2027),0)</f>
        <v/>
      </c>
      <c r="AA94" s="4">
        <f>IF(Headcount!$D$43&lt;=Timeline!AA5,Headcount!$C$43*Headcount!$E$43/12*(1+burden)*(1+salary_infl)^MAX(0,2028-2027),0)</f>
        <v/>
      </c>
      <c r="AB94" s="4">
        <f>IF(Headcount!$D$43&lt;=Timeline!AB5,Headcount!$C$43*Headcount!$E$43/12*(1+burden)*(1+salary_infl)^MAX(0,2028-2027),0)</f>
        <v/>
      </c>
      <c r="AC94" s="4">
        <f>Headcount!$C$43*Headcount!$E$43*(1+burden)*(1+salary_infl)^MAX(0,2029-2027)*MAX(0,MIN(12,(2029-YEAR(Headcount!$D$43))*12+13-MONTH(Headcount!$D$43)))/12</f>
        <v/>
      </c>
      <c r="AD94" s="4">
        <f>Headcount!$C$43*Headcount!$E$43*(1+burden)*(1+salary_infl)^MAX(0,2030-2027)*MAX(0,MIN(12,(2030-YEAR(Headcount!$D$43))*12+13-MONTH(Headcount!$D$43)))/12</f>
        <v/>
      </c>
      <c r="AE94" s="4">
        <f>Headcount!$C$43*Headcount!$E$43*(1+burden)*(1+salary_infl)^MAX(0,2031-2027)*MAX(0,MIN(12,(2031-YEAR(Headcount!$D$43))*12+13-MONTH(Headcount!$D$43)))/12</f>
        <v/>
      </c>
      <c r="AG94" s="4">
        <f>SUMIF($C$3:$AE$3,AG$3,$C94:$AE94)</f>
        <v/>
      </c>
      <c r="AH94" s="4">
        <f>SUMIF($C$3:$AE$3,AH$3,$C94:$AE94)</f>
        <v/>
      </c>
      <c r="AI94" s="4">
        <f>SUMIF($C$3:$AE$3,AI$3,$C94:$AE94)</f>
        <v/>
      </c>
      <c r="AJ94" s="4">
        <f>SUMIF($C$3:$AE$3,AJ$3,$C94:$AE94)</f>
        <v/>
      </c>
      <c r="AK94" s="4">
        <f>SUMIF($C$3:$AE$3,AK$3,$C94:$AE94)</f>
        <v/>
      </c>
      <c r="AL94" s="4">
        <f>SUMIF($C$3:$AE$3,AL$3,$C94:$AE94)</f>
        <v/>
      </c>
    </row>
    <row r="95">
      <c r="A95">
        <f>Headcount!A44</f>
        <v/>
      </c>
      <c r="B95" s="2">
        <f>Headcount!B44</f>
        <v/>
      </c>
      <c r="C95" s="4">
        <f>IF(Headcount!$D$44&lt;=Timeline!C5,Headcount!$C$44*Headcount!$E$44/12*(1+burden)*(1+salary_infl)^MAX(0,2026-2027),0)</f>
        <v/>
      </c>
      <c r="D95" s="4">
        <f>IF(Headcount!$D$44&lt;=Timeline!D5,Headcount!$C$44*Headcount!$E$44/12*(1+burden)*(1+salary_infl)^MAX(0,2026-2027),0)</f>
        <v/>
      </c>
      <c r="E95" s="4">
        <f>IF(Headcount!$D$44&lt;=Timeline!E5,Headcount!$C$44*Headcount!$E$44/12*(1+burden)*(1+salary_infl)^MAX(0,2027-2027),0)</f>
        <v/>
      </c>
      <c r="F95" s="4">
        <f>IF(Headcount!$D$44&lt;=Timeline!F5,Headcount!$C$44*Headcount!$E$44/12*(1+burden)*(1+salary_infl)^MAX(0,2027-2027),0)</f>
        <v/>
      </c>
      <c r="G95" s="4">
        <f>IF(Headcount!$D$44&lt;=Timeline!G5,Headcount!$C$44*Headcount!$E$44/12*(1+burden)*(1+salary_infl)^MAX(0,2027-2027),0)</f>
        <v/>
      </c>
      <c r="H95" s="4">
        <f>IF(Headcount!$D$44&lt;=Timeline!H5,Headcount!$C$44*Headcount!$E$44/12*(1+burden)*(1+salary_infl)^MAX(0,2027-2027),0)</f>
        <v/>
      </c>
      <c r="I95" s="4">
        <f>IF(Headcount!$D$44&lt;=Timeline!I5,Headcount!$C$44*Headcount!$E$44/12*(1+burden)*(1+salary_infl)^MAX(0,2027-2027),0)</f>
        <v/>
      </c>
      <c r="J95" s="4">
        <f>IF(Headcount!$D$44&lt;=Timeline!J5,Headcount!$C$44*Headcount!$E$44/12*(1+burden)*(1+salary_infl)^MAX(0,2027-2027),0)</f>
        <v/>
      </c>
      <c r="K95" s="4">
        <f>IF(Headcount!$D$44&lt;=Timeline!K5,Headcount!$C$44*Headcount!$E$44/12*(1+burden)*(1+salary_infl)^MAX(0,2027-2027),0)</f>
        <v/>
      </c>
      <c r="L95" s="4">
        <f>IF(Headcount!$D$44&lt;=Timeline!L5,Headcount!$C$44*Headcount!$E$44/12*(1+burden)*(1+salary_infl)^MAX(0,2027-2027),0)</f>
        <v/>
      </c>
      <c r="M95" s="4">
        <f>IF(Headcount!$D$44&lt;=Timeline!M5,Headcount!$C$44*Headcount!$E$44/12*(1+burden)*(1+salary_infl)^MAX(0,2027-2027),0)</f>
        <v/>
      </c>
      <c r="N95" s="4">
        <f>IF(Headcount!$D$44&lt;=Timeline!N5,Headcount!$C$44*Headcount!$E$44/12*(1+burden)*(1+salary_infl)^MAX(0,2027-2027),0)</f>
        <v/>
      </c>
      <c r="O95" s="4">
        <f>IF(Headcount!$D$44&lt;=Timeline!O5,Headcount!$C$44*Headcount!$E$44/12*(1+burden)*(1+salary_infl)^MAX(0,2027-2027),0)</f>
        <v/>
      </c>
      <c r="P95" s="4">
        <f>IF(Headcount!$D$44&lt;=Timeline!P5,Headcount!$C$44*Headcount!$E$44/12*(1+burden)*(1+salary_infl)^MAX(0,2027-2027),0)</f>
        <v/>
      </c>
      <c r="Q95" s="4">
        <f>IF(Headcount!$D$44&lt;=Timeline!Q5,Headcount!$C$44*Headcount!$E$44/12*(1+burden)*(1+salary_infl)^MAX(0,2028-2027),0)</f>
        <v/>
      </c>
      <c r="R95" s="4">
        <f>IF(Headcount!$D$44&lt;=Timeline!R5,Headcount!$C$44*Headcount!$E$44/12*(1+burden)*(1+salary_infl)^MAX(0,2028-2027),0)</f>
        <v/>
      </c>
      <c r="S95" s="4">
        <f>IF(Headcount!$D$44&lt;=Timeline!S5,Headcount!$C$44*Headcount!$E$44/12*(1+burden)*(1+salary_infl)^MAX(0,2028-2027),0)</f>
        <v/>
      </c>
      <c r="T95" s="4">
        <f>IF(Headcount!$D$44&lt;=Timeline!T5,Headcount!$C$44*Headcount!$E$44/12*(1+burden)*(1+salary_infl)^MAX(0,2028-2027),0)</f>
        <v/>
      </c>
      <c r="U95" s="4">
        <f>IF(Headcount!$D$44&lt;=Timeline!U5,Headcount!$C$44*Headcount!$E$44/12*(1+burden)*(1+salary_infl)^MAX(0,2028-2027),0)</f>
        <v/>
      </c>
      <c r="V95" s="4">
        <f>IF(Headcount!$D$44&lt;=Timeline!V5,Headcount!$C$44*Headcount!$E$44/12*(1+burden)*(1+salary_infl)^MAX(0,2028-2027),0)</f>
        <v/>
      </c>
      <c r="W95" s="4">
        <f>IF(Headcount!$D$44&lt;=Timeline!W5,Headcount!$C$44*Headcount!$E$44/12*(1+burden)*(1+salary_infl)^MAX(0,2028-2027),0)</f>
        <v/>
      </c>
      <c r="X95" s="4">
        <f>IF(Headcount!$D$44&lt;=Timeline!X5,Headcount!$C$44*Headcount!$E$44/12*(1+burden)*(1+salary_infl)^MAX(0,2028-2027),0)</f>
        <v/>
      </c>
      <c r="Y95" s="4">
        <f>IF(Headcount!$D$44&lt;=Timeline!Y5,Headcount!$C$44*Headcount!$E$44/12*(1+burden)*(1+salary_infl)^MAX(0,2028-2027),0)</f>
        <v/>
      </c>
      <c r="Z95" s="4">
        <f>IF(Headcount!$D$44&lt;=Timeline!Z5,Headcount!$C$44*Headcount!$E$44/12*(1+burden)*(1+salary_infl)^MAX(0,2028-2027),0)</f>
        <v/>
      </c>
      <c r="AA95" s="4">
        <f>IF(Headcount!$D$44&lt;=Timeline!AA5,Headcount!$C$44*Headcount!$E$44/12*(1+burden)*(1+salary_infl)^MAX(0,2028-2027),0)</f>
        <v/>
      </c>
      <c r="AB95" s="4">
        <f>IF(Headcount!$D$44&lt;=Timeline!AB5,Headcount!$C$44*Headcount!$E$44/12*(1+burden)*(1+salary_infl)^MAX(0,2028-2027),0)</f>
        <v/>
      </c>
      <c r="AC95" s="4">
        <f>Headcount!$C$44*Headcount!$E$44*(1+burden)*(1+salary_infl)^MAX(0,2029-2027)*MAX(0,MIN(12,(2029-YEAR(Headcount!$D$44))*12+13-MONTH(Headcount!$D$44)))/12</f>
        <v/>
      </c>
      <c r="AD95" s="4">
        <f>Headcount!$C$44*Headcount!$E$44*(1+burden)*(1+salary_infl)^MAX(0,2030-2027)*MAX(0,MIN(12,(2030-YEAR(Headcount!$D$44))*12+13-MONTH(Headcount!$D$44)))/12</f>
        <v/>
      </c>
      <c r="AE95" s="4">
        <f>Headcount!$C$44*Headcount!$E$44*(1+burden)*(1+salary_infl)^MAX(0,2031-2027)*MAX(0,MIN(12,(2031-YEAR(Headcount!$D$44))*12+13-MONTH(Headcount!$D$44)))/12</f>
        <v/>
      </c>
      <c r="AG95" s="4">
        <f>SUMIF($C$3:$AE$3,AG$3,$C95:$AE95)</f>
        <v/>
      </c>
      <c r="AH95" s="4">
        <f>SUMIF($C$3:$AE$3,AH$3,$C95:$AE95)</f>
        <v/>
      </c>
      <c r="AI95" s="4">
        <f>SUMIF($C$3:$AE$3,AI$3,$C95:$AE95)</f>
        <v/>
      </c>
      <c r="AJ95" s="4">
        <f>SUMIF($C$3:$AE$3,AJ$3,$C95:$AE95)</f>
        <v/>
      </c>
      <c r="AK95" s="4">
        <f>SUMIF($C$3:$AE$3,AK$3,$C95:$AE95)</f>
        <v/>
      </c>
      <c r="AL95" s="4">
        <f>SUMIF($C$3:$AE$3,AL$3,$C95:$AE95)</f>
        <v/>
      </c>
    </row>
    <row r="96">
      <c r="A96">
        <f>Headcount!A45</f>
        <v/>
      </c>
      <c r="B96" s="2">
        <f>Headcount!B45</f>
        <v/>
      </c>
      <c r="C96" s="4">
        <f>IF(Headcount!$D$45&lt;=Timeline!C5,Headcount!$C$45*Headcount!$E$45/12*(1+burden)*(1+salary_infl)^MAX(0,2026-2027),0)</f>
        <v/>
      </c>
      <c r="D96" s="4">
        <f>IF(Headcount!$D$45&lt;=Timeline!D5,Headcount!$C$45*Headcount!$E$45/12*(1+burden)*(1+salary_infl)^MAX(0,2026-2027),0)</f>
        <v/>
      </c>
      <c r="E96" s="4">
        <f>IF(Headcount!$D$45&lt;=Timeline!E5,Headcount!$C$45*Headcount!$E$45/12*(1+burden)*(1+salary_infl)^MAX(0,2027-2027),0)</f>
        <v/>
      </c>
      <c r="F96" s="4">
        <f>IF(Headcount!$D$45&lt;=Timeline!F5,Headcount!$C$45*Headcount!$E$45/12*(1+burden)*(1+salary_infl)^MAX(0,2027-2027),0)</f>
        <v/>
      </c>
      <c r="G96" s="4">
        <f>IF(Headcount!$D$45&lt;=Timeline!G5,Headcount!$C$45*Headcount!$E$45/12*(1+burden)*(1+salary_infl)^MAX(0,2027-2027),0)</f>
        <v/>
      </c>
      <c r="H96" s="4">
        <f>IF(Headcount!$D$45&lt;=Timeline!H5,Headcount!$C$45*Headcount!$E$45/12*(1+burden)*(1+salary_infl)^MAX(0,2027-2027),0)</f>
        <v/>
      </c>
      <c r="I96" s="4">
        <f>IF(Headcount!$D$45&lt;=Timeline!I5,Headcount!$C$45*Headcount!$E$45/12*(1+burden)*(1+salary_infl)^MAX(0,2027-2027),0)</f>
        <v/>
      </c>
      <c r="J96" s="4">
        <f>IF(Headcount!$D$45&lt;=Timeline!J5,Headcount!$C$45*Headcount!$E$45/12*(1+burden)*(1+salary_infl)^MAX(0,2027-2027),0)</f>
        <v/>
      </c>
      <c r="K96" s="4">
        <f>IF(Headcount!$D$45&lt;=Timeline!K5,Headcount!$C$45*Headcount!$E$45/12*(1+burden)*(1+salary_infl)^MAX(0,2027-2027),0)</f>
        <v/>
      </c>
      <c r="L96" s="4">
        <f>IF(Headcount!$D$45&lt;=Timeline!L5,Headcount!$C$45*Headcount!$E$45/12*(1+burden)*(1+salary_infl)^MAX(0,2027-2027),0)</f>
        <v/>
      </c>
      <c r="M96" s="4">
        <f>IF(Headcount!$D$45&lt;=Timeline!M5,Headcount!$C$45*Headcount!$E$45/12*(1+burden)*(1+salary_infl)^MAX(0,2027-2027),0)</f>
        <v/>
      </c>
      <c r="N96" s="4">
        <f>IF(Headcount!$D$45&lt;=Timeline!N5,Headcount!$C$45*Headcount!$E$45/12*(1+burden)*(1+salary_infl)^MAX(0,2027-2027),0)</f>
        <v/>
      </c>
      <c r="O96" s="4">
        <f>IF(Headcount!$D$45&lt;=Timeline!O5,Headcount!$C$45*Headcount!$E$45/12*(1+burden)*(1+salary_infl)^MAX(0,2027-2027),0)</f>
        <v/>
      </c>
      <c r="P96" s="4">
        <f>IF(Headcount!$D$45&lt;=Timeline!P5,Headcount!$C$45*Headcount!$E$45/12*(1+burden)*(1+salary_infl)^MAX(0,2027-2027),0)</f>
        <v/>
      </c>
      <c r="Q96" s="4">
        <f>IF(Headcount!$D$45&lt;=Timeline!Q5,Headcount!$C$45*Headcount!$E$45/12*(1+burden)*(1+salary_infl)^MAX(0,2028-2027),0)</f>
        <v/>
      </c>
      <c r="R96" s="4">
        <f>IF(Headcount!$D$45&lt;=Timeline!R5,Headcount!$C$45*Headcount!$E$45/12*(1+burden)*(1+salary_infl)^MAX(0,2028-2027),0)</f>
        <v/>
      </c>
      <c r="S96" s="4">
        <f>IF(Headcount!$D$45&lt;=Timeline!S5,Headcount!$C$45*Headcount!$E$45/12*(1+burden)*(1+salary_infl)^MAX(0,2028-2027),0)</f>
        <v/>
      </c>
      <c r="T96" s="4">
        <f>IF(Headcount!$D$45&lt;=Timeline!T5,Headcount!$C$45*Headcount!$E$45/12*(1+burden)*(1+salary_infl)^MAX(0,2028-2027),0)</f>
        <v/>
      </c>
      <c r="U96" s="4">
        <f>IF(Headcount!$D$45&lt;=Timeline!U5,Headcount!$C$45*Headcount!$E$45/12*(1+burden)*(1+salary_infl)^MAX(0,2028-2027),0)</f>
        <v/>
      </c>
      <c r="V96" s="4">
        <f>IF(Headcount!$D$45&lt;=Timeline!V5,Headcount!$C$45*Headcount!$E$45/12*(1+burden)*(1+salary_infl)^MAX(0,2028-2027),0)</f>
        <v/>
      </c>
      <c r="W96" s="4">
        <f>IF(Headcount!$D$45&lt;=Timeline!W5,Headcount!$C$45*Headcount!$E$45/12*(1+burden)*(1+salary_infl)^MAX(0,2028-2027),0)</f>
        <v/>
      </c>
      <c r="X96" s="4">
        <f>IF(Headcount!$D$45&lt;=Timeline!X5,Headcount!$C$45*Headcount!$E$45/12*(1+burden)*(1+salary_infl)^MAX(0,2028-2027),0)</f>
        <v/>
      </c>
      <c r="Y96" s="4">
        <f>IF(Headcount!$D$45&lt;=Timeline!Y5,Headcount!$C$45*Headcount!$E$45/12*(1+burden)*(1+salary_infl)^MAX(0,2028-2027),0)</f>
        <v/>
      </c>
      <c r="Z96" s="4">
        <f>IF(Headcount!$D$45&lt;=Timeline!Z5,Headcount!$C$45*Headcount!$E$45/12*(1+burden)*(1+salary_infl)^MAX(0,2028-2027),0)</f>
        <v/>
      </c>
      <c r="AA96" s="4">
        <f>IF(Headcount!$D$45&lt;=Timeline!AA5,Headcount!$C$45*Headcount!$E$45/12*(1+burden)*(1+salary_infl)^MAX(0,2028-2027),0)</f>
        <v/>
      </c>
      <c r="AB96" s="4">
        <f>IF(Headcount!$D$45&lt;=Timeline!AB5,Headcount!$C$45*Headcount!$E$45/12*(1+burden)*(1+salary_infl)^MAX(0,2028-2027),0)</f>
        <v/>
      </c>
      <c r="AC96" s="4">
        <f>Headcount!$C$45*Headcount!$E$45*(1+burden)*(1+salary_infl)^MAX(0,2029-2027)*MAX(0,MIN(12,(2029-YEAR(Headcount!$D$45))*12+13-MONTH(Headcount!$D$45)))/12</f>
        <v/>
      </c>
      <c r="AD96" s="4">
        <f>Headcount!$C$45*Headcount!$E$45*(1+burden)*(1+salary_infl)^MAX(0,2030-2027)*MAX(0,MIN(12,(2030-YEAR(Headcount!$D$45))*12+13-MONTH(Headcount!$D$45)))/12</f>
        <v/>
      </c>
      <c r="AE96" s="4">
        <f>Headcount!$C$45*Headcount!$E$45*(1+burden)*(1+salary_infl)^MAX(0,2031-2027)*MAX(0,MIN(12,(2031-YEAR(Headcount!$D$45))*12+13-MONTH(Headcount!$D$45)))/12</f>
        <v/>
      </c>
      <c r="AG96" s="4">
        <f>SUMIF($C$3:$AE$3,AG$3,$C96:$AE96)</f>
        <v/>
      </c>
      <c r="AH96" s="4">
        <f>SUMIF($C$3:$AE$3,AH$3,$C96:$AE96)</f>
        <v/>
      </c>
      <c r="AI96" s="4">
        <f>SUMIF($C$3:$AE$3,AI$3,$C96:$AE96)</f>
        <v/>
      </c>
      <c r="AJ96" s="4">
        <f>SUMIF($C$3:$AE$3,AJ$3,$C96:$AE96)</f>
        <v/>
      </c>
      <c r="AK96" s="4">
        <f>SUMIF($C$3:$AE$3,AK$3,$C96:$AE96)</f>
        <v/>
      </c>
      <c r="AL96" s="4">
        <f>SUMIF($C$3:$AE$3,AL$3,$C96:$AE96)</f>
        <v/>
      </c>
    </row>
    <row r="97">
      <c r="A97">
        <f>Headcount!A46</f>
        <v/>
      </c>
      <c r="B97" s="2">
        <f>Headcount!B46</f>
        <v/>
      </c>
      <c r="C97" s="4">
        <f>IF(Headcount!$D$46&lt;=Timeline!C5,Headcount!$C$46*Headcount!$E$46/12*(1+burden)*(1+salary_infl)^MAX(0,2026-2027),0)</f>
        <v/>
      </c>
      <c r="D97" s="4">
        <f>IF(Headcount!$D$46&lt;=Timeline!D5,Headcount!$C$46*Headcount!$E$46/12*(1+burden)*(1+salary_infl)^MAX(0,2026-2027),0)</f>
        <v/>
      </c>
      <c r="E97" s="4">
        <f>IF(Headcount!$D$46&lt;=Timeline!E5,Headcount!$C$46*Headcount!$E$46/12*(1+burden)*(1+salary_infl)^MAX(0,2027-2027),0)</f>
        <v/>
      </c>
      <c r="F97" s="4">
        <f>IF(Headcount!$D$46&lt;=Timeline!F5,Headcount!$C$46*Headcount!$E$46/12*(1+burden)*(1+salary_infl)^MAX(0,2027-2027),0)</f>
        <v/>
      </c>
      <c r="G97" s="4">
        <f>IF(Headcount!$D$46&lt;=Timeline!G5,Headcount!$C$46*Headcount!$E$46/12*(1+burden)*(1+salary_infl)^MAX(0,2027-2027),0)</f>
        <v/>
      </c>
      <c r="H97" s="4">
        <f>IF(Headcount!$D$46&lt;=Timeline!H5,Headcount!$C$46*Headcount!$E$46/12*(1+burden)*(1+salary_infl)^MAX(0,2027-2027),0)</f>
        <v/>
      </c>
      <c r="I97" s="4">
        <f>IF(Headcount!$D$46&lt;=Timeline!I5,Headcount!$C$46*Headcount!$E$46/12*(1+burden)*(1+salary_infl)^MAX(0,2027-2027),0)</f>
        <v/>
      </c>
      <c r="J97" s="4">
        <f>IF(Headcount!$D$46&lt;=Timeline!J5,Headcount!$C$46*Headcount!$E$46/12*(1+burden)*(1+salary_infl)^MAX(0,2027-2027),0)</f>
        <v/>
      </c>
      <c r="K97" s="4">
        <f>IF(Headcount!$D$46&lt;=Timeline!K5,Headcount!$C$46*Headcount!$E$46/12*(1+burden)*(1+salary_infl)^MAX(0,2027-2027),0)</f>
        <v/>
      </c>
      <c r="L97" s="4">
        <f>IF(Headcount!$D$46&lt;=Timeline!L5,Headcount!$C$46*Headcount!$E$46/12*(1+burden)*(1+salary_infl)^MAX(0,2027-2027),0)</f>
        <v/>
      </c>
      <c r="M97" s="4">
        <f>IF(Headcount!$D$46&lt;=Timeline!M5,Headcount!$C$46*Headcount!$E$46/12*(1+burden)*(1+salary_infl)^MAX(0,2027-2027),0)</f>
        <v/>
      </c>
      <c r="N97" s="4">
        <f>IF(Headcount!$D$46&lt;=Timeline!N5,Headcount!$C$46*Headcount!$E$46/12*(1+burden)*(1+salary_infl)^MAX(0,2027-2027),0)</f>
        <v/>
      </c>
      <c r="O97" s="4">
        <f>IF(Headcount!$D$46&lt;=Timeline!O5,Headcount!$C$46*Headcount!$E$46/12*(1+burden)*(1+salary_infl)^MAX(0,2027-2027),0)</f>
        <v/>
      </c>
      <c r="P97" s="4">
        <f>IF(Headcount!$D$46&lt;=Timeline!P5,Headcount!$C$46*Headcount!$E$46/12*(1+burden)*(1+salary_infl)^MAX(0,2027-2027),0)</f>
        <v/>
      </c>
      <c r="Q97" s="4">
        <f>IF(Headcount!$D$46&lt;=Timeline!Q5,Headcount!$C$46*Headcount!$E$46/12*(1+burden)*(1+salary_infl)^MAX(0,2028-2027),0)</f>
        <v/>
      </c>
      <c r="R97" s="4">
        <f>IF(Headcount!$D$46&lt;=Timeline!R5,Headcount!$C$46*Headcount!$E$46/12*(1+burden)*(1+salary_infl)^MAX(0,2028-2027),0)</f>
        <v/>
      </c>
      <c r="S97" s="4">
        <f>IF(Headcount!$D$46&lt;=Timeline!S5,Headcount!$C$46*Headcount!$E$46/12*(1+burden)*(1+salary_infl)^MAX(0,2028-2027),0)</f>
        <v/>
      </c>
      <c r="T97" s="4">
        <f>IF(Headcount!$D$46&lt;=Timeline!T5,Headcount!$C$46*Headcount!$E$46/12*(1+burden)*(1+salary_infl)^MAX(0,2028-2027),0)</f>
        <v/>
      </c>
      <c r="U97" s="4">
        <f>IF(Headcount!$D$46&lt;=Timeline!U5,Headcount!$C$46*Headcount!$E$46/12*(1+burden)*(1+salary_infl)^MAX(0,2028-2027),0)</f>
        <v/>
      </c>
      <c r="V97" s="4">
        <f>IF(Headcount!$D$46&lt;=Timeline!V5,Headcount!$C$46*Headcount!$E$46/12*(1+burden)*(1+salary_infl)^MAX(0,2028-2027),0)</f>
        <v/>
      </c>
      <c r="W97" s="4">
        <f>IF(Headcount!$D$46&lt;=Timeline!W5,Headcount!$C$46*Headcount!$E$46/12*(1+burden)*(1+salary_infl)^MAX(0,2028-2027),0)</f>
        <v/>
      </c>
      <c r="X97" s="4">
        <f>IF(Headcount!$D$46&lt;=Timeline!X5,Headcount!$C$46*Headcount!$E$46/12*(1+burden)*(1+salary_infl)^MAX(0,2028-2027),0)</f>
        <v/>
      </c>
      <c r="Y97" s="4">
        <f>IF(Headcount!$D$46&lt;=Timeline!Y5,Headcount!$C$46*Headcount!$E$46/12*(1+burden)*(1+salary_infl)^MAX(0,2028-2027),0)</f>
        <v/>
      </c>
      <c r="Z97" s="4">
        <f>IF(Headcount!$D$46&lt;=Timeline!Z5,Headcount!$C$46*Headcount!$E$46/12*(1+burden)*(1+salary_infl)^MAX(0,2028-2027),0)</f>
        <v/>
      </c>
      <c r="AA97" s="4">
        <f>IF(Headcount!$D$46&lt;=Timeline!AA5,Headcount!$C$46*Headcount!$E$46/12*(1+burden)*(1+salary_infl)^MAX(0,2028-2027),0)</f>
        <v/>
      </c>
      <c r="AB97" s="4">
        <f>IF(Headcount!$D$46&lt;=Timeline!AB5,Headcount!$C$46*Headcount!$E$46/12*(1+burden)*(1+salary_infl)^MAX(0,2028-2027),0)</f>
        <v/>
      </c>
      <c r="AC97" s="4">
        <f>Headcount!$C$46*Headcount!$E$46*(1+burden)*(1+salary_infl)^MAX(0,2029-2027)*MAX(0,MIN(12,(2029-YEAR(Headcount!$D$46))*12+13-MONTH(Headcount!$D$46)))/12</f>
        <v/>
      </c>
      <c r="AD97" s="4">
        <f>Headcount!$C$46*Headcount!$E$46*(1+burden)*(1+salary_infl)^MAX(0,2030-2027)*MAX(0,MIN(12,(2030-YEAR(Headcount!$D$46))*12+13-MONTH(Headcount!$D$46)))/12</f>
        <v/>
      </c>
      <c r="AE97" s="4">
        <f>Headcount!$C$46*Headcount!$E$46*(1+burden)*(1+salary_infl)^MAX(0,2031-2027)*MAX(0,MIN(12,(2031-YEAR(Headcount!$D$46))*12+13-MONTH(Headcount!$D$46)))/12</f>
        <v/>
      </c>
      <c r="AG97" s="4">
        <f>SUMIF($C$3:$AE$3,AG$3,$C97:$AE97)</f>
        <v/>
      </c>
      <c r="AH97" s="4">
        <f>SUMIF($C$3:$AE$3,AH$3,$C97:$AE97)</f>
        <v/>
      </c>
      <c r="AI97" s="4">
        <f>SUMIF($C$3:$AE$3,AI$3,$C97:$AE97)</f>
        <v/>
      </c>
      <c r="AJ97" s="4">
        <f>SUMIF($C$3:$AE$3,AJ$3,$C97:$AE97)</f>
        <v/>
      </c>
      <c r="AK97" s="4">
        <f>SUMIF($C$3:$AE$3,AK$3,$C97:$AE97)</f>
        <v/>
      </c>
      <c r="AL97" s="4">
        <f>SUMIF($C$3:$AE$3,AL$3,$C97:$AE97)</f>
        <v/>
      </c>
    </row>
    <row r="99">
      <c r="A99" s="8" t="inlineStr">
        <is>
          <t>Summary by department</t>
        </is>
      </c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>
      <c r="A100" t="inlineStr">
        <is>
          <t>Headcount -- R&amp;D</t>
        </is>
      </c>
      <c r="B100" s="2" t="inlineStr"/>
      <c r="C100" s="4">
        <f>SUMIF($B$10:$B$52,"R&amp;D",C10:C52)</f>
        <v/>
      </c>
      <c r="D100" s="4">
        <f>SUMIF($B$10:$B$52,"R&amp;D",D10:D52)</f>
        <v/>
      </c>
      <c r="E100" s="4">
        <f>SUMIF($B$10:$B$52,"R&amp;D",E10:E52)</f>
        <v/>
      </c>
      <c r="F100" s="4">
        <f>SUMIF($B$10:$B$52,"R&amp;D",F10:F52)</f>
        <v/>
      </c>
      <c r="G100" s="4">
        <f>SUMIF($B$10:$B$52,"R&amp;D",G10:G52)</f>
        <v/>
      </c>
      <c r="H100" s="4">
        <f>SUMIF($B$10:$B$52,"R&amp;D",H10:H52)</f>
        <v/>
      </c>
      <c r="I100" s="4">
        <f>SUMIF($B$10:$B$52,"R&amp;D",I10:I52)</f>
        <v/>
      </c>
      <c r="J100" s="4">
        <f>SUMIF($B$10:$B$52,"R&amp;D",J10:J52)</f>
        <v/>
      </c>
      <c r="K100" s="4">
        <f>SUMIF($B$10:$B$52,"R&amp;D",K10:K52)</f>
        <v/>
      </c>
      <c r="L100" s="4">
        <f>SUMIF($B$10:$B$52,"R&amp;D",L10:L52)</f>
        <v/>
      </c>
      <c r="M100" s="4">
        <f>SUMIF($B$10:$B$52,"R&amp;D",M10:M52)</f>
        <v/>
      </c>
      <c r="N100" s="4">
        <f>SUMIF($B$10:$B$52,"R&amp;D",N10:N52)</f>
        <v/>
      </c>
      <c r="O100" s="4">
        <f>SUMIF($B$10:$B$52,"R&amp;D",O10:O52)</f>
        <v/>
      </c>
      <c r="P100" s="4">
        <f>SUMIF($B$10:$B$52,"R&amp;D",P10:P52)</f>
        <v/>
      </c>
      <c r="Q100" s="4">
        <f>SUMIF($B$10:$B$52,"R&amp;D",Q10:Q52)</f>
        <v/>
      </c>
      <c r="R100" s="4">
        <f>SUMIF($B$10:$B$52,"R&amp;D",R10:R52)</f>
        <v/>
      </c>
      <c r="S100" s="4">
        <f>SUMIF($B$10:$B$52,"R&amp;D",S10:S52)</f>
        <v/>
      </c>
      <c r="T100" s="4">
        <f>SUMIF($B$10:$B$52,"R&amp;D",T10:T52)</f>
        <v/>
      </c>
      <c r="U100" s="4">
        <f>SUMIF($B$10:$B$52,"R&amp;D",U10:U52)</f>
        <v/>
      </c>
      <c r="V100" s="4">
        <f>SUMIF($B$10:$B$52,"R&amp;D",V10:V52)</f>
        <v/>
      </c>
      <c r="W100" s="4">
        <f>SUMIF($B$10:$B$52,"R&amp;D",W10:W52)</f>
        <v/>
      </c>
      <c r="X100" s="4">
        <f>SUMIF($B$10:$B$52,"R&amp;D",X10:X52)</f>
        <v/>
      </c>
      <c r="Y100" s="4">
        <f>SUMIF($B$10:$B$52,"R&amp;D",Y10:Y52)</f>
        <v/>
      </c>
      <c r="Z100" s="4">
        <f>SUMIF($B$10:$B$52,"R&amp;D",Z10:Z52)</f>
        <v/>
      </c>
      <c r="AA100" s="4">
        <f>SUMIF($B$10:$B$52,"R&amp;D",AA10:AA52)</f>
        <v/>
      </c>
      <c r="AB100" s="4">
        <f>SUMIF($B$10:$B$52,"R&amp;D",AB10:AB52)</f>
        <v/>
      </c>
      <c r="AC100" s="4">
        <f>SUMIF($B$10:$B$52,"R&amp;D",AC10:AC52)</f>
        <v/>
      </c>
      <c r="AD100" s="4">
        <f>SUMIF($B$10:$B$52,"R&amp;D",AD10:AD52)</f>
        <v/>
      </c>
      <c r="AE100" s="4">
        <f>SUMIF($B$10:$B$52,"R&amp;D",AE10:AE52)</f>
        <v/>
      </c>
      <c r="AG100" s="4">
        <f>D100</f>
        <v/>
      </c>
      <c r="AH100" s="4">
        <f>P100</f>
        <v/>
      </c>
      <c r="AI100" s="4">
        <f>AB100</f>
        <v/>
      </c>
      <c r="AJ100" s="4">
        <f>AC100</f>
        <v/>
      </c>
      <c r="AK100" s="4">
        <f>AD100</f>
        <v/>
      </c>
      <c r="AL100" s="4">
        <f>AE100</f>
        <v/>
      </c>
    </row>
    <row r="101">
      <c r="A101" t="inlineStr">
        <is>
          <t>Headcount -- S&amp;M</t>
        </is>
      </c>
      <c r="B101" s="2" t="inlineStr"/>
      <c r="C101" s="4">
        <f>SUMIF($B$10:$B$52,"S&amp;M",C10:C52)</f>
        <v/>
      </c>
      <c r="D101" s="4">
        <f>SUMIF($B$10:$B$52,"S&amp;M",D10:D52)</f>
        <v/>
      </c>
      <c r="E101" s="4">
        <f>SUMIF($B$10:$B$52,"S&amp;M",E10:E52)</f>
        <v/>
      </c>
      <c r="F101" s="4">
        <f>SUMIF($B$10:$B$52,"S&amp;M",F10:F52)</f>
        <v/>
      </c>
      <c r="G101" s="4">
        <f>SUMIF($B$10:$B$52,"S&amp;M",G10:G52)</f>
        <v/>
      </c>
      <c r="H101" s="4">
        <f>SUMIF($B$10:$B$52,"S&amp;M",H10:H52)</f>
        <v/>
      </c>
      <c r="I101" s="4">
        <f>SUMIF($B$10:$B$52,"S&amp;M",I10:I52)</f>
        <v/>
      </c>
      <c r="J101" s="4">
        <f>SUMIF($B$10:$B$52,"S&amp;M",J10:J52)</f>
        <v/>
      </c>
      <c r="K101" s="4">
        <f>SUMIF($B$10:$B$52,"S&amp;M",K10:K52)</f>
        <v/>
      </c>
      <c r="L101" s="4">
        <f>SUMIF($B$10:$B$52,"S&amp;M",L10:L52)</f>
        <v/>
      </c>
      <c r="M101" s="4">
        <f>SUMIF($B$10:$B$52,"S&amp;M",M10:M52)</f>
        <v/>
      </c>
      <c r="N101" s="4">
        <f>SUMIF($B$10:$B$52,"S&amp;M",N10:N52)</f>
        <v/>
      </c>
      <c r="O101" s="4">
        <f>SUMIF($B$10:$B$52,"S&amp;M",O10:O52)</f>
        <v/>
      </c>
      <c r="P101" s="4">
        <f>SUMIF($B$10:$B$52,"S&amp;M",P10:P52)</f>
        <v/>
      </c>
      <c r="Q101" s="4">
        <f>SUMIF($B$10:$B$52,"S&amp;M",Q10:Q52)</f>
        <v/>
      </c>
      <c r="R101" s="4">
        <f>SUMIF($B$10:$B$52,"S&amp;M",R10:R52)</f>
        <v/>
      </c>
      <c r="S101" s="4">
        <f>SUMIF($B$10:$B$52,"S&amp;M",S10:S52)</f>
        <v/>
      </c>
      <c r="T101" s="4">
        <f>SUMIF($B$10:$B$52,"S&amp;M",T10:T52)</f>
        <v/>
      </c>
      <c r="U101" s="4">
        <f>SUMIF($B$10:$B$52,"S&amp;M",U10:U52)</f>
        <v/>
      </c>
      <c r="V101" s="4">
        <f>SUMIF($B$10:$B$52,"S&amp;M",V10:V52)</f>
        <v/>
      </c>
      <c r="W101" s="4">
        <f>SUMIF($B$10:$B$52,"S&amp;M",W10:W52)</f>
        <v/>
      </c>
      <c r="X101" s="4">
        <f>SUMIF($B$10:$B$52,"S&amp;M",X10:X52)</f>
        <v/>
      </c>
      <c r="Y101" s="4">
        <f>SUMIF($B$10:$B$52,"S&amp;M",Y10:Y52)</f>
        <v/>
      </c>
      <c r="Z101" s="4">
        <f>SUMIF($B$10:$B$52,"S&amp;M",Z10:Z52)</f>
        <v/>
      </c>
      <c r="AA101" s="4">
        <f>SUMIF($B$10:$B$52,"S&amp;M",AA10:AA52)</f>
        <v/>
      </c>
      <c r="AB101" s="4">
        <f>SUMIF($B$10:$B$52,"S&amp;M",AB10:AB52)</f>
        <v/>
      </c>
      <c r="AC101" s="4">
        <f>SUMIF($B$10:$B$52,"S&amp;M",AC10:AC52)</f>
        <v/>
      </c>
      <c r="AD101" s="4">
        <f>SUMIF($B$10:$B$52,"S&amp;M",AD10:AD52)</f>
        <v/>
      </c>
      <c r="AE101" s="4">
        <f>SUMIF($B$10:$B$52,"S&amp;M",AE10:AE52)</f>
        <v/>
      </c>
      <c r="AG101" s="4">
        <f>D101</f>
        <v/>
      </c>
      <c r="AH101" s="4">
        <f>P101</f>
        <v/>
      </c>
      <c r="AI101" s="4">
        <f>AB101</f>
        <v/>
      </c>
      <c r="AJ101" s="4">
        <f>AC101</f>
        <v/>
      </c>
      <c r="AK101" s="4">
        <f>AD101</f>
        <v/>
      </c>
      <c r="AL101" s="4">
        <f>AE101</f>
        <v/>
      </c>
    </row>
    <row r="102">
      <c r="A102" t="inlineStr">
        <is>
          <t>Headcount -- Ops &amp; CS</t>
        </is>
      </c>
      <c r="B102" s="2" t="inlineStr"/>
      <c r="C102" s="4">
        <f>SUMIF($B$10:$B$52,"Ops &amp; CS",C10:C52)</f>
        <v/>
      </c>
      <c r="D102" s="4">
        <f>SUMIF($B$10:$B$52,"Ops &amp; CS",D10:D52)</f>
        <v/>
      </c>
      <c r="E102" s="4">
        <f>SUMIF($B$10:$B$52,"Ops &amp; CS",E10:E52)</f>
        <v/>
      </c>
      <c r="F102" s="4">
        <f>SUMIF($B$10:$B$52,"Ops &amp; CS",F10:F52)</f>
        <v/>
      </c>
      <c r="G102" s="4">
        <f>SUMIF($B$10:$B$52,"Ops &amp; CS",G10:G52)</f>
        <v/>
      </c>
      <c r="H102" s="4">
        <f>SUMIF($B$10:$B$52,"Ops &amp; CS",H10:H52)</f>
        <v/>
      </c>
      <c r="I102" s="4">
        <f>SUMIF($B$10:$B$52,"Ops &amp; CS",I10:I52)</f>
        <v/>
      </c>
      <c r="J102" s="4">
        <f>SUMIF($B$10:$B$52,"Ops &amp; CS",J10:J52)</f>
        <v/>
      </c>
      <c r="K102" s="4">
        <f>SUMIF($B$10:$B$52,"Ops &amp; CS",K10:K52)</f>
        <v/>
      </c>
      <c r="L102" s="4">
        <f>SUMIF($B$10:$B$52,"Ops &amp; CS",L10:L52)</f>
        <v/>
      </c>
      <c r="M102" s="4">
        <f>SUMIF($B$10:$B$52,"Ops &amp; CS",M10:M52)</f>
        <v/>
      </c>
      <c r="N102" s="4">
        <f>SUMIF($B$10:$B$52,"Ops &amp; CS",N10:N52)</f>
        <v/>
      </c>
      <c r="O102" s="4">
        <f>SUMIF($B$10:$B$52,"Ops &amp; CS",O10:O52)</f>
        <v/>
      </c>
      <c r="P102" s="4">
        <f>SUMIF($B$10:$B$52,"Ops &amp; CS",P10:P52)</f>
        <v/>
      </c>
      <c r="Q102" s="4">
        <f>SUMIF($B$10:$B$52,"Ops &amp; CS",Q10:Q52)</f>
        <v/>
      </c>
      <c r="R102" s="4">
        <f>SUMIF($B$10:$B$52,"Ops &amp; CS",R10:R52)</f>
        <v/>
      </c>
      <c r="S102" s="4">
        <f>SUMIF($B$10:$B$52,"Ops &amp; CS",S10:S52)</f>
        <v/>
      </c>
      <c r="T102" s="4">
        <f>SUMIF($B$10:$B$52,"Ops &amp; CS",T10:T52)</f>
        <v/>
      </c>
      <c r="U102" s="4">
        <f>SUMIF($B$10:$B$52,"Ops &amp; CS",U10:U52)</f>
        <v/>
      </c>
      <c r="V102" s="4">
        <f>SUMIF($B$10:$B$52,"Ops &amp; CS",V10:V52)</f>
        <v/>
      </c>
      <c r="W102" s="4">
        <f>SUMIF($B$10:$B$52,"Ops &amp; CS",W10:W52)</f>
        <v/>
      </c>
      <c r="X102" s="4">
        <f>SUMIF($B$10:$B$52,"Ops &amp; CS",X10:X52)</f>
        <v/>
      </c>
      <c r="Y102" s="4">
        <f>SUMIF($B$10:$B$52,"Ops &amp; CS",Y10:Y52)</f>
        <v/>
      </c>
      <c r="Z102" s="4">
        <f>SUMIF($B$10:$B$52,"Ops &amp; CS",Z10:Z52)</f>
        <v/>
      </c>
      <c r="AA102" s="4">
        <f>SUMIF($B$10:$B$52,"Ops &amp; CS",AA10:AA52)</f>
        <v/>
      </c>
      <c r="AB102" s="4">
        <f>SUMIF($B$10:$B$52,"Ops &amp; CS",AB10:AB52)</f>
        <v/>
      </c>
      <c r="AC102" s="4">
        <f>SUMIF($B$10:$B$52,"Ops &amp; CS",AC10:AC52)</f>
        <v/>
      </c>
      <c r="AD102" s="4">
        <f>SUMIF($B$10:$B$52,"Ops &amp; CS",AD10:AD52)</f>
        <v/>
      </c>
      <c r="AE102" s="4">
        <f>SUMIF($B$10:$B$52,"Ops &amp; CS",AE10:AE52)</f>
        <v/>
      </c>
      <c r="AG102" s="4">
        <f>D102</f>
        <v/>
      </c>
      <c r="AH102" s="4">
        <f>P102</f>
        <v/>
      </c>
      <c r="AI102" s="4">
        <f>AB102</f>
        <v/>
      </c>
      <c r="AJ102" s="4">
        <f>AC102</f>
        <v/>
      </c>
      <c r="AK102" s="4">
        <f>AD102</f>
        <v/>
      </c>
      <c r="AL102" s="4">
        <f>AE102</f>
        <v/>
      </c>
    </row>
    <row r="103">
      <c r="A103" t="inlineStr">
        <is>
          <t>Headcount -- G&amp;A</t>
        </is>
      </c>
      <c r="B103" s="2" t="inlineStr"/>
      <c r="C103" s="4">
        <f>SUMIF($B$10:$B$52,"G&amp;A",C10:C52)</f>
        <v/>
      </c>
      <c r="D103" s="4">
        <f>SUMIF($B$10:$B$52,"G&amp;A",D10:D52)</f>
        <v/>
      </c>
      <c r="E103" s="4">
        <f>SUMIF($B$10:$B$52,"G&amp;A",E10:E52)</f>
        <v/>
      </c>
      <c r="F103" s="4">
        <f>SUMIF($B$10:$B$52,"G&amp;A",F10:F52)</f>
        <v/>
      </c>
      <c r="G103" s="4">
        <f>SUMIF($B$10:$B$52,"G&amp;A",G10:G52)</f>
        <v/>
      </c>
      <c r="H103" s="4">
        <f>SUMIF($B$10:$B$52,"G&amp;A",H10:H52)</f>
        <v/>
      </c>
      <c r="I103" s="4">
        <f>SUMIF($B$10:$B$52,"G&amp;A",I10:I52)</f>
        <v/>
      </c>
      <c r="J103" s="4">
        <f>SUMIF($B$10:$B$52,"G&amp;A",J10:J52)</f>
        <v/>
      </c>
      <c r="K103" s="4">
        <f>SUMIF($B$10:$B$52,"G&amp;A",K10:K52)</f>
        <v/>
      </c>
      <c r="L103" s="4">
        <f>SUMIF($B$10:$B$52,"G&amp;A",L10:L52)</f>
        <v/>
      </c>
      <c r="M103" s="4">
        <f>SUMIF($B$10:$B$52,"G&amp;A",M10:M52)</f>
        <v/>
      </c>
      <c r="N103" s="4">
        <f>SUMIF($B$10:$B$52,"G&amp;A",N10:N52)</f>
        <v/>
      </c>
      <c r="O103" s="4">
        <f>SUMIF($B$10:$B$52,"G&amp;A",O10:O52)</f>
        <v/>
      </c>
      <c r="P103" s="4">
        <f>SUMIF($B$10:$B$52,"G&amp;A",P10:P52)</f>
        <v/>
      </c>
      <c r="Q103" s="4">
        <f>SUMIF($B$10:$B$52,"G&amp;A",Q10:Q52)</f>
        <v/>
      </c>
      <c r="R103" s="4">
        <f>SUMIF($B$10:$B$52,"G&amp;A",R10:R52)</f>
        <v/>
      </c>
      <c r="S103" s="4">
        <f>SUMIF($B$10:$B$52,"G&amp;A",S10:S52)</f>
        <v/>
      </c>
      <c r="T103" s="4">
        <f>SUMIF($B$10:$B$52,"G&amp;A",T10:T52)</f>
        <v/>
      </c>
      <c r="U103" s="4">
        <f>SUMIF($B$10:$B$52,"G&amp;A",U10:U52)</f>
        <v/>
      </c>
      <c r="V103" s="4">
        <f>SUMIF($B$10:$B$52,"G&amp;A",V10:V52)</f>
        <v/>
      </c>
      <c r="W103" s="4">
        <f>SUMIF($B$10:$B$52,"G&amp;A",W10:W52)</f>
        <v/>
      </c>
      <c r="X103" s="4">
        <f>SUMIF($B$10:$B$52,"G&amp;A",X10:X52)</f>
        <v/>
      </c>
      <c r="Y103" s="4">
        <f>SUMIF($B$10:$B$52,"G&amp;A",Y10:Y52)</f>
        <v/>
      </c>
      <c r="Z103" s="4">
        <f>SUMIF($B$10:$B$52,"G&amp;A",Z10:Z52)</f>
        <v/>
      </c>
      <c r="AA103" s="4">
        <f>SUMIF($B$10:$B$52,"G&amp;A",AA10:AA52)</f>
        <v/>
      </c>
      <c r="AB103" s="4">
        <f>SUMIF($B$10:$B$52,"G&amp;A",AB10:AB52)</f>
        <v/>
      </c>
      <c r="AC103" s="4">
        <f>SUMIF($B$10:$B$52,"G&amp;A",AC10:AC52)</f>
        <v/>
      </c>
      <c r="AD103" s="4">
        <f>SUMIF($B$10:$B$52,"G&amp;A",AD10:AD52)</f>
        <v/>
      </c>
      <c r="AE103" s="4">
        <f>SUMIF($B$10:$B$52,"G&amp;A",AE10:AE52)</f>
        <v/>
      </c>
      <c r="AG103" s="4">
        <f>D103</f>
        <v/>
      </c>
      <c r="AH103" s="4">
        <f>P103</f>
        <v/>
      </c>
      <c r="AI103" s="4">
        <f>AB103</f>
        <v/>
      </c>
      <c r="AJ103" s="4">
        <f>AC103</f>
        <v/>
      </c>
      <c r="AK103" s="4">
        <f>AD103</f>
        <v/>
      </c>
      <c r="AL103" s="4">
        <f>AE103</f>
        <v/>
      </c>
    </row>
    <row r="104">
      <c r="A104" s="13" t="inlineStr">
        <is>
          <t>TOTAL HEADCOUNT (end of period)</t>
        </is>
      </c>
      <c r="B104" s="2" t="inlineStr"/>
      <c r="C104" s="24">
        <f>'Headcount Plan'!C100+'Headcount Plan'!C101+'Headcount Plan'!C102+'Headcount Plan'!C103</f>
        <v/>
      </c>
      <c r="D104" s="24">
        <f>'Headcount Plan'!D100+'Headcount Plan'!D101+'Headcount Plan'!D102+'Headcount Plan'!D103</f>
        <v/>
      </c>
      <c r="E104" s="24">
        <f>'Headcount Plan'!E100+'Headcount Plan'!E101+'Headcount Plan'!E102+'Headcount Plan'!E103</f>
        <v/>
      </c>
      <c r="F104" s="24">
        <f>'Headcount Plan'!F100+'Headcount Plan'!F101+'Headcount Plan'!F102+'Headcount Plan'!F103</f>
        <v/>
      </c>
      <c r="G104" s="24">
        <f>'Headcount Plan'!G100+'Headcount Plan'!G101+'Headcount Plan'!G102+'Headcount Plan'!G103</f>
        <v/>
      </c>
      <c r="H104" s="24">
        <f>'Headcount Plan'!H100+'Headcount Plan'!H101+'Headcount Plan'!H102+'Headcount Plan'!H103</f>
        <v/>
      </c>
      <c r="I104" s="24">
        <f>'Headcount Plan'!I100+'Headcount Plan'!I101+'Headcount Plan'!I102+'Headcount Plan'!I103</f>
        <v/>
      </c>
      <c r="J104" s="24">
        <f>'Headcount Plan'!J100+'Headcount Plan'!J101+'Headcount Plan'!J102+'Headcount Plan'!J103</f>
        <v/>
      </c>
      <c r="K104" s="24">
        <f>'Headcount Plan'!K100+'Headcount Plan'!K101+'Headcount Plan'!K102+'Headcount Plan'!K103</f>
        <v/>
      </c>
      <c r="L104" s="24">
        <f>'Headcount Plan'!L100+'Headcount Plan'!L101+'Headcount Plan'!L102+'Headcount Plan'!L103</f>
        <v/>
      </c>
      <c r="M104" s="24">
        <f>'Headcount Plan'!M100+'Headcount Plan'!M101+'Headcount Plan'!M102+'Headcount Plan'!M103</f>
        <v/>
      </c>
      <c r="N104" s="24">
        <f>'Headcount Plan'!N100+'Headcount Plan'!N101+'Headcount Plan'!N102+'Headcount Plan'!N103</f>
        <v/>
      </c>
      <c r="O104" s="24">
        <f>'Headcount Plan'!O100+'Headcount Plan'!O101+'Headcount Plan'!O102+'Headcount Plan'!O103</f>
        <v/>
      </c>
      <c r="P104" s="24">
        <f>'Headcount Plan'!P100+'Headcount Plan'!P101+'Headcount Plan'!P102+'Headcount Plan'!P103</f>
        <v/>
      </c>
      <c r="Q104" s="24">
        <f>'Headcount Plan'!Q100+'Headcount Plan'!Q101+'Headcount Plan'!Q102+'Headcount Plan'!Q103</f>
        <v/>
      </c>
      <c r="R104" s="24">
        <f>'Headcount Plan'!R100+'Headcount Plan'!R101+'Headcount Plan'!R102+'Headcount Plan'!R103</f>
        <v/>
      </c>
      <c r="S104" s="24">
        <f>'Headcount Plan'!S100+'Headcount Plan'!S101+'Headcount Plan'!S102+'Headcount Plan'!S103</f>
        <v/>
      </c>
      <c r="T104" s="24">
        <f>'Headcount Plan'!T100+'Headcount Plan'!T101+'Headcount Plan'!T102+'Headcount Plan'!T103</f>
        <v/>
      </c>
      <c r="U104" s="24">
        <f>'Headcount Plan'!U100+'Headcount Plan'!U101+'Headcount Plan'!U102+'Headcount Plan'!U103</f>
        <v/>
      </c>
      <c r="V104" s="24">
        <f>'Headcount Plan'!V100+'Headcount Plan'!V101+'Headcount Plan'!V102+'Headcount Plan'!V103</f>
        <v/>
      </c>
      <c r="W104" s="24">
        <f>'Headcount Plan'!W100+'Headcount Plan'!W101+'Headcount Plan'!W102+'Headcount Plan'!W103</f>
        <v/>
      </c>
      <c r="X104" s="24">
        <f>'Headcount Plan'!X100+'Headcount Plan'!X101+'Headcount Plan'!X102+'Headcount Plan'!X103</f>
        <v/>
      </c>
      <c r="Y104" s="24">
        <f>'Headcount Plan'!Y100+'Headcount Plan'!Y101+'Headcount Plan'!Y102+'Headcount Plan'!Y103</f>
        <v/>
      </c>
      <c r="Z104" s="24">
        <f>'Headcount Plan'!Z100+'Headcount Plan'!Z101+'Headcount Plan'!Z102+'Headcount Plan'!Z103</f>
        <v/>
      </c>
      <c r="AA104" s="24">
        <f>'Headcount Plan'!AA100+'Headcount Plan'!AA101+'Headcount Plan'!AA102+'Headcount Plan'!AA103</f>
        <v/>
      </c>
      <c r="AB104" s="24">
        <f>'Headcount Plan'!AB100+'Headcount Plan'!AB101+'Headcount Plan'!AB102+'Headcount Plan'!AB103</f>
        <v/>
      </c>
      <c r="AC104" s="24">
        <f>'Headcount Plan'!AC100+'Headcount Plan'!AC101+'Headcount Plan'!AC102+'Headcount Plan'!AC103</f>
        <v/>
      </c>
      <c r="AD104" s="24">
        <f>'Headcount Plan'!AD100+'Headcount Plan'!AD101+'Headcount Plan'!AD102+'Headcount Plan'!AD103</f>
        <v/>
      </c>
      <c r="AE104" s="24">
        <f>'Headcount Plan'!AE100+'Headcount Plan'!AE101+'Headcount Plan'!AE102+'Headcount Plan'!AE103</f>
        <v/>
      </c>
      <c r="AG104" s="24">
        <f>D104</f>
        <v/>
      </c>
      <c r="AH104" s="24">
        <f>P104</f>
        <v/>
      </c>
      <c r="AI104" s="24">
        <f>AB104</f>
        <v/>
      </c>
      <c r="AJ104" s="24">
        <f>AC104</f>
        <v/>
      </c>
      <c r="AK104" s="24">
        <f>AD104</f>
        <v/>
      </c>
      <c r="AL104" s="24">
        <f>AE104</f>
        <v/>
      </c>
    </row>
    <row r="105">
      <c r="A105" t="inlineStr">
        <is>
          <t>Personnel cost -- R&amp;D</t>
        </is>
      </c>
      <c r="B105" s="2" t="inlineStr"/>
      <c r="C105" s="4">
        <f>SUMIF($B$55:$B$97,"R&amp;D",C55:C97)</f>
        <v/>
      </c>
      <c r="D105" s="4">
        <f>SUMIF($B$55:$B$97,"R&amp;D",D55:D97)</f>
        <v/>
      </c>
      <c r="E105" s="4">
        <f>SUMIF($B$55:$B$97,"R&amp;D",E55:E97)</f>
        <v/>
      </c>
      <c r="F105" s="4">
        <f>SUMIF($B$55:$B$97,"R&amp;D",F55:F97)</f>
        <v/>
      </c>
      <c r="G105" s="4">
        <f>SUMIF($B$55:$B$97,"R&amp;D",G55:G97)</f>
        <v/>
      </c>
      <c r="H105" s="4">
        <f>SUMIF($B$55:$B$97,"R&amp;D",H55:H97)</f>
        <v/>
      </c>
      <c r="I105" s="4">
        <f>SUMIF($B$55:$B$97,"R&amp;D",I55:I97)</f>
        <v/>
      </c>
      <c r="J105" s="4">
        <f>SUMIF($B$55:$B$97,"R&amp;D",J55:J97)</f>
        <v/>
      </c>
      <c r="K105" s="4">
        <f>SUMIF($B$55:$B$97,"R&amp;D",K55:K97)</f>
        <v/>
      </c>
      <c r="L105" s="4">
        <f>SUMIF($B$55:$B$97,"R&amp;D",L55:L97)</f>
        <v/>
      </c>
      <c r="M105" s="4">
        <f>SUMIF($B$55:$B$97,"R&amp;D",M55:M97)</f>
        <v/>
      </c>
      <c r="N105" s="4">
        <f>SUMIF($B$55:$B$97,"R&amp;D",N55:N97)</f>
        <v/>
      </c>
      <c r="O105" s="4">
        <f>SUMIF($B$55:$B$97,"R&amp;D",O55:O97)</f>
        <v/>
      </c>
      <c r="P105" s="4">
        <f>SUMIF($B$55:$B$97,"R&amp;D",P55:P97)</f>
        <v/>
      </c>
      <c r="Q105" s="4">
        <f>SUMIF($B$55:$B$97,"R&amp;D",Q55:Q97)</f>
        <v/>
      </c>
      <c r="R105" s="4">
        <f>SUMIF($B$55:$B$97,"R&amp;D",R55:R97)</f>
        <v/>
      </c>
      <c r="S105" s="4">
        <f>SUMIF($B$55:$B$97,"R&amp;D",S55:S97)</f>
        <v/>
      </c>
      <c r="T105" s="4">
        <f>SUMIF($B$55:$B$97,"R&amp;D",T55:T97)</f>
        <v/>
      </c>
      <c r="U105" s="4">
        <f>SUMIF($B$55:$B$97,"R&amp;D",U55:U97)</f>
        <v/>
      </c>
      <c r="V105" s="4">
        <f>SUMIF($B$55:$B$97,"R&amp;D",V55:V97)</f>
        <v/>
      </c>
      <c r="W105" s="4">
        <f>SUMIF($B$55:$B$97,"R&amp;D",W55:W97)</f>
        <v/>
      </c>
      <c r="X105" s="4">
        <f>SUMIF($B$55:$B$97,"R&amp;D",X55:X97)</f>
        <v/>
      </c>
      <c r="Y105" s="4">
        <f>SUMIF($B$55:$B$97,"R&amp;D",Y55:Y97)</f>
        <v/>
      </c>
      <c r="Z105" s="4">
        <f>SUMIF($B$55:$B$97,"R&amp;D",Z55:Z97)</f>
        <v/>
      </c>
      <c r="AA105" s="4">
        <f>SUMIF($B$55:$B$97,"R&amp;D",AA55:AA97)</f>
        <v/>
      </c>
      <c r="AB105" s="4">
        <f>SUMIF($B$55:$B$97,"R&amp;D",AB55:AB97)</f>
        <v/>
      </c>
      <c r="AC105" s="4">
        <f>SUMIF($B$55:$B$97,"R&amp;D",AC55:AC97)</f>
        <v/>
      </c>
      <c r="AD105" s="4">
        <f>SUMIF($B$55:$B$97,"R&amp;D",AD55:AD97)</f>
        <v/>
      </c>
      <c r="AE105" s="4">
        <f>SUMIF($B$55:$B$97,"R&amp;D",AE55:AE97)</f>
        <v/>
      </c>
      <c r="AG105" s="4">
        <f>SUMIF($C$3:$AE$3,AG$3,$C105:$AE105)</f>
        <v/>
      </c>
      <c r="AH105" s="4">
        <f>SUMIF($C$3:$AE$3,AH$3,$C105:$AE105)</f>
        <v/>
      </c>
      <c r="AI105" s="4">
        <f>SUMIF($C$3:$AE$3,AI$3,$C105:$AE105)</f>
        <v/>
      </c>
      <c r="AJ105" s="4">
        <f>SUMIF($C$3:$AE$3,AJ$3,$C105:$AE105)</f>
        <v/>
      </c>
      <c r="AK105" s="4">
        <f>SUMIF($C$3:$AE$3,AK$3,$C105:$AE105)</f>
        <v/>
      </c>
      <c r="AL105" s="4">
        <f>SUMIF($C$3:$AE$3,AL$3,$C105:$AE105)</f>
        <v/>
      </c>
    </row>
    <row r="106">
      <c r="A106" t="inlineStr">
        <is>
          <t>Personnel cost -- S&amp;M</t>
        </is>
      </c>
      <c r="B106" s="2" t="inlineStr"/>
      <c r="C106" s="4">
        <f>SUMIF($B$55:$B$97,"S&amp;M",C55:C97)</f>
        <v/>
      </c>
      <c r="D106" s="4">
        <f>SUMIF($B$55:$B$97,"S&amp;M",D55:D97)</f>
        <v/>
      </c>
      <c r="E106" s="4">
        <f>SUMIF($B$55:$B$97,"S&amp;M",E55:E97)</f>
        <v/>
      </c>
      <c r="F106" s="4">
        <f>SUMIF($B$55:$B$97,"S&amp;M",F55:F97)</f>
        <v/>
      </c>
      <c r="G106" s="4">
        <f>SUMIF($B$55:$B$97,"S&amp;M",G55:G97)</f>
        <v/>
      </c>
      <c r="H106" s="4">
        <f>SUMIF($B$55:$B$97,"S&amp;M",H55:H97)</f>
        <v/>
      </c>
      <c r="I106" s="4">
        <f>SUMIF($B$55:$B$97,"S&amp;M",I55:I97)</f>
        <v/>
      </c>
      <c r="J106" s="4">
        <f>SUMIF($B$55:$B$97,"S&amp;M",J55:J97)</f>
        <v/>
      </c>
      <c r="K106" s="4">
        <f>SUMIF($B$55:$B$97,"S&amp;M",K55:K97)</f>
        <v/>
      </c>
      <c r="L106" s="4">
        <f>SUMIF($B$55:$B$97,"S&amp;M",L55:L97)</f>
        <v/>
      </c>
      <c r="M106" s="4">
        <f>SUMIF($B$55:$B$97,"S&amp;M",M55:M97)</f>
        <v/>
      </c>
      <c r="N106" s="4">
        <f>SUMIF($B$55:$B$97,"S&amp;M",N55:N97)</f>
        <v/>
      </c>
      <c r="O106" s="4">
        <f>SUMIF($B$55:$B$97,"S&amp;M",O55:O97)</f>
        <v/>
      </c>
      <c r="P106" s="4">
        <f>SUMIF($B$55:$B$97,"S&amp;M",P55:P97)</f>
        <v/>
      </c>
      <c r="Q106" s="4">
        <f>SUMIF($B$55:$B$97,"S&amp;M",Q55:Q97)</f>
        <v/>
      </c>
      <c r="R106" s="4">
        <f>SUMIF($B$55:$B$97,"S&amp;M",R55:R97)</f>
        <v/>
      </c>
      <c r="S106" s="4">
        <f>SUMIF($B$55:$B$97,"S&amp;M",S55:S97)</f>
        <v/>
      </c>
      <c r="T106" s="4">
        <f>SUMIF($B$55:$B$97,"S&amp;M",T55:T97)</f>
        <v/>
      </c>
      <c r="U106" s="4">
        <f>SUMIF($B$55:$B$97,"S&amp;M",U55:U97)</f>
        <v/>
      </c>
      <c r="V106" s="4">
        <f>SUMIF($B$55:$B$97,"S&amp;M",V55:V97)</f>
        <v/>
      </c>
      <c r="W106" s="4">
        <f>SUMIF($B$55:$B$97,"S&amp;M",W55:W97)</f>
        <v/>
      </c>
      <c r="X106" s="4">
        <f>SUMIF($B$55:$B$97,"S&amp;M",X55:X97)</f>
        <v/>
      </c>
      <c r="Y106" s="4">
        <f>SUMIF($B$55:$B$97,"S&amp;M",Y55:Y97)</f>
        <v/>
      </c>
      <c r="Z106" s="4">
        <f>SUMIF($B$55:$B$97,"S&amp;M",Z55:Z97)</f>
        <v/>
      </c>
      <c r="AA106" s="4">
        <f>SUMIF($B$55:$B$97,"S&amp;M",AA55:AA97)</f>
        <v/>
      </c>
      <c r="AB106" s="4">
        <f>SUMIF($B$55:$B$97,"S&amp;M",AB55:AB97)</f>
        <v/>
      </c>
      <c r="AC106" s="4">
        <f>SUMIF($B$55:$B$97,"S&amp;M",AC55:AC97)</f>
        <v/>
      </c>
      <c r="AD106" s="4">
        <f>SUMIF($B$55:$B$97,"S&amp;M",AD55:AD97)</f>
        <v/>
      </c>
      <c r="AE106" s="4">
        <f>SUMIF($B$55:$B$97,"S&amp;M",AE55:AE97)</f>
        <v/>
      </c>
      <c r="AG106" s="4">
        <f>SUMIF($C$3:$AE$3,AG$3,$C106:$AE106)</f>
        <v/>
      </c>
      <c r="AH106" s="4">
        <f>SUMIF($C$3:$AE$3,AH$3,$C106:$AE106)</f>
        <v/>
      </c>
      <c r="AI106" s="4">
        <f>SUMIF($C$3:$AE$3,AI$3,$C106:$AE106)</f>
        <v/>
      </c>
      <c r="AJ106" s="4">
        <f>SUMIF($C$3:$AE$3,AJ$3,$C106:$AE106)</f>
        <v/>
      </c>
      <c r="AK106" s="4">
        <f>SUMIF($C$3:$AE$3,AK$3,$C106:$AE106)</f>
        <v/>
      </c>
      <c r="AL106" s="4">
        <f>SUMIF($C$3:$AE$3,AL$3,$C106:$AE106)</f>
        <v/>
      </c>
    </row>
    <row r="107">
      <c r="A107" t="inlineStr">
        <is>
          <t>Personnel cost -- Ops &amp; CS</t>
        </is>
      </c>
      <c r="B107" s="2" t="inlineStr"/>
      <c r="C107" s="4">
        <f>SUMIF($B$55:$B$97,"Ops &amp; CS",C55:C97)</f>
        <v/>
      </c>
      <c r="D107" s="4">
        <f>SUMIF($B$55:$B$97,"Ops &amp; CS",D55:D97)</f>
        <v/>
      </c>
      <c r="E107" s="4">
        <f>SUMIF($B$55:$B$97,"Ops &amp; CS",E55:E97)</f>
        <v/>
      </c>
      <c r="F107" s="4">
        <f>SUMIF($B$55:$B$97,"Ops &amp; CS",F55:F97)</f>
        <v/>
      </c>
      <c r="G107" s="4">
        <f>SUMIF($B$55:$B$97,"Ops &amp; CS",G55:G97)</f>
        <v/>
      </c>
      <c r="H107" s="4">
        <f>SUMIF($B$55:$B$97,"Ops &amp; CS",H55:H97)</f>
        <v/>
      </c>
      <c r="I107" s="4">
        <f>SUMIF($B$55:$B$97,"Ops &amp; CS",I55:I97)</f>
        <v/>
      </c>
      <c r="J107" s="4">
        <f>SUMIF($B$55:$B$97,"Ops &amp; CS",J55:J97)</f>
        <v/>
      </c>
      <c r="K107" s="4">
        <f>SUMIF($B$55:$B$97,"Ops &amp; CS",K55:K97)</f>
        <v/>
      </c>
      <c r="L107" s="4">
        <f>SUMIF($B$55:$B$97,"Ops &amp; CS",L55:L97)</f>
        <v/>
      </c>
      <c r="M107" s="4">
        <f>SUMIF($B$55:$B$97,"Ops &amp; CS",M55:M97)</f>
        <v/>
      </c>
      <c r="N107" s="4">
        <f>SUMIF($B$55:$B$97,"Ops &amp; CS",N55:N97)</f>
        <v/>
      </c>
      <c r="O107" s="4">
        <f>SUMIF($B$55:$B$97,"Ops &amp; CS",O55:O97)</f>
        <v/>
      </c>
      <c r="P107" s="4">
        <f>SUMIF($B$55:$B$97,"Ops &amp; CS",P55:P97)</f>
        <v/>
      </c>
      <c r="Q107" s="4">
        <f>SUMIF($B$55:$B$97,"Ops &amp; CS",Q55:Q97)</f>
        <v/>
      </c>
      <c r="R107" s="4">
        <f>SUMIF($B$55:$B$97,"Ops &amp; CS",R55:R97)</f>
        <v/>
      </c>
      <c r="S107" s="4">
        <f>SUMIF($B$55:$B$97,"Ops &amp; CS",S55:S97)</f>
        <v/>
      </c>
      <c r="T107" s="4">
        <f>SUMIF($B$55:$B$97,"Ops &amp; CS",T55:T97)</f>
        <v/>
      </c>
      <c r="U107" s="4">
        <f>SUMIF($B$55:$B$97,"Ops &amp; CS",U55:U97)</f>
        <v/>
      </c>
      <c r="V107" s="4">
        <f>SUMIF($B$55:$B$97,"Ops &amp; CS",V55:V97)</f>
        <v/>
      </c>
      <c r="W107" s="4">
        <f>SUMIF($B$55:$B$97,"Ops &amp; CS",W55:W97)</f>
        <v/>
      </c>
      <c r="X107" s="4">
        <f>SUMIF($B$55:$B$97,"Ops &amp; CS",X55:X97)</f>
        <v/>
      </c>
      <c r="Y107" s="4">
        <f>SUMIF($B$55:$B$97,"Ops &amp; CS",Y55:Y97)</f>
        <v/>
      </c>
      <c r="Z107" s="4">
        <f>SUMIF($B$55:$B$97,"Ops &amp; CS",Z55:Z97)</f>
        <v/>
      </c>
      <c r="AA107" s="4">
        <f>SUMIF($B$55:$B$97,"Ops &amp; CS",AA55:AA97)</f>
        <v/>
      </c>
      <c r="AB107" s="4">
        <f>SUMIF($B$55:$B$97,"Ops &amp; CS",AB55:AB97)</f>
        <v/>
      </c>
      <c r="AC107" s="4">
        <f>SUMIF($B$55:$B$97,"Ops &amp; CS",AC55:AC97)</f>
        <v/>
      </c>
      <c r="AD107" s="4">
        <f>SUMIF($B$55:$B$97,"Ops &amp; CS",AD55:AD97)</f>
        <v/>
      </c>
      <c r="AE107" s="4">
        <f>SUMIF($B$55:$B$97,"Ops &amp; CS",AE55:AE97)</f>
        <v/>
      </c>
      <c r="AG107" s="4">
        <f>SUMIF($C$3:$AE$3,AG$3,$C107:$AE107)</f>
        <v/>
      </c>
      <c r="AH107" s="4">
        <f>SUMIF($C$3:$AE$3,AH$3,$C107:$AE107)</f>
        <v/>
      </c>
      <c r="AI107" s="4">
        <f>SUMIF($C$3:$AE$3,AI$3,$C107:$AE107)</f>
        <v/>
      </c>
      <c r="AJ107" s="4">
        <f>SUMIF($C$3:$AE$3,AJ$3,$C107:$AE107)</f>
        <v/>
      </c>
      <c r="AK107" s="4">
        <f>SUMIF($C$3:$AE$3,AK$3,$C107:$AE107)</f>
        <v/>
      </c>
      <c r="AL107" s="4">
        <f>SUMIF($C$3:$AE$3,AL$3,$C107:$AE107)</f>
        <v/>
      </c>
    </row>
    <row r="108">
      <c r="A108" t="inlineStr">
        <is>
          <t>Personnel cost -- G&amp;A</t>
        </is>
      </c>
      <c r="B108" s="2" t="inlineStr"/>
      <c r="C108" s="4">
        <f>SUMIF($B$55:$B$97,"G&amp;A",C55:C97)</f>
        <v/>
      </c>
      <c r="D108" s="4">
        <f>SUMIF($B$55:$B$97,"G&amp;A",D55:D97)</f>
        <v/>
      </c>
      <c r="E108" s="4">
        <f>SUMIF($B$55:$B$97,"G&amp;A",E55:E97)</f>
        <v/>
      </c>
      <c r="F108" s="4">
        <f>SUMIF($B$55:$B$97,"G&amp;A",F55:F97)</f>
        <v/>
      </c>
      <c r="G108" s="4">
        <f>SUMIF($B$55:$B$97,"G&amp;A",G55:G97)</f>
        <v/>
      </c>
      <c r="H108" s="4">
        <f>SUMIF($B$55:$B$97,"G&amp;A",H55:H97)</f>
        <v/>
      </c>
      <c r="I108" s="4">
        <f>SUMIF($B$55:$B$97,"G&amp;A",I55:I97)</f>
        <v/>
      </c>
      <c r="J108" s="4">
        <f>SUMIF($B$55:$B$97,"G&amp;A",J55:J97)</f>
        <v/>
      </c>
      <c r="K108" s="4">
        <f>SUMIF($B$55:$B$97,"G&amp;A",K55:K97)</f>
        <v/>
      </c>
      <c r="L108" s="4">
        <f>SUMIF($B$55:$B$97,"G&amp;A",L55:L97)</f>
        <v/>
      </c>
      <c r="M108" s="4">
        <f>SUMIF($B$55:$B$97,"G&amp;A",M55:M97)</f>
        <v/>
      </c>
      <c r="N108" s="4">
        <f>SUMIF($B$55:$B$97,"G&amp;A",N55:N97)</f>
        <v/>
      </c>
      <c r="O108" s="4">
        <f>SUMIF($B$55:$B$97,"G&amp;A",O55:O97)</f>
        <v/>
      </c>
      <c r="P108" s="4">
        <f>SUMIF($B$55:$B$97,"G&amp;A",P55:P97)</f>
        <v/>
      </c>
      <c r="Q108" s="4">
        <f>SUMIF($B$55:$B$97,"G&amp;A",Q55:Q97)</f>
        <v/>
      </c>
      <c r="R108" s="4">
        <f>SUMIF($B$55:$B$97,"G&amp;A",R55:R97)</f>
        <v/>
      </c>
      <c r="S108" s="4">
        <f>SUMIF($B$55:$B$97,"G&amp;A",S55:S97)</f>
        <v/>
      </c>
      <c r="T108" s="4">
        <f>SUMIF($B$55:$B$97,"G&amp;A",T55:T97)</f>
        <v/>
      </c>
      <c r="U108" s="4">
        <f>SUMIF($B$55:$B$97,"G&amp;A",U55:U97)</f>
        <v/>
      </c>
      <c r="V108" s="4">
        <f>SUMIF($B$55:$B$97,"G&amp;A",V55:V97)</f>
        <v/>
      </c>
      <c r="W108" s="4">
        <f>SUMIF($B$55:$B$97,"G&amp;A",W55:W97)</f>
        <v/>
      </c>
      <c r="X108" s="4">
        <f>SUMIF($B$55:$B$97,"G&amp;A",X55:X97)</f>
        <v/>
      </c>
      <c r="Y108" s="4">
        <f>SUMIF($B$55:$B$97,"G&amp;A",Y55:Y97)</f>
        <v/>
      </c>
      <c r="Z108" s="4">
        <f>SUMIF($B$55:$B$97,"G&amp;A",Z55:Z97)</f>
        <v/>
      </c>
      <c r="AA108" s="4">
        <f>SUMIF($B$55:$B$97,"G&amp;A",AA55:AA97)</f>
        <v/>
      </c>
      <c r="AB108" s="4">
        <f>SUMIF($B$55:$B$97,"G&amp;A",AB55:AB97)</f>
        <v/>
      </c>
      <c r="AC108" s="4">
        <f>SUMIF($B$55:$B$97,"G&amp;A",AC55:AC97)</f>
        <v/>
      </c>
      <c r="AD108" s="4">
        <f>SUMIF($B$55:$B$97,"G&amp;A",AD55:AD97)</f>
        <v/>
      </c>
      <c r="AE108" s="4">
        <f>SUMIF($B$55:$B$97,"G&amp;A",AE55:AE97)</f>
        <v/>
      </c>
      <c r="AG108" s="4">
        <f>SUMIF($C$3:$AE$3,AG$3,$C108:$AE108)</f>
        <v/>
      </c>
      <c r="AH108" s="4">
        <f>SUMIF($C$3:$AE$3,AH$3,$C108:$AE108)</f>
        <v/>
      </c>
      <c r="AI108" s="4">
        <f>SUMIF($C$3:$AE$3,AI$3,$C108:$AE108)</f>
        <v/>
      </c>
      <c r="AJ108" s="4">
        <f>SUMIF($C$3:$AE$3,AJ$3,$C108:$AE108)</f>
        <v/>
      </c>
      <c r="AK108" s="4">
        <f>SUMIF($C$3:$AE$3,AK$3,$C108:$AE108)</f>
        <v/>
      </c>
      <c r="AL108" s="4">
        <f>SUMIF($C$3:$AE$3,AL$3,$C108:$AE108)</f>
        <v/>
      </c>
    </row>
    <row r="109">
      <c r="A109" s="13" t="inlineStr">
        <is>
          <t>TOTAL PERSONNEL COST</t>
        </is>
      </c>
      <c r="B109" s="2" t="inlineStr"/>
      <c r="C109" s="24">
        <f>'Headcount Plan'!C105+'Headcount Plan'!C106+'Headcount Plan'!C107+'Headcount Plan'!C108</f>
        <v/>
      </c>
      <c r="D109" s="24">
        <f>'Headcount Plan'!D105+'Headcount Plan'!D106+'Headcount Plan'!D107+'Headcount Plan'!D108</f>
        <v/>
      </c>
      <c r="E109" s="24">
        <f>'Headcount Plan'!E105+'Headcount Plan'!E106+'Headcount Plan'!E107+'Headcount Plan'!E108</f>
        <v/>
      </c>
      <c r="F109" s="24">
        <f>'Headcount Plan'!F105+'Headcount Plan'!F106+'Headcount Plan'!F107+'Headcount Plan'!F108</f>
        <v/>
      </c>
      <c r="G109" s="24">
        <f>'Headcount Plan'!G105+'Headcount Plan'!G106+'Headcount Plan'!G107+'Headcount Plan'!G108</f>
        <v/>
      </c>
      <c r="H109" s="24">
        <f>'Headcount Plan'!H105+'Headcount Plan'!H106+'Headcount Plan'!H107+'Headcount Plan'!H108</f>
        <v/>
      </c>
      <c r="I109" s="24">
        <f>'Headcount Plan'!I105+'Headcount Plan'!I106+'Headcount Plan'!I107+'Headcount Plan'!I108</f>
        <v/>
      </c>
      <c r="J109" s="24">
        <f>'Headcount Plan'!J105+'Headcount Plan'!J106+'Headcount Plan'!J107+'Headcount Plan'!J108</f>
        <v/>
      </c>
      <c r="K109" s="24">
        <f>'Headcount Plan'!K105+'Headcount Plan'!K106+'Headcount Plan'!K107+'Headcount Plan'!K108</f>
        <v/>
      </c>
      <c r="L109" s="24">
        <f>'Headcount Plan'!L105+'Headcount Plan'!L106+'Headcount Plan'!L107+'Headcount Plan'!L108</f>
        <v/>
      </c>
      <c r="M109" s="24">
        <f>'Headcount Plan'!M105+'Headcount Plan'!M106+'Headcount Plan'!M107+'Headcount Plan'!M108</f>
        <v/>
      </c>
      <c r="N109" s="24">
        <f>'Headcount Plan'!N105+'Headcount Plan'!N106+'Headcount Plan'!N107+'Headcount Plan'!N108</f>
        <v/>
      </c>
      <c r="O109" s="24">
        <f>'Headcount Plan'!O105+'Headcount Plan'!O106+'Headcount Plan'!O107+'Headcount Plan'!O108</f>
        <v/>
      </c>
      <c r="P109" s="24">
        <f>'Headcount Plan'!P105+'Headcount Plan'!P106+'Headcount Plan'!P107+'Headcount Plan'!P108</f>
        <v/>
      </c>
      <c r="Q109" s="24">
        <f>'Headcount Plan'!Q105+'Headcount Plan'!Q106+'Headcount Plan'!Q107+'Headcount Plan'!Q108</f>
        <v/>
      </c>
      <c r="R109" s="24">
        <f>'Headcount Plan'!R105+'Headcount Plan'!R106+'Headcount Plan'!R107+'Headcount Plan'!R108</f>
        <v/>
      </c>
      <c r="S109" s="24">
        <f>'Headcount Plan'!S105+'Headcount Plan'!S106+'Headcount Plan'!S107+'Headcount Plan'!S108</f>
        <v/>
      </c>
      <c r="T109" s="24">
        <f>'Headcount Plan'!T105+'Headcount Plan'!T106+'Headcount Plan'!T107+'Headcount Plan'!T108</f>
        <v/>
      </c>
      <c r="U109" s="24">
        <f>'Headcount Plan'!U105+'Headcount Plan'!U106+'Headcount Plan'!U107+'Headcount Plan'!U108</f>
        <v/>
      </c>
      <c r="V109" s="24">
        <f>'Headcount Plan'!V105+'Headcount Plan'!V106+'Headcount Plan'!V107+'Headcount Plan'!V108</f>
        <v/>
      </c>
      <c r="W109" s="24">
        <f>'Headcount Plan'!W105+'Headcount Plan'!W106+'Headcount Plan'!W107+'Headcount Plan'!W108</f>
        <v/>
      </c>
      <c r="X109" s="24">
        <f>'Headcount Plan'!X105+'Headcount Plan'!X106+'Headcount Plan'!X107+'Headcount Plan'!X108</f>
        <v/>
      </c>
      <c r="Y109" s="24">
        <f>'Headcount Plan'!Y105+'Headcount Plan'!Y106+'Headcount Plan'!Y107+'Headcount Plan'!Y108</f>
        <v/>
      </c>
      <c r="Z109" s="24">
        <f>'Headcount Plan'!Z105+'Headcount Plan'!Z106+'Headcount Plan'!Z107+'Headcount Plan'!Z108</f>
        <v/>
      </c>
      <c r="AA109" s="24">
        <f>'Headcount Plan'!AA105+'Headcount Plan'!AA106+'Headcount Plan'!AA107+'Headcount Plan'!AA108</f>
        <v/>
      </c>
      <c r="AB109" s="24">
        <f>'Headcount Plan'!AB105+'Headcount Plan'!AB106+'Headcount Plan'!AB107+'Headcount Plan'!AB108</f>
        <v/>
      </c>
      <c r="AC109" s="24">
        <f>'Headcount Plan'!AC105+'Headcount Plan'!AC106+'Headcount Plan'!AC107+'Headcount Plan'!AC108</f>
        <v/>
      </c>
      <c r="AD109" s="24">
        <f>'Headcount Plan'!AD105+'Headcount Plan'!AD106+'Headcount Plan'!AD107+'Headcount Plan'!AD108</f>
        <v/>
      </c>
      <c r="AE109" s="24">
        <f>'Headcount Plan'!AE105+'Headcount Plan'!AE106+'Headcount Plan'!AE107+'Headcount Plan'!AE108</f>
        <v/>
      </c>
      <c r="AG109" s="24">
        <f>SUMIF($C$3:$AE$3,AG$3,$C109:$AE109)</f>
        <v/>
      </c>
      <c r="AH109" s="24">
        <f>SUMIF($C$3:$AE$3,AH$3,$C109:$AE109)</f>
        <v/>
      </c>
      <c r="AI109" s="24">
        <f>SUMIF($C$3:$AE$3,AI$3,$C109:$AE109)</f>
        <v/>
      </c>
      <c r="AJ109" s="24">
        <f>SUMIF($C$3:$AE$3,AJ$3,$C109:$AE109)</f>
        <v/>
      </c>
      <c r="AK109" s="24">
        <f>SUMIF($C$3:$AE$3,AK$3,$C109:$AE109)</f>
        <v/>
      </c>
      <c r="AL109" s="24">
        <f>SUMIF($C$3:$AE$3,AL$3,$C109:$AE109)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Operating expenses: R&amp;D (incl. NRE), S&amp;M, Operations &amp; CS, G&amp;A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Research &amp; development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R&amp;D personnel</t>
        </is>
      </c>
      <c r="B10" s="2" t="inlineStr"/>
      <c r="C10" s="4">
        <f>'Headcount Plan'!C105</f>
        <v/>
      </c>
      <c r="D10" s="4">
        <f>'Headcount Plan'!D105</f>
        <v/>
      </c>
      <c r="E10" s="4">
        <f>'Headcount Plan'!E105</f>
        <v/>
      </c>
      <c r="F10" s="4">
        <f>'Headcount Plan'!F105</f>
        <v/>
      </c>
      <c r="G10" s="4">
        <f>'Headcount Plan'!G105</f>
        <v/>
      </c>
      <c r="H10" s="4">
        <f>'Headcount Plan'!H105</f>
        <v/>
      </c>
      <c r="I10" s="4">
        <f>'Headcount Plan'!I105</f>
        <v/>
      </c>
      <c r="J10" s="4">
        <f>'Headcount Plan'!J105</f>
        <v/>
      </c>
      <c r="K10" s="4">
        <f>'Headcount Plan'!K105</f>
        <v/>
      </c>
      <c r="L10" s="4">
        <f>'Headcount Plan'!L105</f>
        <v/>
      </c>
      <c r="M10" s="4">
        <f>'Headcount Plan'!M105</f>
        <v/>
      </c>
      <c r="N10" s="4">
        <f>'Headcount Plan'!N105</f>
        <v/>
      </c>
      <c r="O10" s="4">
        <f>'Headcount Plan'!O105</f>
        <v/>
      </c>
      <c r="P10" s="4">
        <f>'Headcount Plan'!P105</f>
        <v/>
      </c>
      <c r="Q10" s="4">
        <f>'Headcount Plan'!Q105</f>
        <v/>
      </c>
      <c r="R10" s="4">
        <f>'Headcount Plan'!R105</f>
        <v/>
      </c>
      <c r="S10" s="4">
        <f>'Headcount Plan'!S105</f>
        <v/>
      </c>
      <c r="T10" s="4">
        <f>'Headcount Plan'!T105</f>
        <v/>
      </c>
      <c r="U10" s="4">
        <f>'Headcount Plan'!U105</f>
        <v/>
      </c>
      <c r="V10" s="4">
        <f>'Headcount Plan'!V105</f>
        <v/>
      </c>
      <c r="W10" s="4">
        <f>'Headcount Plan'!W105</f>
        <v/>
      </c>
      <c r="X10" s="4">
        <f>'Headcount Plan'!X105</f>
        <v/>
      </c>
      <c r="Y10" s="4">
        <f>'Headcount Plan'!Y105</f>
        <v/>
      </c>
      <c r="Z10" s="4">
        <f>'Headcount Plan'!Z105</f>
        <v/>
      </c>
      <c r="AA10" s="4">
        <f>'Headcount Plan'!AA105</f>
        <v/>
      </c>
      <c r="AB10" s="4">
        <f>'Headcount Plan'!AB105</f>
        <v/>
      </c>
      <c r="AC10" s="4">
        <f>'Headcount Plan'!AC105</f>
        <v/>
      </c>
      <c r="AD10" s="4">
        <f>'Headcount Plan'!AD105</f>
        <v/>
      </c>
      <c r="AE10" s="4">
        <f>'Headcount Plan'!AE105</f>
        <v/>
      </c>
      <c r="AG10" s="4">
        <f>SUMIF($C$3:$AE$3,AG$3,$C10:$AE10)</f>
        <v/>
      </c>
      <c r="AH10" s="4">
        <f>SUMIF($C$3:$AE$3,AH$3,$C10:$AE10)</f>
        <v/>
      </c>
      <c r="AI10" s="4">
        <f>SUMIF($C$3:$AE$3,AI$3,$C10:$AE10)</f>
        <v/>
      </c>
      <c r="AJ10" s="4">
        <f>SUMIF($C$3:$AE$3,AJ$3,$C10:$AE10)</f>
        <v/>
      </c>
      <c r="AK10" s="4">
        <f>SUMIF($C$3:$AE$3,AK$3,$C10:$AE10)</f>
        <v/>
      </c>
      <c r="AL10" s="4">
        <f>SUMIF($C$3:$AE$3,AL$3,$C10:$AE10)</f>
        <v/>
      </c>
    </row>
    <row r="11">
      <c r="A11" t="inlineStr">
        <is>
          <t>ID / ME / CMF design</t>
        </is>
      </c>
      <c r="B11" s="2" t="inlineStr"/>
      <c r="C11" s="4">
        <f>Assumptions!C112</f>
        <v/>
      </c>
      <c r="D11" s="4">
        <f>Assumptions!D112</f>
        <v/>
      </c>
      <c r="E11" s="4">
        <f>Assumptions!E112</f>
        <v/>
      </c>
      <c r="F11" s="4">
        <f>Assumptions!F112</f>
        <v/>
      </c>
      <c r="G11" s="4">
        <f>Assumptions!G112</f>
        <v/>
      </c>
      <c r="H11" s="4">
        <f>Assumptions!H112</f>
        <v/>
      </c>
      <c r="I11" s="4">
        <f>Assumptions!I112</f>
        <v/>
      </c>
      <c r="J11" s="4">
        <f>Assumptions!J112</f>
        <v/>
      </c>
      <c r="K11" s="4">
        <f>Assumptions!K112</f>
        <v/>
      </c>
      <c r="L11" s="4">
        <f>Assumptions!L112</f>
        <v/>
      </c>
      <c r="M11" s="4">
        <f>Assumptions!M112</f>
        <v/>
      </c>
      <c r="N11" s="4">
        <f>Assumptions!N112</f>
        <v/>
      </c>
      <c r="O11" s="4">
        <f>Assumptions!O112</f>
        <v/>
      </c>
      <c r="P11" s="4">
        <f>Assumptions!P112</f>
        <v/>
      </c>
      <c r="Q11" s="4">
        <f>Assumptions!Q112</f>
        <v/>
      </c>
      <c r="R11" s="4">
        <f>Assumptions!R112</f>
        <v/>
      </c>
      <c r="S11" s="4">
        <f>Assumptions!S112</f>
        <v/>
      </c>
      <c r="T11" s="4">
        <f>Assumptions!T112</f>
        <v/>
      </c>
      <c r="U11" s="4">
        <f>Assumptions!U112</f>
        <v/>
      </c>
      <c r="V11" s="4">
        <f>Assumptions!V112</f>
        <v/>
      </c>
      <c r="W11" s="4">
        <f>Assumptions!W112</f>
        <v/>
      </c>
      <c r="X11" s="4">
        <f>Assumptions!X112</f>
        <v/>
      </c>
      <c r="Y11" s="4">
        <f>Assumptions!Y112</f>
        <v/>
      </c>
      <c r="Z11" s="4">
        <f>Assumptions!Z112</f>
        <v/>
      </c>
      <c r="AA11" s="4">
        <f>Assumptions!AA112</f>
        <v/>
      </c>
      <c r="AB11" s="4">
        <f>Assumptions!AB112</f>
        <v/>
      </c>
      <c r="AC11" s="4">
        <f>Assumptions!AC112</f>
        <v/>
      </c>
      <c r="AD11" s="4">
        <f>Assumptions!AD112</f>
        <v/>
      </c>
      <c r="AE11" s="4">
        <f>Assumptions!AE112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ODM engineering NRE</t>
        </is>
      </c>
      <c r="B12" s="2" t="inlineStr"/>
      <c r="C12" s="4">
        <f>Assumptions!C113</f>
        <v/>
      </c>
      <c r="D12" s="4">
        <f>Assumptions!D113</f>
        <v/>
      </c>
      <c r="E12" s="4">
        <f>Assumptions!E113</f>
        <v/>
      </c>
      <c r="F12" s="4">
        <f>Assumptions!F113</f>
        <v/>
      </c>
      <c r="G12" s="4">
        <f>Assumptions!G113</f>
        <v/>
      </c>
      <c r="H12" s="4">
        <f>Assumptions!H113</f>
        <v/>
      </c>
      <c r="I12" s="4">
        <f>Assumptions!I113</f>
        <v/>
      </c>
      <c r="J12" s="4">
        <f>Assumptions!J113</f>
        <v/>
      </c>
      <c r="K12" s="4">
        <f>Assumptions!K113</f>
        <v/>
      </c>
      <c r="L12" s="4">
        <f>Assumptions!L113</f>
        <v/>
      </c>
      <c r="M12" s="4">
        <f>Assumptions!M113</f>
        <v/>
      </c>
      <c r="N12" s="4">
        <f>Assumptions!N113</f>
        <v/>
      </c>
      <c r="O12" s="4">
        <f>Assumptions!O113</f>
        <v/>
      </c>
      <c r="P12" s="4">
        <f>Assumptions!P113</f>
        <v/>
      </c>
      <c r="Q12" s="4">
        <f>Assumptions!Q113</f>
        <v/>
      </c>
      <c r="R12" s="4">
        <f>Assumptions!R113</f>
        <v/>
      </c>
      <c r="S12" s="4">
        <f>Assumptions!S113</f>
        <v/>
      </c>
      <c r="T12" s="4">
        <f>Assumptions!T113</f>
        <v/>
      </c>
      <c r="U12" s="4">
        <f>Assumptions!U113</f>
        <v/>
      </c>
      <c r="V12" s="4">
        <f>Assumptions!V113</f>
        <v/>
      </c>
      <c r="W12" s="4">
        <f>Assumptions!W113</f>
        <v/>
      </c>
      <c r="X12" s="4">
        <f>Assumptions!X113</f>
        <v/>
      </c>
      <c r="Y12" s="4">
        <f>Assumptions!Y113</f>
        <v/>
      </c>
      <c r="Z12" s="4">
        <f>Assumptions!Z113</f>
        <v/>
      </c>
      <c r="AA12" s="4">
        <f>Assumptions!AA113</f>
        <v/>
      </c>
      <c r="AB12" s="4">
        <f>Assumptions!AB113</f>
        <v/>
      </c>
      <c r="AC12" s="4">
        <f>Assumptions!AC113</f>
        <v/>
      </c>
      <c r="AD12" s="4">
        <f>Assumptions!AD113</f>
        <v/>
      </c>
      <c r="AE12" s="4">
        <f>Assumptions!AE113</f>
        <v/>
      </c>
      <c r="AG12" s="4">
        <f>SUMIF($C$3:$AE$3,AG$3,$C12:$AE12)</f>
        <v/>
      </c>
      <c r="AH12" s="4">
        <f>SUMIF($C$3:$AE$3,AH$3,$C12:$AE12)</f>
        <v/>
      </c>
      <c r="AI12" s="4">
        <f>SUMIF($C$3:$AE$3,AI$3,$C12:$AE12)</f>
        <v/>
      </c>
      <c r="AJ12" s="4">
        <f>SUMIF($C$3:$AE$3,AJ$3,$C12:$AE12)</f>
        <v/>
      </c>
      <c r="AK12" s="4">
        <f>SUMIF($C$3:$AE$3,AK$3,$C12:$AE12)</f>
        <v/>
      </c>
      <c r="AL12" s="4">
        <f>SUMIF($C$3:$AE$3,AL$3,$C12:$AE12)</f>
        <v/>
      </c>
    </row>
    <row r="13">
      <c r="A13" t="inlineStr">
        <is>
          <t>Prototype builds</t>
        </is>
      </c>
      <c r="B13" s="2" t="inlineStr"/>
      <c r="C13" s="4">
        <f>Assumptions!C114</f>
        <v/>
      </c>
      <c r="D13" s="4">
        <f>Assumptions!D114</f>
        <v/>
      </c>
      <c r="E13" s="4">
        <f>Assumptions!E114</f>
        <v/>
      </c>
      <c r="F13" s="4">
        <f>Assumptions!F114</f>
        <v/>
      </c>
      <c r="G13" s="4">
        <f>Assumptions!G114</f>
        <v/>
      </c>
      <c r="H13" s="4">
        <f>Assumptions!H114</f>
        <v/>
      </c>
      <c r="I13" s="4">
        <f>Assumptions!I114</f>
        <v/>
      </c>
      <c r="J13" s="4">
        <f>Assumptions!J114</f>
        <v/>
      </c>
      <c r="K13" s="4">
        <f>Assumptions!K114</f>
        <v/>
      </c>
      <c r="L13" s="4">
        <f>Assumptions!L114</f>
        <v/>
      </c>
      <c r="M13" s="4">
        <f>Assumptions!M114</f>
        <v/>
      </c>
      <c r="N13" s="4">
        <f>Assumptions!N114</f>
        <v/>
      </c>
      <c r="O13" s="4">
        <f>Assumptions!O114</f>
        <v/>
      </c>
      <c r="P13" s="4">
        <f>Assumptions!P114</f>
        <v/>
      </c>
      <c r="Q13" s="4">
        <f>Assumptions!Q114</f>
        <v/>
      </c>
      <c r="R13" s="4">
        <f>Assumptions!R114</f>
        <v/>
      </c>
      <c r="S13" s="4">
        <f>Assumptions!S114</f>
        <v/>
      </c>
      <c r="T13" s="4">
        <f>Assumptions!T114</f>
        <v/>
      </c>
      <c r="U13" s="4">
        <f>Assumptions!U114</f>
        <v/>
      </c>
      <c r="V13" s="4">
        <f>Assumptions!V114</f>
        <v/>
      </c>
      <c r="W13" s="4">
        <f>Assumptions!W114</f>
        <v/>
      </c>
      <c r="X13" s="4">
        <f>Assumptions!X114</f>
        <v/>
      </c>
      <c r="Y13" s="4">
        <f>Assumptions!Y114</f>
        <v/>
      </c>
      <c r="Z13" s="4">
        <f>Assumptions!Z114</f>
        <v/>
      </c>
      <c r="AA13" s="4">
        <f>Assumptions!AA114</f>
        <v/>
      </c>
      <c r="AB13" s="4">
        <f>Assumptions!AB114</f>
        <v/>
      </c>
      <c r="AC13" s="4">
        <f>Assumptions!AC114</f>
        <v/>
      </c>
      <c r="AD13" s="4">
        <f>Assumptions!AD114</f>
        <v/>
      </c>
      <c r="AE13" s="4">
        <f>Assumptions!AE114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Certification &amp; compliance testing</t>
        </is>
      </c>
      <c r="B14" s="2" t="inlineStr"/>
      <c r="C14" s="4">
        <f>Assumptions!C115</f>
        <v/>
      </c>
      <c r="D14" s="4">
        <f>Assumptions!D115</f>
        <v/>
      </c>
      <c r="E14" s="4">
        <f>Assumptions!E115</f>
        <v/>
      </c>
      <c r="F14" s="4">
        <f>Assumptions!F115</f>
        <v/>
      </c>
      <c r="G14" s="4">
        <f>Assumptions!G115</f>
        <v/>
      </c>
      <c r="H14" s="4">
        <f>Assumptions!H115</f>
        <v/>
      </c>
      <c r="I14" s="4">
        <f>Assumptions!I115</f>
        <v/>
      </c>
      <c r="J14" s="4">
        <f>Assumptions!J115</f>
        <v/>
      </c>
      <c r="K14" s="4">
        <f>Assumptions!K115</f>
        <v/>
      </c>
      <c r="L14" s="4">
        <f>Assumptions!L115</f>
        <v/>
      </c>
      <c r="M14" s="4">
        <f>Assumptions!M115</f>
        <v/>
      </c>
      <c r="N14" s="4">
        <f>Assumptions!N115</f>
        <v/>
      </c>
      <c r="O14" s="4">
        <f>Assumptions!O115</f>
        <v/>
      </c>
      <c r="P14" s="4">
        <f>Assumptions!P115</f>
        <v/>
      </c>
      <c r="Q14" s="4">
        <f>Assumptions!Q115</f>
        <v/>
      </c>
      <c r="R14" s="4">
        <f>Assumptions!R115</f>
        <v/>
      </c>
      <c r="S14" s="4">
        <f>Assumptions!S115</f>
        <v/>
      </c>
      <c r="T14" s="4">
        <f>Assumptions!T115</f>
        <v/>
      </c>
      <c r="U14" s="4">
        <f>Assumptions!U115</f>
        <v/>
      </c>
      <c r="V14" s="4">
        <f>Assumptions!V115</f>
        <v/>
      </c>
      <c r="W14" s="4">
        <f>Assumptions!W115</f>
        <v/>
      </c>
      <c r="X14" s="4">
        <f>Assumptions!X115</f>
        <v/>
      </c>
      <c r="Y14" s="4">
        <f>Assumptions!Y115</f>
        <v/>
      </c>
      <c r="Z14" s="4">
        <f>Assumptions!Z115</f>
        <v/>
      </c>
      <c r="AA14" s="4">
        <f>Assumptions!AA115</f>
        <v/>
      </c>
      <c r="AB14" s="4">
        <f>Assumptions!AB115</f>
        <v/>
      </c>
      <c r="AC14" s="4">
        <f>Assumptions!AC115</f>
        <v/>
      </c>
      <c r="AD14" s="4">
        <f>Assumptions!AD115</f>
        <v/>
      </c>
      <c r="AE14" s="4">
        <f>Assumptions!AE115</f>
        <v/>
      </c>
      <c r="AG14" s="4">
        <f>SUMIF($C$3:$AE$3,AG$3,$C14:$AE14)</f>
        <v/>
      </c>
      <c r="AH14" s="4">
        <f>SUMIF($C$3:$AE$3,AH$3,$C14:$AE14)</f>
        <v/>
      </c>
      <c r="AI14" s="4">
        <f>SUMIF($C$3:$AE$3,AI$3,$C14:$AE14)</f>
        <v/>
      </c>
      <c r="AJ14" s="4">
        <f>SUMIF($C$3:$AE$3,AJ$3,$C14:$AE14)</f>
        <v/>
      </c>
      <c r="AK14" s="4">
        <f>SUMIF($C$3:$AE$3,AK$3,$C14:$AE14)</f>
        <v/>
      </c>
      <c r="AL14" s="4">
        <f>SUMIF($C$3:$AE$3,AL$3,$C14:$AE14)</f>
        <v/>
      </c>
    </row>
    <row r="15">
      <c r="A15" t="inlineStr">
        <is>
          <t>City Pack content &amp; data licences</t>
        </is>
      </c>
      <c r="B15" s="2" t="inlineStr"/>
      <c r="C15" s="4">
        <f>Assumptions!C116</f>
        <v/>
      </c>
      <c r="D15" s="4">
        <f>Assumptions!D116</f>
        <v/>
      </c>
      <c r="E15" s="4">
        <f>Assumptions!E116</f>
        <v/>
      </c>
      <c r="F15" s="4">
        <f>Assumptions!F116</f>
        <v/>
      </c>
      <c r="G15" s="4">
        <f>Assumptions!G116</f>
        <v/>
      </c>
      <c r="H15" s="4">
        <f>Assumptions!H116</f>
        <v/>
      </c>
      <c r="I15" s="4">
        <f>Assumptions!I116</f>
        <v/>
      </c>
      <c r="J15" s="4">
        <f>Assumptions!J116</f>
        <v/>
      </c>
      <c r="K15" s="4">
        <f>Assumptions!K116</f>
        <v/>
      </c>
      <c r="L15" s="4">
        <f>Assumptions!L116</f>
        <v/>
      </c>
      <c r="M15" s="4">
        <f>Assumptions!M116</f>
        <v/>
      </c>
      <c r="N15" s="4">
        <f>Assumptions!N116</f>
        <v/>
      </c>
      <c r="O15" s="4">
        <f>Assumptions!O116</f>
        <v/>
      </c>
      <c r="P15" s="4">
        <f>Assumptions!P116</f>
        <v/>
      </c>
      <c r="Q15" s="4">
        <f>Assumptions!Q116</f>
        <v/>
      </c>
      <c r="R15" s="4">
        <f>Assumptions!R116</f>
        <v/>
      </c>
      <c r="S15" s="4">
        <f>Assumptions!S116</f>
        <v/>
      </c>
      <c r="T15" s="4">
        <f>Assumptions!T116</f>
        <v/>
      </c>
      <c r="U15" s="4">
        <f>Assumptions!U116</f>
        <v/>
      </c>
      <c r="V15" s="4">
        <f>Assumptions!V116</f>
        <v/>
      </c>
      <c r="W15" s="4">
        <f>Assumptions!W116</f>
        <v/>
      </c>
      <c r="X15" s="4">
        <f>Assumptions!X116</f>
        <v/>
      </c>
      <c r="Y15" s="4">
        <f>Assumptions!Y116</f>
        <v/>
      </c>
      <c r="Z15" s="4">
        <f>Assumptions!Z116</f>
        <v/>
      </c>
      <c r="AA15" s="4">
        <f>Assumptions!AA116</f>
        <v/>
      </c>
      <c r="AB15" s="4">
        <f>Assumptions!AB116</f>
        <v/>
      </c>
      <c r="AC15" s="4">
        <f>Assumptions!AC116</f>
        <v/>
      </c>
      <c r="AD15" s="4">
        <f>Assumptions!AD116</f>
        <v/>
      </c>
      <c r="AE15" s="4">
        <f>Assumptions!AE116</f>
        <v/>
      </c>
      <c r="AG15" s="4">
        <f>SUMIF($C$3:$AE$3,AG$3,$C15:$AE15)</f>
        <v/>
      </c>
      <c r="AH15" s="4">
        <f>SUMIF($C$3:$AE$3,AH$3,$C15:$AE15)</f>
        <v/>
      </c>
      <c r="AI15" s="4">
        <f>SUMIF($C$3:$AE$3,AI$3,$C15:$AE15)</f>
        <v/>
      </c>
      <c r="AJ15" s="4">
        <f>SUMIF($C$3:$AE$3,AJ$3,$C15:$AE15)</f>
        <v/>
      </c>
      <c r="AK15" s="4">
        <f>SUMIF($C$3:$AE$3,AK$3,$C15:$AE15)</f>
        <v/>
      </c>
      <c r="AL15" s="4">
        <f>SUMIF($C$3:$AE$3,AL$3,$C15:$AE15)</f>
        <v/>
      </c>
    </row>
    <row r="16">
      <c r="A16" t="inlineStr">
        <is>
          <t>Dev tools &amp; ML compute</t>
        </is>
      </c>
      <c r="B16" s="2" t="inlineStr"/>
      <c r="C16" s="4">
        <f>Assumptions!C117</f>
        <v/>
      </c>
      <c r="D16" s="4">
        <f>Assumptions!D117</f>
        <v/>
      </c>
      <c r="E16" s="4">
        <f>Assumptions!E117</f>
        <v/>
      </c>
      <c r="F16" s="4">
        <f>Assumptions!F117</f>
        <v/>
      </c>
      <c r="G16" s="4">
        <f>Assumptions!G117</f>
        <v/>
      </c>
      <c r="H16" s="4">
        <f>Assumptions!H117</f>
        <v/>
      </c>
      <c r="I16" s="4">
        <f>Assumptions!I117</f>
        <v/>
      </c>
      <c r="J16" s="4">
        <f>Assumptions!J117</f>
        <v/>
      </c>
      <c r="K16" s="4">
        <f>Assumptions!K117</f>
        <v/>
      </c>
      <c r="L16" s="4">
        <f>Assumptions!L117</f>
        <v/>
      </c>
      <c r="M16" s="4">
        <f>Assumptions!M117</f>
        <v/>
      </c>
      <c r="N16" s="4">
        <f>Assumptions!N117</f>
        <v/>
      </c>
      <c r="O16" s="4">
        <f>Assumptions!O117</f>
        <v/>
      </c>
      <c r="P16" s="4">
        <f>Assumptions!P117</f>
        <v/>
      </c>
      <c r="Q16" s="4">
        <f>Assumptions!Q117</f>
        <v/>
      </c>
      <c r="R16" s="4">
        <f>Assumptions!R117</f>
        <v/>
      </c>
      <c r="S16" s="4">
        <f>Assumptions!S117</f>
        <v/>
      </c>
      <c r="T16" s="4">
        <f>Assumptions!T117</f>
        <v/>
      </c>
      <c r="U16" s="4">
        <f>Assumptions!U117</f>
        <v/>
      </c>
      <c r="V16" s="4">
        <f>Assumptions!V117</f>
        <v/>
      </c>
      <c r="W16" s="4">
        <f>Assumptions!W117</f>
        <v/>
      </c>
      <c r="X16" s="4">
        <f>Assumptions!X117</f>
        <v/>
      </c>
      <c r="Y16" s="4">
        <f>Assumptions!Y117</f>
        <v/>
      </c>
      <c r="Z16" s="4">
        <f>Assumptions!Z117</f>
        <v/>
      </c>
      <c r="AA16" s="4">
        <f>Assumptions!AA117</f>
        <v/>
      </c>
      <c r="AB16" s="4">
        <f>Assumptions!AB117</f>
        <v/>
      </c>
      <c r="AC16" s="4">
        <f>Assumptions!AC117</f>
        <v/>
      </c>
      <c r="AD16" s="4">
        <f>Assumptions!AD117</f>
        <v/>
      </c>
      <c r="AE16" s="4">
        <f>Assumptions!AE117</f>
        <v/>
      </c>
      <c r="AG16" s="4">
        <f>SUMIF($C$3:$AE$3,AG$3,$C16:$AE16)</f>
        <v/>
      </c>
      <c r="AH16" s="4">
        <f>SUMIF($C$3:$AE$3,AH$3,$C16:$AE16)</f>
        <v/>
      </c>
      <c r="AI16" s="4">
        <f>SUMIF($C$3:$AE$3,AI$3,$C16:$AE16)</f>
        <v/>
      </c>
      <c r="AJ16" s="4">
        <f>SUMIF($C$3:$AE$3,AJ$3,$C16:$AE16)</f>
        <v/>
      </c>
      <c r="AK16" s="4">
        <f>SUMIF($C$3:$AE$3,AK$3,$C16:$AE16)</f>
        <v/>
      </c>
      <c r="AL16" s="4">
        <f>SUMIF($C$3:$AE$3,AL$3,$C16:$AE16)</f>
        <v/>
      </c>
    </row>
    <row r="17">
      <c r="A17" s="13" t="inlineStr">
        <is>
          <t>TOTAL R&amp;D</t>
        </is>
      </c>
      <c r="B17" s="2" t="inlineStr"/>
      <c r="C17" s="24">
        <f>'OpEx'!C10+'OpEx'!C11+'OpEx'!C12+'OpEx'!C13+'OpEx'!C14+'OpEx'!C15+'OpEx'!C16</f>
        <v/>
      </c>
      <c r="D17" s="24">
        <f>'OpEx'!D10+'OpEx'!D11+'OpEx'!D12+'OpEx'!D13+'OpEx'!D14+'OpEx'!D15+'OpEx'!D16</f>
        <v/>
      </c>
      <c r="E17" s="24">
        <f>'OpEx'!E10+'OpEx'!E11+'OpEx'!E12+'OpEx'!E13+'OpEx'!E14+'OpEx'!E15+'OpEx'!E16</f>
        <v/>
      </c>
      <c r="F17" s="24">
        <f>'OpEx'!F10+'OpEx'!F11+'OpEx'!F12+'OpEx'!F13+'OpEx'!F14+'OpEx'!F15+'OpEx'!F16</f>
        <v/>
      </c>
      <c r="G17" s="24">
        <f>'OpEx'!G10+'OpEx'!G11+'OpEx'!G12+'OpEx'!G13+'OpEx'!G14+'OpEx'!G15+'OpEx'!G16</f>
        <v/>
      </c>
      <c r="H17" s="24">
        <f>'OpEx'!H10+'OpEx'!H11+'OpEx'!H12+'OpEx'!H13+'OpEx'!H14+'OpEx'!H15+'OpEx'!H16</f>
        <v/>
      </c>
      <c r="I17" s="24">
        <f>'OpEx'!I10+'OpEx'!I11+'OpEx'!I12+'OpEx'!I13+'OpEx'!I14+'OpEx'!I15+'OpEx'!I16</f>
        <v/>
      </c>
      <c r="J17" s="24">
        <f>'OpEx'!J10+'OpEx'!J11+'OpEx'!J12+'OpEx'!J13+'OpEx'!J14+'OpEx'!J15+'OpEx'!J16</f>
        <v/>
      </c>
      <c r="K17" s="24">
        <f>'OpEx'!K10+'OpEx'!K11+'OpEx'!K12+'OpEx'!K13+'OpEx'!K14+'OpEx'!K15+'OpEx'!K16</f>
        <v/>
      </c>
      <c r="L17" s="24">
        <f>'OpEx'!L10+'OpEx'!L11+'OpEx'!L12+'OpEx'!L13+'OpEx'!L14+'OpEx'!L15+'OpEx'!L16</f>
        <v/>
      </c>
      <c r="M17" s="24">
        <f>'OpEx'!M10+'OpEx'!M11+'OpEx'!M12+'OpEx'!M13+'OpEx'!M14+'OpEx'!M15+'OpEx'!M16</f>
        <v/>
      </c>
      <c r="N17" s="24">
        <f>'OpEx'!N10+'OpEx'!N11+'OpEx'!N12+'OpEx'!N13+'OpEx'!N14+'OpEx'!N15+'OpEx'!N16</f>
        <v/>
      </c>
      <c r="O17" s="24">
        <f>'OpEx'!O10+'OpEx'!O11+'OpEx'!O12+'OpEx'!O13+'OpEx'!O14+'OpEx'!O15+'OpEx'!O16</f>
        <v/>
      </c>
      <c r="P17" s="24">
        <f>'OpEx'!P10+'OpEx'!P11+'OpEx'!P12+'OpEx'!P13+'OpEx'!P14+'OpEx'!P15+'OpEx'!P16</f>
        <v/>
      </c>
      <c r="Q17" s="24">
        <f>'OpEx'!Q10+'OpEx'!Q11+'OpEx'!Q12+'OpEx'!Q13+'OpEx'!Q14+'OpEx'!Q15+'OpEx'!Q16</f>
        <v/>
      </c>
      <c r="R17" s="24">
        <f>'OpEx'!R10+'OpEx'!R11+'OpEx'!R12+'OpEx'!R13+'OpEx'!R14+'OpEx'!R15+'OpEx'!R16</f>
        <v/>
      </c>
      <c r="S17" s="24">
        <f>'OpEx'!S10+'OpEx'!S11+'OpEx'!S12+'OpEx'!S13+'OpEx'!S14+'OpEx'!S15+'OpEx'!S16</f>
        <v/>
      </c>
      <c r="T17" s="24">
        <f>'OpEx'!T10+'OpEx'!T11+'OpEx'!T12+'OpEx'!T13+'OpEx'!T14+'OpEx'!T15+'OpEx'!T16</f>
        <v/>
      </c>
      <c r="U17" s="24">
        <f>'OpEx'!U10+'OpEx'!U11+'OpEx'!U12+'OpEx'!U13+'OpEx'!U14+'OpEx'!U15+'OpEx'!U16</f>
        <v/>
      </c>
      <c r="V17" s="24">
        <f>'OpEx'!V10+'OpEx'!V11+'OpEx'!V12+'OpEx'!V13+'OpEx'!V14+'OpEx'!V15+'OpEx'!V16</f>
        <v/>
      </c>
      <c r="W17" s="24">
        <f>'OpEx'!W10+'OpEx'!W11+'OpEx'!W12+'OpEx'!W13+'OpEx'!W14+'OpEx'!W15+'OpEx'!W16</f>
        <v/>
      </c>
      <c r="X17" s="24">
        <f>'OpEx'!X10+'OpEx'!X11+'OpEx'!X12+'OpEx'!X13+'OpEx'!X14+'OpEx'!X15+'OpEx'!X16</f>
        <v/>
      </c>
      <c r="Y17" s="24">
        <f>'OpEx'!Y10+'OpEx'!Y11+'OpEx'!Y12+'OpEx'!Y13+'OpEx'!Y14+'OpEx'!Y15+'OpEx'!Y16</f>
        <v/>
      </c>
      <c r="Z17" s="24">
        <f>'OpEx'!Z10+'OpEx'!Z11+'OpEx'!Z12+'OpEx'!Z13+'OpEx'!Z14+'OpEx'!Z15+'OpEx'!Z16</f>
        <v/>
      </c>
      <c r="AA17" s="24">
        <f>'OpEx'!AA10+'OpEx'!AA11+'OpEx'!AA12+'OpEx'!AA13+'OpEx'!AA14+'OpEx'!AA15+'OpEx'!AA16</f>
        <v/>
      </c>
      <c r="AB17" s="24">
        <f>'OpEx'!AB10+'OpEx'!AB11+'OpEx'!AB12+'OpEx'!AB13+'OpEx'!AB14+'OpEx'!AB15+'OpEx'!AB16</f>
        <v/>
      </c>
      <c r="AC17" s="24">
        <f>'OpEx'!AC10+'OpEx'!AC11+'OpEx'!AC12+'OpEx'!AC13+'OpEx'!AC14+'OpEx'!AC15+'OpEx'!AC16</f>
        <v/>
      </c>
      <c r="AD17" s="24">
        <f>'OpEx'!AD10+'OpEx'!AD11+'OpEx'!AD12+'OpEx'!AD13+'OpEx'!AD14+'OpEx'!AD15+'OpEx'!AD16</f>
        <v/>
      </c>
      <c r="AE17" s="24">
        <f>'OpEx'!AE10+'OpEx'!AE11+'OpEx'!AE12+'OpEx'!AE13+'OpEx'!AE14+'OpEx'!AE15+'OpEx'!AE16</f>
        <v/>
      </c>
      <c r="AG17" s="24">
        <f>SUMIF($C$3:$AE$3,AG$3,$C17:$AE17)</f>
        <v/>
      </c>
      <c r="AH17" s="24">
        <f>SUMIF($C$3:$AE$3,AH$3,$C17:$AE17)</f>
        <v/>
      </c>
      <c r="AI17" s="24">
        <f>SUMIF($C$3:$AE$3,AI$3,$C17:$AE17)</f>
        <v/>
      </c>
      <c r="AJ17" s="24">
        <f>SUMIF($C$3:$AE$3,AJ$3,$C17:$AE17)</f>
        <v/>
      </c>
      <c r="AK17" s="24">
        <f>SUMIF($C$3:$AE$3,AK$3,$C17:$AE17)</f>
        <v/>
      </c>
      <c r="AL17" s="24">
        <f>SUMIF($C$3:$AE$3,AL$3,$C17:$AE17)</f>
        <v/>
      </c>
    </row>
    <row r="19">
      <c r="A19" s="8" t="inlineStr">
        <is>
          <t>Sales &amp; marketing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t="inlineStr">
        <is>
          <t>S&amp;M personnel</t>
        </is>
      </c>
      <c r="B20" s="2" t="inlineStr"/>
      <c r="C20" s="4">
        <f>'Headcount Plan'!C106</f>
        <v/>
      </c>
      <c r="D20" s="4">
        <f>'Headcount Plan'!D106</f>
        <v/>
      </c>
      <c r="E20" s="4">
        <f>'Headcount Plan'!E106</f>
        <v/>
      </c>
      <c r="F20" s="4">
        <f>'Headcount Plan'!F106</f>
        <v/>
      </c>
      <c r="G20" s="4">
        <f>'Headcount Plan'!G106</f>
        <v/>
      </c>
      <c r="H20" s="4">
        <f>'Headcount Plan'!H106</f>
        <v/>
      </c>
      <c r="I20" s="4">
        <f>'Headcount Plan'!I106</f>
        <v/>
      </c>
      <c r="J20" s="4">
        <f>'Headcount Plan'!J106</f>
        <v/>
      </c>
      <c r="K20" s="4">
        <f>'Headcount Plan'!K106</f>
        <v/>
      </c>
      <c r="L20" s="4">
        <f>'Headcount Plan'!L106</f>
        <v/>
      </c>
      <c r="M20" s="4">
        <f>'Headcount Plan'!M106</f>
        <v/>
      </c>
      <c r="N20" s="4">
        <f>'Headcount Plan'!N106</f>
        <v/>
      </c>
      <c r="O20" s="4">
        <f>'Headcount Plan'!O106</f>
        <v/>
      </c>
      <c r="P20" s="4">
        <f>'Headcount Plan'!P106</f>
        <v/>
      </c>
      <c r="Q20" s="4">
        <f>'Headcount Plan'!Q106</f>
        <v/>
      </c>
      <c r="R20" s="4">
        <f>'Headcount Plan'!R106</f>
        <v/>
      </c>
      <c r="S20" s="4">
        <f>'Headcount Plan'!S106</f>
        <v/>
      </c>
      <c r="T20" s="4">
        <f>'Headcount Plan'!T106</f>
        <v/>
      </c>
      <c r="U20" s="4">
        <f>'Headcount Plan'!U106</f>
        <v/>
      </c>
      <c r="V20" s="4">
        <f>'Headcount Plan'!V106</f>
        <v/>
      </c>
      <c r="W20" s="4">
        <f>'Headcount Plan'!W106</f>
        <v/>
      </c>
      <c r="X20" s="4">
        <f>'Headcount Plan'!X106</f>
        <v/>
      </c>
      <c r="Y20" s="4">
        <f>'Headcount Plan'!Y106</f>
        <v/>
      </c>
      <c r="Z20" s="4">
        <f>'Headcount Plan'!Z106</f>
        <v/>
      </c>
      <c r="AA20" s="4">
        <f>'Headcount Plan'!AA106</f>
        <v/>
      </c>
      <c r="AB20" s="4">
        <f>'Headcount Plan'!AB106</f>
        <v/>
      </c>
      <c r="AC20" s="4">
        <f>'Headcount Plan'!AC106</f>
        <v/>
      </c>
      <c r="AD20" s="4">
        <f>'Headcount Plan'!AD106</f>
        <v/>
      </c>
      <c r="AE20" s="4">
        <f>'Headcount Plan'!AE106</f>
        <v/>
      </c>
      <c r="AG20" s="4">
        <f>SUMIF($C$3:$AE$3,AG$3,$C20:$AE20)</f>
        <v/>
      </c>
      <c r="AH20" s="4">
        <f>SUMIF($C$3:$AE$3,AH$3,$C20:$AE20)</f>
        <v/>
      </c>
      <c r="AI20" s="4">
        <f>SUMIF($C$3:$AE$3,AI$3,$C20:$AE20)</f>
        <v/>
      </c>
      <c r="AJ20" s="4">
        <f>SUMIF($C$3:$AE$3,AJ$3,$C20:$AE20)</f>
        <v/>
      </c>
      <c r="AK20" s="4">
        <f>SUMIF($C$3:$AE$3,AK$3,$C20:$AE20)</f>
        <v/>
      </c>
      <c r="AL20" s="4">
        <f>SUMIF($C$3:$AE$3,AL$3,$C20:$AE20)</f>
        <v/>
      </c>
    </row>
    <row r="21">
      <c r="A21" t="inlineStr">
        <is>
          <t>Paid acquisition (CAC x DTC regular units)</t>
        </is>
      </c>
      <c r="B21" s="2" t="inlineStr"/>
      <c r="C21" s="4">
        <f>'Pricing &amp; Mix'!C41*Assumptions!C109*sc_cac</f>
        <v/>
      </c>
      <c r="D21" s="4">
        <f>'Pricing &amp; Mix'!D41*Assumptions!D109*sc_cac</f>
        <v/>
      </c>
      <c r="E21" s="4">
        <f>'Pricing &amp; Mix'!E41*Assumptions!E109*sc_cac</f>
        <v/>
      </c>
      <c r="F21" s="4">
        <f>'Pricing &amp; Mix'!F41*Assumptions!F109*sc_cac</f>
        <v/>
      </c>
      <c r="G21" s="4">
        <f>'Pricing &amp; Mix'!G41*Assumptions!G109*sc_cac</f>
        <v/>
      </c>
      <c r="H21" s="4">
        <f>'Pricing &amp; Mix'!H41*Assumptions!H109*sc_cac</f>
        <v/>
      </c>
      <c r="I21" s="4">
        <f>'Pricing &amp; Mix'!I41*Assumptions!I109*sc_cac</f>
        <v/>
      </c>
      <c r="J21" s="4">
        <f>'Pricing &amp; Mix'!J41*Assumptions!J109*sc_cac</f>
        <v/>
      </c>
      <c r="K21" s="4">
        <f>'Pricing &amp; Mix'!K41*Assumptions!K109*sc_cac</f>
        <v/>
      </c>
      <c r="L21" s="4">
        <f>'Pricing &amp; Mix'!L41*Assumptions!L109*sc_cac</f>
        <v/>
      </c>
      <c r="M21" s="4">
        <f>'Pricing &amp; Mix'!M41*Assumptions!M109*sc_cac</f>
        <v/>
      </c>
      <c r="N21" s="4">
        <f>'Pricing &amp; Mix'!N41*Assumptions!N109*sc_cac</f>
        <v/>
      </c>
      <c r="O21" s="4">
        <f>'Pricing &amp; Mix'!O41*Assumptions!O109*sc_cac</f>
        <v/>
      </c>
      <c r="P21" s="4">
        <f>'Pricing &amp; Mix'!P41*Assumptions!P109*sc_cac</f>
        <v/>
      </c>
      <c r="Q21" s="4">
        <f>'Pricing &amp; Mix'!Q41*Assumptions!Q109*sc_cac</f>
        <v/>
      </c>
      <c r="R21" s="4">
        <f>'Pricing &amp; Mix'!R41*Assumptions!R109*sc_cac</f>
        <v/>
      </c>
      <c r="S21" s="4">
        <f>'Pricing &amp; Mix'!S41*Assumptions!S109*sc_cac</f>
        <v/>
      </c>
      <c r="T21" s="4">
        <f>'Pricing &amp; Mix'!T41*Assumptions!T109*sc_cac</f>
        <v/>
      </c>
      <c r="U21" s="4">
        <f>'Pricing &amp; Mix'!U41*Assumptions!U109*sc_cac</f>
        <v/>
      </c>
      <c r="V21" s="4">
        <f>'Pricing &amp; Mix'!V41*Assumptions!V109*sc_cac</f>
        <v/>
      </c>
      <c r="W21" s="4">
        <f>'Pricing &amp; Mix'!W41*Assumptions!W109*sc_cac</f>
        <v/>
      </c>
      <c r="X21" s="4">
        <f>'Pricing &amp; Mix'!X41*Assumptions!X109*sc_cac</f>
        <v/>
      </c>
      <c r="Y21" s="4">
        <f>'Pricing &amp; Mix'!Y41*Assumptions!Y109*sc_cac</f>
        <v/>
      </c>
      <c r="Z21" s="4">
        <f>'Pricing &amp; Mix'!Z41*Assumptions!Z109*sc_cac</f>
        <v/>
      </c>
      <c r="AA21" s="4">
        <f>'Pricing &amp; Mix'!AA41*Assumptions!AA109*sc_cac</f>
        <v/>
      </c>
      <c r="AB21" s="4">
        <f>'Pricing &amp; Mix'!AB41*Assumptions!AB109*sc_cac</f>
        <v/>
      </c>
      <c r="AC21" s="4">
        <f>'Pricing &amp; Mix'!AC41*Assumptions!AC109*sc_cac</f>
        <v/>
      </c>
      <c r="AD21" s="4">
        <f>'Pricing &amp; Mix'!AD41*Assumptions!AD109*sc_cac</f>
        <v/>
      </c>
      <c r="AE21" s="4">
        <f>'Pricing &amp; Mix'!AE41*Assumptions!AE109*sc_cac</f>
        <v/>
      </c>
      <c r="AG21" s="4">
        <f>SUMIF($C$3:$AE$3,AG$3,$C21:$AE21)</f>
        <v/>
      </c>
      <c r="AH21" s="4">
        <f>SUMIF($C$3:$AE$3,AH$3,$C21:$AE21)</f>
        <v/>
      </c>
      <c r="AI21" s="4">
        <f>SUMIF($C$3:$AE$3,AI$3,$C21:$AE21)</f>
        <v/>
      </c>
      <c r="AJ21" s="4">
        <f>SUMIF($C$3:$AE$3,AJ$3,$C21:$AE21)</f>
        <v/>
      </c>
      <c r="AK21" s="4">
        <f>SUMIF($C$3:$AE$3,AK$3,$C21:$AE21)</f>
        <v/>
      </c>
      <c r="AL21" s="4">
        <f>SUMIF($C$3:$AE$3,AL$3,$C21:$AE21)</f>
        <v/>
      </c>
    </row>
    <row r="22">
      <c r="A22" t="inlineStr">
        <is>
          <t>Kickstarter pre-launch &amp; campaign marketing</t>
        </is>
      </c>
      <c r="B22" s="2" t="inlineStr"/>
      <c r="C22" s="4">
        <f>Assumptions!C110</f>
        <v/>
      </c>
      <c r="D22" s="4">
        <f>Assumptions!D110</f>
        <v/>
      </c>
      <c r="E22" s="4">
        <f>Assumptions!E110</f>
        <v/>
      </c>
      <c r="F22" s="4">
        <f>Assumptions!F110</f>
        <v/>
      </c>
      <c r="G22" s="4">
        <f>Assumptions!G110</f>
        <v/>
      </c>
      <c r="H22" s="4">
        <f>Assumptions!H110</f>
        <v/>
      </c>
      <c r="I22" s="4">
        <f>Assumptions!I110</f>
        <v/>
      </c>
      <c r="J22" s="4">
        <f>Assumptions!J110</f>
        <v/>
      </c>
      <c r="K22" s="4">
        <f>Assumptions!K110</f>
        <v/>
      </c>
      <c r="L22" s="4">
        <f>Assumptions!L110</f>
        <v/>
      </c>
      <c r="M22" s="4">
        <f>Assumptions!M110</f>
        <v/>
      </c>
      <c r="N22" s="4">
        <f>Assumptions!N110</f>
        <v/>
      </c>
      <c r="O22" s="4">
        <f>Assumptions!O110</f>
        <v/>
      </c>
      <c r="P22" s="4">
        <f>Assumptions!P110</f>
        <v/>
      </c>
      <c r="Q22" s="4">
        <f>Assumptions!Q110</f>
        <v/>
      </c>
      <c r="R22" s="4">
        <f>Assumptions!R110</f>
        <v/>
      </c>
      <c r="S22" s="4">
        <f>Assumptions!S110</f>
        <v/>
      </c>
      <c r="T22" s="4">
        <f>Assumptions!T110</f>
        <v/>
      </c>
      <c r="U22" s="4">
        <f>Assumptions!U110</f>
        <v/>
      </c>
      <c r="V22" s="4">
        <f>Assumptions!V110</f>
        <v/>
      </c>
      <c r="W22" s="4">
        <f>Assumptions!W110</f>
        <v/>
      </c>
      <c r="X22" s="4">
        <f>Assumptions!X110</f>
        <v/>
      </c>
      <c r="Y22" s="4">
        <f>Assumptions!Y110</f>
        <v/>
      </c>
      <c r="Z22" s="4">
        <f>Assumptions!Z110</f>
        <v/>
      </c>
      <c r="AA22" s="4">
        <f>Assumptions!AA110</f>
        <v/>
      </c>
      <c r="AB22" s="4">
        <f>Assumptions!AB110</f>
        <v/>
      </c>
      <c r="AC22" s="4">
        <f>Assumptions!AC110</f>
        <v/>
      </c>
      <c r="AD22" s="4">
        <f>Assumptions!AD110</f>
        <v/>
      </c>
      <c r="AE22" s="4">
        <f>Assumptions!AE110</f>
        <v/>
      </c>
      <c r="AG22" s="4">
        <f>SUMIF($C$3:$AE$3,AG$3,$C22:$AE22)</f>
        <v/>
      </c>
      <c r="AH22" s="4">
        <f>SUMIF($C$3:$AE$3,AH$3,$C22:$AE22)</f>
        <v/>
      </c>
      <c r="AI22" s="4">
        <f>SUMIF($C$3:$AE$3,AI$3,$C22:$AE22)</f>
        <v/>
      </c>
      <c r="AJ22" s="4">
        <f>SUMIF($C$3:$AE$3,AJ$3,$C22:$AE22)</f>
        <v/>
      </c>
      <c r="AK22" s="4">
        <f>SUMIF($C$3:$AE$3,AK$3,$C22:$AE22)</f>
        <v/>
      </c>
      <c r="AL22" s="4">
        <f>SUMIF($C$3:$AE$3,AL$3,$C22:$AE22)</f>
        <v/>
      </c>
    </row>
    <row r="23">
      <c r="A23" t="inlineStr">
        <is>
          <t>Crowdfunding platform &amp; processing fees</t>
        </is>
      </c>
      <c r="B23" s="2" t="inlineStr"/>
      <c r="C23" s="4">
        <f>'Working Capital'!C21</f>
        <v/>
      </c>
      <c r="D23" s="4">
        <f>'Working Capital'!D21</f>
        <v/>
      </c>
      <c r="E23" s="4">
        <f>'Working Capital'!E21</f>
        <v/>
      </c>
      <c r="F23" s="4">
        <f>'Working Capital'!F21</f>
        <v/>
      </c>
      <c r="G23" s="4">
        <f>'Working Capital'!G21</f>
        <v/>
      </c>
      <c r="H23" s="4">
        <f>'Working Capital'!H21</f>
        <v/>
      </c>
      <c r="I23" s="4">
        <f>'Working Capital'!I21</f>
        <v/>
      </c>
      <c r="J23" s="4">
        <f>'Working Capital'!J21</f>
        <v/>
      </c>
      <c r="K23" s="4">
        <f>'Working Capital'!K21</f>
        <v/>
      </c>
      <c r="L23" s="4">
        <f>'Working Capital'!L21</f>
        <v/>
      </c>
      <c r="M23" s="4">
        <f>'Working Capital'!M21</f>
        <v/>
      </c>
      <c r="N23" s="4">
        <f>'Working Capital'!N21</f>
        <v/>
      </c>
      <c r="O23" s="4">
        <f>'Working Capital'!O21</f>
        <v/>
      </c>
      <c r="P23" s="4">
        <f>'Working Capital'!P21</f>
        <v/>
      </c>
      <c r="Q23" s="4">
        <f>'Working Capital'!Q21</f>
        <v/>
      </c>
      <c r="R23" s="4">
        <f>'Working Capital'!R21</f>
        <v/>
      </c>
      <c r="S23" s="4">
        <f>'Working Capital'!S21</f>
        <v/>
      </c>
      <c r="T23" s="4">
        <f>'Working Capital'!T21</f>
        <v/>
      </c>
      <c r="U23" s="4">
        <f>'Working Capital'!U21</f>
        <v/>
      </c>
      <c r="V23" s="4">
        <f>'Working Capital'!V21</f>
        <v/>
      </c>
      <c r="W23" s="4">
        <f>'Working Capital'!W21</f>
        <v/>
      </c>
      <c r="X23" s="4">
        <f>'Working Capital'!X21</f>
        <v/>
      </c>
      <c r="Y23" s="4">
        <f>'Working Capital'!Y21</f>
        <v/>
      </c>
      <c r="Z23" s="4">
        <f>'Working Capital'!Z21</f>
        <v/>
      </c>
      <c r="AA23" s="4">
        <f>'Working Capital'!AA21</f>
        <v/>
      </c>
      <c r="AB23" s="4">
        <f>'Working Capital'!AB21</f>
        <v/>
      </c>
      <c r="AC23" s="4">
        <f>'Working Capital'!AC21</f>
        <v/>
      </c>
      <c r="AD23" s="4">
        <f>'Working Capital'!AD21</f>
        <v/>
      </c>
      <c r="AE23" s="4">
        <f>'Working Capital'!AE21</f>
        <v/>
      </c>
      <c r="AG23" s="4">
        <f>SUMIF($C$3:$AE$3,AG$3,$C23:$AE23)</f>
        <v/>
      </c>
      <c r="AH23" s="4">
        <f>SUMIF($C$3:$AE$3,AH$3,$C23:$AE23)</f>
        <v/>
      </c>
      <c r="AI23" s="4">
        <f>SUMIF($C$3:$AE$3,AI$3,$C23:$AE23)</f>
        <v/>
      </c>
      <c r="AJ23" s="4">
        <f>SUMIF($C$3:$AE$3,AJ$3,$C23:$AE23)</f>
        <v/>
      </c>
      <c r="AK23" s="4">
        <f>SUMIF($C$3:$AE$3,AK$3,$C23:$AE23)</f>
        <v/>
      </c>
      <c r="AL23" s="4">
        <f>SUMIF($C$3:$AE$3,AL$3,$C23:$AE23)</f>
        <v/>
      </c>
    </row>
    <row r="24">
      <c r="A24" t="inlineStr">
        <is>
          <t>Brand, content, PR &amp; events</t>
        </is>
      </c>
      <c r="B24" s="2" t="inlineStr"/>
      <c r="C24" s="4">
        <f>Assumptions!C111</f>
        <v/>
      </c>
      <c r="D24" s="4">
        <f>Assumptions!D111</f>
        <v/>
      </c>
      <c r="E24" s="4">
        <f>Assumptions!E111</f>
        <v/>
      </c>
      <c r="F24" s="4">
        <f>Assumptions!F111</f>
        <v/>
      </c>
      <c r="G24" s="4">
        <f>Assumptions!G111</f>
        <v/>
      </c>
      <c r="H24" s="4">
        <f>Assumptions!H111</f>
        <v/>
      </c>
      <c r="I24" s="4">
        <f>Assumptions!I111</f>
        <v/>
      </c>
      <c r="J24" s="4">
        <f>Assumptions!J111</f>
        <v/>
      </c>
      <c r="K24" s="4">
        <f>Assumptions!K111</f>
        <v/>
      </c>
      <c r="L24" s="4">
        <f>Assumptions!L111</f>
        <v/>
      </c>
      <c r="M24" s="4">
        <f>Assumptions!M111</f>
        <v/>
      </c>
      <c r="N24" s="4">
        <f>Assumptions!N111</f>
        <v/>
      </c>
      <c r="O24" s="4">
        <f>Assumptions!O111</f>
        <v/>
      </c>
      <c r="P24" s="4">
        <f>Assumptions!P111</f>
        <v/>
      </c>
      <c r="Q24" s="4">
        <f>Assumptions!Q111</f>
        <v/>
      </c>
      <c r="R24" s="4">
        <f>Assumptions!R111</f>
        <v/>
      </c>
      <c r="S24" s="4">
        <f>Assumptions!S111</f>
        <v/>
      </c>
      <c r="T24" s="4">
        <f>Assumptions!T111</f>
        <v/>
      </c>
      <c r="U24" s="4">
        <f>Assumptions!U111</f>
        <v/>
      </c>
      <c r="V24" s="4">
        <f>Assumptions!V111</f>
        <v/>
      </c>
      <c r="W24" s="4">
        <f>Assumptions!W111</f>
        <v/>
      </c>
      <c r="X24" s="4">
        <f>Assumptions!X111</f>
        <v/>
      </c>
      <c r="Y24" s="4">
        <f>Assumptions!Y111</f>
        <v/>
      </c>
      <c r="Z24" s="4">
        <f>Assumptions!Z111</f>
        <v/>
      </c>
      <c r="AA24" s="4">
        <f>Assumptions!AA111</f>
        <v/>
      </c>
      <c r="AB24" s="4">
        <f>Assumptions!AB111</f>
        <v/>
      </c>
      <c r="AC24" s="4">
        <f>Assumptions!AC111</f>
        <v/>
      </c>
      <c r="AD24" s="4">
        <f>Assumptions!AD111</f>
        <v/>
      </c>
      <c r="AE24" s="4">
        <f>Assumptions!AE111</f>
        <v/>
      </c>
      <c r="AG24" s="4">
        <f>SUMIF($C$3:$AE$3,AG$3,$C24:$AE24)</f>
        <v/>
      </c>
      <c r="AH24" s="4">
        <f>SUMIF($C$3:$AE$3,AH$3,$C24:$AE24)</f>
        <v/>
      </c>
      <c r="AI24" s="4">
        <f>SUMIF($C$3:$AE$3,AI$3,$C24:$AE24)</f>
        <v/>
      </c>
      <c r="AJ24" s="4">
        <f>SUMIF($C$3:$AE$3,AJ$3,$C24:$AE24)</f>
        <v/>
      </c>
      <c r="AK24" s="4">
        <f>SUMIF($C$3:$AE$3,AK$3,$C24:$AE24)</f>
        <v/>
      </c>
      <c r="AL24" s="4">
        <f>SUMIF($C$3:$AE$3,AL$3,$C24:$AE24)</f>
        <v/>
      </c>
    </row>
    <row r="25">
      <c r="A25" t="inlineStr">
        <is>
          <t>Retail co-op / MDF / displays</t>
        </is>
      </c>
      <c r="B25" s="2" t="inlineStr"/>
      <c r="C25" s="4">
        <f>'Revenue Build'!C11*retail_coop</f>
        <v/>
      </c>
      <c r="D25" s="4">
        <f>'Revenue Build'!D11*retail_coop</f>
        <v/>
      </c>
      <c r="E25" s="4">
        <f>'Revenue Build'!E11*retail_coop</f>
        <v/>
      </c>
      <c r="F25" s="4">
        <f>'Revenue Build'!F11*retail_coop</f>
        <v/>
      </c>
      <c r="G25" s="4">
        <f>'Revenue Build'!G11*retail_coop</f>
        <v/>
      </c>
      <c r="H25" s="4">
        <f>'Revenue Build'!H11*retail_coop</f>
        <v/>
      </c>
      <c r="I25" s="4">
        <f>'Revenue Build'!I11*retail_coop</f>
        <v/>
      </c>
      <c r="J25" s="4">
        <f>'Revenue Build'!J11*retail_coop</f>
        <v/>
      </c>
      <c r="K25" s="4">
        <f>'Revenue Build'!K11*retail_coop</f>
        <v/>
      </c>
      <c r="L25" s="4">
        <f>'Revenue Build'!L11*retail_coop</f>
        <v/>
      </c>
      <c r="M25" s="4">
        <f>'Revenue Build'!M11*retail_coop</f>
        <v/>
      </c>
      <c r="N25" s="4">
        <f>'Revenue Build'!N11*retail_coop</f>
        <v/>
      </c>
      <c r="O25" s="4">
        <f>'Revenue Build'!O11*retail_coop</f>
        <v/>
      </c>
      <c r="P25" s="4">
        <f>'Revenue Build'!P11*retail_coop</f>
        <v/>
      </c>
      <c r="Q25" s="4">
        <f>'Revenue Build'!Q11*retail_coop</f>
        <v/>
      </c>
      <c r="R25" s="4">
        <f>'Revenue Build'!R11*retail_coop</f>
        <v/>
      </c>
      <c r="S25" s="4">
        <f>'Revenue Build'!S11*retail_coop</f>
        <v/>
      </c>
      <c r="T25" s="4">
        <f>'Revenue Build'!T11*retail_coop</f>
        <v/>
      </c>
      <c r="U25" s="4">
        <f>'Revenue Build'!U11*retail_coop</f>
        <v/>
      </c>
      <c r="V25" s="4">
        <f>'Revenue Build'!V11*retail_coop</f>
        <v/>
      </c>
      <c r="W25" s="4">
        <f>'Revenue Build'!W11*retail_coop</f>
        <v/>
      </c>
      <c r="X25" s="4">
        <f>'Revenue Build'!X11*retail_coop</f>
        <v/>
      </c>
      <c r="Y25" s="4">
        <f>'Revenue Build'!Y11*retail_coop</f>
        <v/>
      </c>
      <c r="Z25" s="4">
        <f>'Revenue Build'!Z11*retail_coop</f>
        <v/>
      </c>
      <c r="AA25" s="4">
        <f>'Revenue Build'!AA11*retail_coop</f>
        <v/>
      </c>
      <c r="AB25" s="4">
        <f>'Revenue Build'!AB11*retail_coop</f>
        <v/>
      </c>
      <c r="AC25" s="4">
        <f>'Revenue Build'!AC11*retail_coop</f>
        <v/>
      </c>
      <c r="AD25" s="4">
        <f>'Revenue Build'!AD11*retail_coop</f>
        <v/>
      </c>
      <c r="AE25" s="4">
        <f>'Revenue Build'!AE11*retail_coop</f>
        <v/>
      </c>
      <c r="AG25" s="4">
        <f>SUMIF($C$3:$AE$3,AG$3,$C25:$AE25)</f>
        <v/>
      </c>
      <c r="AH25" s="4">
        <f>SUMIF($C$3:$AE$3,AH$3,$C25:$AE25)</f>
        <v/>
      </c>
      <c r="AI25" s="4">
        <f>SUMIF($C$3:$AE$3,AI$3,$C25:$AE25)</f>
        <v/>
      </c>
      <c r="AJ25" s="4">
        <f>SUMIF($C$3:$AE$3,AJ$3,$C25:$AE25)</f>
        <v/>
      </c>
      <c r="AK25" s="4">
        <f>SUMIF($C$3:$AE$3,AK$3,$C25:$AE25)</f>
        <v/>
      </c>
      <c r="AL25" s="4">
        <f>SUMIF($C$3:$AE$3,AL$3,$C25:$AE25)</f>
        <v/>
      </c>
    </row>
    <row r="26">
      <c r="A26" s="13" t="inlineStr">
        <is>
          <t>TOTAL S&amp;M</t>
        </is>
      </c>
      <c r="B26" s="2" t="inlineStr"/>
      <c r="C26" s="24">
        <f>'OpEx'!C20+'OpEx'!C21+'OpEx'!C22+'OpEx'!C23+'OpEx'!C24+'OpEx'!C25</f>
        <v/>
      </c>
      <c r="D26" s="24">
        <f>'OpEx'!D20+'OpEx'!D21+'OpEx'!D22+'OpEx'!D23+'OpEx'!D24+'OpEx'!D25</f>
        <v/>
      </c>
      <c r="E26" s="24">
        <f>'OpEx'!E20+'OpEx'!E21+'OpEx'!E22+'OpEx'!E23+'OpEx'!E24+'OpEx'!E25</f>
        <v/>
      </c>
      <c r="F26" s="24">
        <f>'OpEx'!F20+'OpEx'!F21+'OpEx'!F22+'OpEx'!F23+'OpEx'!F24+'OpEx'!F25</f>
        <v/>
      </c>
      <c r="G26" s="24">
        <f>'OpEx'!G20+'OpEx'!G21+'OpEx'!G22+'OpEx'!G23+'OpEx'!G24+'OpEx'!G25</f>
        <v/>
      </c>
      <c r="H26" s="24">
        <f>'OpEx'!H20+'OpEx'!H21+'OpEx'!H22+'OpEx'!H23+'OpEx'!H24+'OpEx'!H25</f>
        <v/>
      </c>
      <c r="I26" s="24">
        <f>'OpEx'!I20+'OpEx'!I21+'OpEx'!I22+'OpEx'!I23+'OpEx'!I24+'OpEx'!I25</f>
        <v/>
      </c>
      <c r="J26" s="24">
        <f>'OpEx'!J20+'OpEx'!J21+'OpEx'!J22+'OpEx'!J23+'OpEx'!J24+'OpEx'!J25</f>
        <v/>
      </c>
      <c r="K26" s="24">
        <f>'OpEx'!K20+'OpEx'!K21+'OpEx'!K22+'OpEx'!K23+'OpEx'!K24+'OpEx'!K25</f>
        <v/>
      </c>
      <c r="L26" s="24">
        <f>'OpEx'!L20+'OpEx'!L21+'OpEx'!L22+'OpEx'!L23+'OpEx'!L24+'OpEx'!L25</f>
        <v/>
      </c>
      <c r="M26" s="24">
        <f>'OpEx'!M20+'OpEx'!M21+'OpEx'!M22+'OpEx'!M23+'OpEx'!M24+'OpEx'!M25</f>
        <v/>
      </c>
      <c r="N26" s="24">
        <f>'OpEx'!N20+'OpEx'!N21+'OpEx'!N22+'OpEx'!N23+'OpEx'!N24+'OpEx'!N25</f>
        <v/>
      </c>
      <c r="O26" s="24">
        <f>'OpEx'!O20+'OpEx'!O21+'OpEx'!O22+'OpEx'!O23+'OpEx'!O24+'OpEx'!O25</f>
        <v/>
      </c>
      <c r="P26" s="24">
        <f>'OpEx'!P20+'OpEx'!P21+'OpEx'!P22+'OpEx'!P23+'OpEx'!P24+'OpEx'!P25</f>
        <v/>
      </c>
      <c r="Q26" s="24">
        <f>'OpEx'!Q20+'OpEx'!Q21+'OpEx'!Q22+'OpEx'!Q23+'OpEx'!Q24+'OpEx'!Q25</f>
        <v/>
      </c>
      <c r="R26" s="24">
        <f>'OpEx'!R20+'OpEx'!R21+'OpEx'!R22+'OpEx'!R23+'OpEx'!R24+'OpEx'!R25</f>
        <v/>
      </c>
      <c r="S26" s="24">
        <f>'OpEx'!S20+'OpEx'!S21+'OpEx'!S22+'OpEx'!S23+'OpEx'!S24+'OpEx'!S25</f>
        <v/>
      </c>
      <c r="T26" s="24">
        <f>'OpEx'!T20+'OpEx'!T21+'OpEx'!T22+'OpEx'!T23+'OpEx'!T24+'OpEx'!T25</f>
        <v/>
      </c>
      <c r="U26" s="24">
        <f>'OpEx'!U20+'OpEx'!U21+'OpEx'!U22+'OpEx'!U23+'OpEx'!U24+'OpEx'!U25</f>
        <v/>
      </c>
      <c r="V26" s="24">
        <f>'OpEx'!V20+'OpEx'!V21+'OpEx'!V22+'OpEx'!V23+'OpEx'!V24+'OpEx'!V25</f>
        <v/>
      </c>
      <c r="W26" s="24">
        <f>'OpEx'!W20+'OpEx'!W21+'OpEx'!W22+'OpEx'!W23+'OpEx'!W24+'OpEx'!W25</f>
        <v/>
      </c>
      <c r="X26" s="24">
        <f>'OpEx'!X20+'OpEx'!X21+'OpEx'!X22+'OpEx'!X23+'OpEx'!X24+'OpEx'!X25</f>
        <v/>
      </c>
      <c r="Y26" s="24">
        <f>'OpEx'!Y20+'OpEx'!Y21+'OpEx'!Y22+'OpEx'!Y23+'OpEx'!Y24+'OpEx'!Y25</f>
        <v/>
      </c>
      <c r="Z26" s="24">
        <f>'OpEx'!Z20+'OpEx'!Z21+'OpEx'!Z22+'OpEx'!Z23+'OpEx'!Z24+'OpEx'!Z25</f>
        <v/>
      </c>
      <c r="AA26" s="24">
        <f>'OpEx'!AA20+'OpEx'!AA21+'OpEx'!AA22+'OpEx'!AA23+'OpEx'!AA24+'OpEx'!AA25</f>
        <v/>
      </c>
      <c r="AB26" s="24">
        <f>'OpEx'!AB20+'OpEx'!AB21+'OpEx'!AB22+'OpEx'!AB23+'OpEx'!AB24+'OpEx'!AB25</f>
        <v/>
      </c>
      <c r="AC26" s="24">
        <f>'OpEx'!AC20+'OpEx'!AC21+'OpEx'!AC22+'OpEx'!AC23+'OpEx'!AC24+'OpEx'!AC25</f>
        <v/>
      </c>
      <c r="AD26" s="24">
        <f>'OpEx'!AD20+'OpEx'!AD21+'OpEx'!AD22+'OpEx'!AD23+'OpEx'!AD24+'OpEx'!AD25</f>
        <v/>
      </c>
      <c r="AE26" s="24">
        <f>'OpEx'!AE20+'OpEx'!AE21+'OpEx'!AE22+'OpEx'!AE23+'OpEx'!AE24+'OpEx'!AE25</f>
        <v/>
      </c>
      <c r="AG26" s="24">
        <f>SUMIF($C$3:$AE$3,AG$3,$C26:$AE26)</f>
        <v/>
      </c>
      <c r="AH26" s="24">
        <f>SUMIF($C$3:$AE$3,AH$3,$C26:$AE26)</f>
        <v/>
      </c>
      <c r="AI26" s="24">
        <f>SUMIF($C$3:$AE$3,AI$3,$C26:$AE26)</f>
        <v/>
      </c>
      <c r="AJ26" s="24">
        <f>SUMIF($C$3:$AE$3,AJ$3,$C26:$AE26)</f>
        <v/>
      </c>
      <c r="AK26" s="24">
        <f>SUMIF($C$3:$AE$3,AK$3,$C26:$AE26)</f>
        <v/>
      </c>
      <c r="AL26" s="24">
        <f>SUMIF($C$3:$AE$3,AL$3,$C26:$AE26)</f>
        <v/>
      </c>
    </row>
    <row r="28">
      <c r="A28" s="8" t="inlineStr">
        <is>
          <t>Operations &amp; customer support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</row>
    <row r="29">
      <c r="A29" s="13" t="inlineStr">
        <is>
          <t>Ops &amp; CS personnel</t>
        </is>
      </c>
      <c r="B29" s="2" t="inlineStr"/>
      <c r="C29" s="24">
        <f>'Headcount Plan'!C107</f>
        <v/>
      </c>
      <c r="D29" s="24">
        <f>'Headcount Plan'!D107</f>
        <v/>
      </c>
      <c r="E29" s="24">
        <f>'Headcount Plan'!E107</f>
        <v/>
      </c>
      <c r="F29" s="24">
        <f>'Headcount Plan'!F107</f>
        <v/>
      </c>
      <c r="G29" s="24">
        <f>'Headcount Plan'!G107</f>
        <v/>
      </c>
      <c r="H29" s="24">
        <f>'Headcount Plan'!H107</f>
        <v/>
      </c>
      <c r="I29" s="24">
        <f>'Headcount Plan'!I107</f>
        <v/>
      </c>
      <c r="J29" s="24">
        <f>'Headcount Plan'!J107</f>
        <v/>
      </c>
      <c r="K29" s="24">
        <f>'Headcount Plan'!K107</f>
        <v/>
      </c>
      <c r="L29" s="24">
        <f>'Headcount Plan'!L107</f>
        <v/>
      </c>
      <c r="M29" s="24">
        <f>'Headcount Plan'!M107</f>
        <v/>
      </c>
      <c r="N29" s="24">
        <f>'Headcount Plan'!N107</f>
        <v/>
      </c>
      <c r="O29" s="24">
        <f>'Headcount Plan'!O107</f>
        <v/>
      </c>
      <c r="P29" s="24">
        <f>'Headcount Plan'!P107</f>
        <v/>
      </c>
      <c r="Q29" s="24">
        <f>'Headcount Plan'!Q107</f>
        <v/>
      </c>
      <c r="R29" s="24">
        <f>'Headcount Plan'!R107</f>
        <v/>
      </c>
      <c r="S29" s="24">
        <f>'Headcount Plan'!S107</f>
        <v/>
      </c>
      <c r="T29" s="24">
        <f>'Headcount Plan'!T107</f>
        <v/>
      </c>
      <c r="U29" s="24">
        <f>'Headcount Plan'!U107</f>
        <v/>
      </c>
      <c r="V29" s="24">
        <f>'Headcount Plan'!V107</f>
        <v/>
      </c>
      <c r="W29" s="24">
        <f>'Headcount Plan'!W107</f>
        <v/>
      </c>
      <c r="X29" s="24">
        <f>'Headcount Plan'!X107</f>
        <v/>
      </c>
      <c r="Y29" s="24">
        <f>'Headcount Plan'!Y107</f>
        <v/>
      </c>
      <c r="Z29" s="24">
        <f>'Headcount Plan'!Z107</f>
        <v/>
      </c>
      <c r="AA29" s="24">
        <f>'Headcount Plan'!AA107</f>
        <v/>
      </c>
      <c r="AB29" s="24">
        <f>'Headcount Plan'!AB107</f>
        <v/>
      </c>
      <c r="AC29" s="24">
        <f>'Headcount Plan'!AC107</f>
        <v/>
      </c>
      <c r="AD29" s="24">
        <f>'Headcount Plan'!AD107</f>
        <v/>
      </c>
      <c r="AE29" s="24">
        <f>'Headcount Plan'!AE107</f>
        <v/>
      </c>
      <c r="AG29" s="24">
        <f>SUMIF($C$3:$AE$3,AG$3,$C29:$AE29)</f>
        <v/>
      </c>
      <c r="AH29" s="24">
        <f>SUMIF($C$3:$AE$3,AH$3,$C29:$AE29)</f>
        <v/>
      </c>
      <c r="AI29" s="24">
        <f>SUMIF($C$3:$AE$3,AI$3,$C29:$AE29)</f>
        <v/>
      </c>
      <c r="AJ29" s="24">
        <f>SUMIF($C$3:$AE$3,AJ$3,$C29:$AE29)</f>
        <v/>
      </c>
      <c r="AK29" s="24">
        <f>SUMIF($C$3:$AE$3,AK$3,$C29:$AE29)</f>
        <v/>
      </c>
      <c r="AL29" s="24">
        <f>SUMIF($C$3:$AE$3,AL$3,$C29:$AE29)</f>
        <v/>
      </c>
    </row>
    <row r="31">
      <c r="A31" s="8" t="inlineStr">
        <is>
          <t>General &amp; administrative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</row>
    <row r="32">
      <c r="A32" t="inlineStr">
        <is>
          <t>G&amp;A personnel</t>
        </is>
      </c>
      <c r="B32" s="2" t="inlineStr"/>
      <c r="C32" s="4">
        <f>'Headcount Plan'!C108</f>
        <v/>
      </c>
      <c r="D32" s="4">
        <f>'Headcount Plan'!D108</f>
        <v/>
      </c>
      <c r="E32" s="4">
        <f>'Headcount Plan'!E108</f>
        <v/>
      </c>
      <c r="F32" s="4">
        <f>'Headcount Plan'!F108</f>
        <v/>
      </c>
      <c r="G32" s="4">
        <f>'Headcount Plan'!G108</f>
        <v/>
      </c>
      <c r="H32" s="4">
        <f>'Headcount Plan'!H108</f>
        <v/>
      </c>
      <c r="I32" s="4">
        <f>'Headcount Plan'!I108</f>
        <v/>
      </c>
      <c r="J32" s="4">
        <f>'Headcount Plan'!J108</f>
        <v/>
      </c>
      <c r="K32" s="4">
        <f>'Headcount Plan'!K108</f>
        <v/>
      </c>
      <c r="L32" s="4">
        <f>'Headcount Plan'!L108</f>
        <v/>
      </c>
      <c r="M32" s="4">
        <f>'Headcount Plan'!M108</f>
        <v/>
      </c>
      <c r="N32" s="4">
        <f>'Headcount Plan'!N108</f>
        <v/>
      </c>
      <c r="O32" s="4">
        <f>'Headcount Plan'!O108</f>
        <v/>
      </c>
      <c r="P32" s="4">
        <f>'Headcount Plan'!P108</f>
        <v/>
      </c>
      <c r="Q32" s="4">
        <f>'Headcount Plan'!Q108</f>
        <v/>
      </c>
      <c r="R32" s="4">
        <f>'Headcount Plan'!R108</f>
        <v/>
      </c>
      <c r="S32" s="4">
        <f>'Headcount Plan'!S108</f>
        <v/>
      </c>
      <c r="T32" s="4">
        <f>'Headcount Plan'!T108</f>
        <v/>
      </c>
      <c r="U32" s="4">
        <f>'Headcount Plan'!U108</f>
        <v/>
      </c>
      <c r="V32" s="4">
        <f>'Headcount Plan'!V108</f>
        <v/>
      </c>
      <c r="W32" s="4">
        <f>'Headcount Plan'!W108</f>
        <v/>
      </c>
      <c r="X32" s="4">
        <f>'Headcount Plan'!X108</f>
        <v/>
      </c>
      <c r="Y32" s="4">
        <f>'Headcount Plan'!Y108</f>
        <v/>
      </c>
      <c r="Z32" s="4">
        <f>'Headcount Plan'!Z108</f>
        <v/>
      </c>
      <c r="AA32" s="4">
        <f>'Headcount Plan'!AA108</f>
        <v/>
      </c>
      <c r="AB32" s="4">
        <f>'Headcount Plan'!AB108</f>
        <v/>
      </c>
      <c r="AC32" s="4">
        <f>'Headcount Plan'!AC108</f>
        <v/>
      </c>
      <c r="AD32" s="4">
        <f>'Headcount Plan'!AD108</f>
        <v/>
      </c>
      <c r="AE32" s="4">
        <f>'Headcount Plan'!AE108</f>
        <v/>
      </c>
      <c r="AG32" s="4">
        <f>SUMIF($C$3:$AE$3,AG$3,$C32:$AE32)</f>
        <v/>
      </c>
      <c r="AH32" s="4">
        <f>SUMIF($C$3:$AE$3,AH$3,$C32:$AE32)</f>
        <v/>
      </c>
      <c r="AI32" s="4">
        <f>SUMIF($C$3:$AE$3,AI$3,$C32:$AE32)</f>
        <v/>
      </c>
      <c r="AJ32" s="4">
        <f>SUMIF($C$3:$AE$3,AJ$3,$C32:$AE32)</f>
        <v/>
      </c>
      <c r="AK32" s="4">
        <f>SUMIF($C$3:$AE$3,AK$3,$C32:$AE32)</f>
        <v/>
      </c>
      <c r="AL32" s="4">
        <f>SUMIF($C$3:$AE$3,AL$3,$C32:$AE32)</f>
        <v/>
      </c>
    </row>
    <row r="33">
      <c r="A33" t="inlineStr">
        <is>
          <t>G&amp;A non-personnel</t>
        </is>
      </c>
      <c r="B33" s="2" t="inlineStr"/>
      <c r="C33" s="4">
        <f>Assumptions!C119</f>
        <v/>
      </c>
      <c r="D33" s="4">
        <f>Assumptions!D119</f>
        <v/>
      </c>
      <c r="E33" s="4">
        <f>Assumptions!E119</f>
        <v/>
      </c>
      <c r="F33" s="4">
        <f>Assumptions!F119</f>
        <v/>
      </c>
      <c r="G33" s="4">
        <f>Assumptions!G119</f>
        <v/>
      </c>
      <c r="H33" s="4">
        <f>Assumptions!H119</f>
        <v/>
      </c>
      <c r="I33" s="4">
        <f>Assumptions!I119</f>
        <v/>
      </c>
      <c r="J33" s="4">
        <f>Assumptions!J119</f>
        <v/>
      </c>
      <c r="K33" s="4">
        <f>Assumptions!K119</f>
        <v/>
      </c>
      <c r="L33" s="4">
        <f>Assumptions!L119</f>
        <v/>
      </c>
      <c r="M33" s="4">
        <f>Assumptions!M119</f>
        <v/>
      </c>
      <c r="N33" s="4">
        <f>Assumptions!N119</f>
        <v/>
      </c>
      <c r="O33" s="4">
        <f>Assumptions!O119</f>
        <v/>
      </c>
      <c r="P33" s="4">
        <f>Assumptions!P119</f>
        <v/>
      </c>
      <c r="Q33" s="4">
        <f>Assumptions!Q119</f>
        <v/>
      </c>
      <c r="R33" s="4">
        <f>Assumptions!R119</f>
        <v/>
      </c>
      <c r="S33" s="4">
        <f>Assumptions!S119</f>
        <v/>
      </c>
      <c r="T33" s="4">
        <f>Assumptions!T119</f>
        <v/>
      </c>
      <c r="U33" s="4">
        <f>Assumptions!U119</f>
        <v/>
      </c>
      <c r="V33" s="4">
        <f>Assumptions!V119</f>
        <v/>
      </c>
      <c r="W33" s="4">
        <f>Assumptions!W119</f>
        <v/>
      </c>
      <c r="X33" s="4">
        <f>Assumptions!X119</f>
        <v/>
      </c>
      <c r="Y33" s="4">
        <f>Assumptions!Y119</f>
        <v/>
      </c>
      <c r="Z33" s="4">
        <f>Assumptions!Z119</f>
        <v/>
      </c>
      <c r="AA33" s="4">
        <f>Assumptions!AA119</f>
        <v/>
      </c>
      <c r="AB33" s="4">
        <f>Assumptions!AB119</f>
        <v/>
      </c>
      <c r="AC33" s="4">
        <f>Assumptions!AC119</f>
        <v/>
      </c>
      <c r="AD33" s="4">
        <f>Assumptions!AD119</f>
        <v/>
      </c>
      <c r="AE33" s="4">
        <f>Assumptions!AE119</f>
        <v/>
      </c>
      <c r="AG33" s="4">
        <f>SUMIF($C$3:$AE$3,AG$3,$C33:$AE33)</f>
        <v/>
      </c>
      <c r="AH33" s="4">
        <f>SUMIF($C$3:$AE$3,AH$3,$C33:$AE33)</f>
        <v/>
      </c>
      <c r="AI33" s="4">
        <f>SUMIF($C$3:$AE$3,AI$3,$C33:$AE33)</f>
        <v/>
      </c>
      <c r="AJ33" s="4">
        <f>SUMIF($C$3:$AE$3,AJ$3,$C33:$AE33)</f>
        <v/>
      </c>
      <c r="AK33" s="4">
        <f>SUMIF($C$3:$AE$3,AK$3,$C33:$AE33)</f>
        <v/>
      </c>
      <c r="AL33" s="4">
        <f>SUMIF($C$3:$AE$3,AL$3,$C33:$AE33)</f>
        <v/>
      </c>
    </row>
    <row r="34">
      <c r="A34" s="13" t="inlineStr">
        <is>
          <t>TOTAL G&amp;A</t>
        </is>
      </c>
      <c r="B34" s="2" t="inlineStr"/>
      <c r="C34" s="24">
        <f>'OpEx'!C32+'OpEx'!C33</f>
        <v/>
      </c>
      <c r="D34" s="24">
        <f>'OpEx'!D32+'OpEx'!D33</f>
        <v/>
      </c>
      <c r="E34" s="24">
        <f>'OpEx'!E32+'OpEx'!E33</f>
        <v/>
      </c>
      <c r="F34" s="24">
        <f>'OpEx'!F32+'OpEx'!F33</f>
        <v/>
      </c>
      <c r="G34" s="24">
        <f>'OpEx'!G32+'OpEx'!G33</f>
        <v/>
      </c>
      <c r="H34" s="24">
        <f>'OpEx'!H32+'OpEx'!H33</f>
        <v/>
      </c>
      <c r="I34" s="24">
        <f>'OpEx'!I32+'OpEx'!I33</f>
        <v/>
      </c>
      <c r="J34" s="24">
        <f>'OpEx'!J32+'OpEx'!J33</f>
        <v/>
      </c>
      <c r="K34" s="24">
        <f>'OpEx'!K32+'OpEx'!K33</f>
        <v/>
      </c>
      <c r="L34" s="24">
        <f>'OpEx'!L32+'OpEx'!L33</f>
        <v/>
      </c>
      <c r="M34" s="24">
        <f>'OpEx'!M32+'OpEx'!M33</f>
        <v/>
      </c>
      <c r="N34" s="24">
        <f>'OpEx'!N32+'OpEx'!N33</f>
        <v/>
      </c>
      <c r="O34" s="24">
        <f>'OpEx'!O32+'OpEx'!O33</f>
        <v/>
      </c>
      <c r="P34" s="24">
        <f>'OpEx'!P32+'OpEx'!P33</f>
        <v/>
      </c>
      <c r="Q34" s="24">
        <f>'OpEx'!Q32+'OpEx'!Q33</f>
        <v/>
      </c>
      <c r="R34" s="24">
        <f>'OpEx'!R32+'OpEx'!R33</f>
        <v/>
      </c>
      <c r="S34" s="24">
        <f>'OpEx'!S32+'OpEx'!S33</f>
        <v/>
      </c>
      <c r="T34" s="24">
        <f>'OpEx'!T32+'OpEx'!T33</f>
        <v/>
      </c>
      <c r="U34" s="24">
        <f>'OpEx'!U32+'OpEx'!U33</f>
        <v/>
      </c>
      <c r="V34" s="24">
        <f>'OpEx'!V32+'OpEx'!V33</f>
        <v/>
      </c>
      <c r="W34" s="24">
        <f>'OpEx'!W32+'OpEx'!W33</f>
        <v/>
      </c>
      <c r="X34" s="24">
        <f>'OpEx'!X32+'OpEx'!X33</f>
        <v/>
      </c>
      <c r="Y34" s="24">
        <f>'OpEx'!Y32+'OpEx'!Y33</f>
        <v/>
      </c>
      <c r="Z34" s="24">
        <f>'OpEx'!Z32+'OpEx'!Z33</f>
        <v/>
      </c>
      <c r="AA34" s="24">
        <f>'OpEx'!AA32+'OpEx'!AA33</f>
        <v/>
      </c>
      <c r="AB34" s="24">
        <f>'OpEx'!AB32+'OpEx'!AB33</f>
        <v/>
      </c>
      <c r="AC34" s="24">
        <f>'OpEx'!AC32+'OpEx'!AC33</f>
        <v/>
      </c>
      <c r="AD34" s="24">
        <f>'OpEx'!AD32+'OpEx'!AD33</f>
        <v/>
      </c>
      <c r="AE34" s="24">
        <f>'OpEx'!AE32+'OpEx'!AE33</f>
        <v/>
      </c>
      <c r="AG34" s="24">
        <f>SUMIF($C$3:$AE$3,AG$3,$C34:$AE34)</f>
        <v/>
      </c>
      <c r="AH34" s="24">
        <f>SUMIF($C$3:$AE$3,AH$3,$C34:$AE34)</f>
        <v/>
      </c>
      <c r="AI34" s="24">
        <f>SUMIF($C$3:$AE$3,AI$3,$C34:$AE34)</f>
        <v/>
      </c>
      <c r="AJ34" s="24">
        <f>SUMIF($C$3:$AE$3,AJ$3,$C34:$AE34)</f>
        <v/>
      </c>
      <c r="AK34" s="24">
        <f>SUMIF($C$3:$AE$3,AK$3,$C34:$AE34)</f>
        <v/>
      </c>
      <c r="AL34" s="24">
        <f>SUMIF($C$3:$AE$3,AL$3,$C34:$AE34)</f>
        <v/>
      </c>
    </row>
    <row r="35">
      <c r="A35" s="13" t="inlineStr">
        <is>
          <t>TOTAL OPEX</t>
        </is>
      </c>
      <c r="B35" s="2" t="inlineStr"/>
      <c r="C35" s="24">
        <f>'OpEx'!C17+'OpEx'!C26+'OpEx'!C29+'OpEx'!C34</f>
        <v/>
      </c>
      <c r="D35" s="24">
        <f>'OpEx'!D17+'OpEx'!D26+'OpEx'!D29+'OpEx'!D34</f>
        <v/>
      </c>
      <c r="E35" s="24">
        <f>'OpEx'!E17+'OpEx'!E26+'OpEx'!E29+'OpEx'!E34</f>
        <v/>
      </c>
      <c r="F35" s="24">
        <f>'OpEx'!F17+'OpEx'!F26+'OpEx'!F29+'OpEx'!F34</f>
        <v/>
      </c>
      <c r="G35" s="24">
        <f>'OpEx'!G17+'OpEx'!G26+'OpEx'!G29+'OpEx'!G34</f>
        <v/>
      </c>
      <c r="H35" s="24">
        <f>'OpEx'!H17+'OpEx'!H26+'OpEx'!H29+'OpEx'!H34</f>
        <v/>
      </c>
      <c r="I35" s="24">
        <f>'OpEx'!I17+'OpEx'!I26+'OpEx'!I29+'OpEx'!I34</f>
        <v/>
      </c>
      <c r="J35" s="24">
        <f>'OpEx'!J17+'OpEx'!J26+'OpEx'!J29+'OpEx'!J34</f>
        <v/>
      </c>
      <c r="K35" s="24">
        <f>'OpEx'!K17+'OpEx'!K26+'OpEx'!K29+'OpEx'!K34</f>
        <v/>
      </c>
      <c r="L35" s="24">
        <f>'OpEx'!L17+'OpEx'!L26+'OpEx'!L29+'OpEx'!L34</f>
        <v/>
      </c>
      <c r="M35" s="24">
        <f>'OpEx'!M17+'OpEx'!M26+'OpEx'!M29+'OpEx'!M34</f>
        <v/>
      </c>
      <c r="N35" s="24">
        <f>'OpEx'!N17+'OpEx'!N26+'OpEx'!N29+'OpEx'!N34</f>
        <v/>
      </c>
      <c r="O35" s="24">
        <f>'OpEx'!O17+'OpEx'!O26+'OpEx'!O29+'OpEx'!O34</f>
        <v/>
      </c>
      <c r="P35" s="24">
        <f>'OpEx'!P17+'OpEx'!P26+'OpEx'!P29+'OpEx'!P34</f>
        <v/>
      </c>
      <c r="Q35" s="24">
        <f>'OpEx'!Q17+'OpEx'!Q26+'OpEx'!Q29+'OpEx'!Q34</f>
        <v/>
      </c>
      <c r="R35" s="24">
        <f>'OpEx'!R17+'OpEx'!R26+'OpEx'!R29+'OpEx'!R34</f>
        <v/>
      </c>
      <c r="S35" s="24">
        <f>'OpEx'!S17+'OpEx'!S26+'OpEx'!S29+'OpEx'!S34</f>
        <v/>
      </c>
      <c r="T35" s="24">
        <f>'OpEx'!T17+'OpEx'!T26+'OpEx'!T29+'OpEx'!T34</f>
        <v/>
      </c>
      <c r="U35" s="24">
        <f>'OpEx'!U17+'OpEx'!U26+'OpEx'!U29+'OpEx'!U34</f>
        <v/>
      </c>
      <c r="V35" s="24">
        <f>'OpEx'!V17+'OpEx'!V26+'OpEx'!V29+'OpEx'!V34</f>
        <v/>
      </c>
      <c r="W35" s="24">
        <f>'OpEx'!W17+'OpEx'!W26+'OpEx'!W29+'OpEx'!W34</f>
        <v/>
      </c>
      <c r="X35" s="24">
        <f>'OpEx'!X17+'OpEx'!X26+'OpEx'!X29+'OpEx'!X34</f>
        <v/>
      </c>
      <c r="Y35" s="24">
        <f>'OpEx'!Y17+'OpEx'!Y26+'OpEx'!Y29+'OpEx'!Y34</f>
        <v/>
      </c>
      <c r="Z35" s="24">
        <f>'OpEx'!Z17+'OpEx'!Z26+'OpEx'!Z29+'OpEx'!Z34</f>
        <v/>
      </c>
      <c r="AA35" s="24">
        <f>'OpEx'!AA17+'OpEx'!AA26+'OpEx'!AA29+'OpEx'!AA34</f>
        <v/>
      </c>
      <c r="AB35" s="24">
        <f>'OpEx'!AB17+'OpEx'!AB26+'OpEx'!AB29+'OpEx'!AB34</f>
        <v/>
      </c>
      <c r="AC35" s="24">
        <f>'OpEx'!AC17+'OpEx'!AC26+'OpEx'!AC29+'OpEx'!AC34</f>
        <v/>
      </c>
      <c r="AD35" s="24">
        <f>'OpEx'!AD17+'OpEx'!AD26+'OpEx'!AD29+'OpEx'!AD34</f>
        <v/>
      </c>
      <c r="AE35" s="24">
        <f>'OpEx'!AE17+'OpEx'!AE26+'OpEx'!AE29+'OpEx'!AE34</f>
        <v/>
      </c>
      <c r="AG35" s="24">
        <f>SUMIF($C$3:$AE$3,AG$3,$C35:$AE35)</f>
        <v/>
      </c>
      <c r="AH35" s="24">
        <f>SUMIF($C$3:$AE$3,AH$3,$C35:$AE35)</f>
        <v/>
      </c>
      <c r="AI35" s="24">
        <f>SUMIF($C$3:$AE$3,AI$3,$C35:$AE35)</f>
        <v/>
      </c>
      <c r="AJ35" s="24">
        <f>SUMIF($C$3:$AE$3,AJ$3,$C35:$AE35)</f>
        <v/>
      </c>
      <c r="AK35" s="24">
        <f>SUMIF($C$3:$AE$3,AK$3,$C35:$AE35)</f>
        <v/>
      </c>
      <c r="AL35" s="24">
        <f>SUMIF($C$3:$AE$3,AL$3,$C35:$AE35)</f>
        <v/>
      </c>
    </row>
    <row r="36">
      <c r="A36" t="inlineStr">
        <is>
          <t>memo: NRE subtotal (ID, ODM, proto, cert)</t>
        </is>
      </c>
      <c r="B36" s="2" t="inlineStr"/>
      <c r="C36" s="4">
        <f>'OpEx'!C11+'OpEx'!C12+'OpEx'!C13+'OpEx'!C14</f>
        <v/>
      </c>
      <c r="D36" s="4">
        <f>'OpEx'!D11+'OpEx'!D12+'OpEx'!D13+'OpEx'!D14</f>
        <v/>
      </c>
      <c r="E36" s="4">
        <f>'OpEx'!E11+'OpEx'!E12+'OpEx'!E13+'OpEx'!E14</f>
        <v/>
      </c>
      <c r="F36" s="4">
        <f>'OpEx'!F11+'OpEx'!F12+'OpEx'!F13+'OpEx'!F14</f>
        <v/>
      </c>
      <c r="G36" s="4">
        <f>'OpEx'!G11+'OpEx'!G12+'OpEx'!G13+'OpEx'!G14</f>
        <v/>
      </c>
      <c r="H36" s="4">
        <f>'OpEx'!H11+'OpEx'!H12+'OpEx'!H13+'OpEx'!H14</f>
        <v/>
      </c>
      <c r="I36" s="4">
        <f>'OpEx'!I11+'OpEx'!I12+'OpEx'!I13+'OpEx'!I14</f>
        <v/>
      </c>
      <c r="J36" s="4">
        <f>'OpEx'!J11+'OpEx'!J12+'OpEx'!J13+'OpEx'!J14</f>
        <v/>
      </c>
      <c r="K36" s="4">
        <f>'OpEx'!K11+'OpEx'!K12+'OpEx'!K13+'OpEx'!K14</f>
        <v/>
      </c>
      <c r="L36" s="4">
        <f>'OpEx'!L11+'OpEx'!L12+'OpEx'!L13+'OpEx'!L14</f>
        <v/>
      </c>
      <c r="M36" s="4">
        <f>'OpEx'!M11+'OpEx'!M12+'OpEx'!M13+'OpEx'!M14</f>
        <v/>
      </c>
      <c r="N36" s="4">
        <f>'OpEx'!N11+'OpEx'!N12+'OpEx'!N13+'OpEx'!N14</f>
        <v/>
      </c>
      <c r="O36" s="4">
        <f>'OpEx'!O11+'OpEx'!O12+'OpEx'!O13+'OpEx'!O14</f>
        <v/>
      </c>
      <c r="P36" s="4">
        <f>'OpEx'!P11+'OpEx'!P12+'OpEx'!P13+'OpEx'!P14</f>
        <v/>
      </c>
      <c r="Q36" s="4">
        <f>'OpEx'!Q11+'OpEx'!Q12+'OpEx'!Q13+'OpEx'!Q14</f>
        <v/>
      </c>
      <c r="R36" s="4">
        <f>'OpEx'!R11+'OpEx'!R12+'OpEx'!R13+'OpEx'!R14</f>
        <v/>
      </c>
      <c r="S36" s="4">
        <f>'OpEx'!S11+'OpEx'!S12+'OpEx'!S13+'OpEx'!S14</f>
        <v/>
      </c>
      <c r="T36" s="4">
        <f>'OpEx'!T11+'OpEx'!T12+'OpEx'!T13+'OpEx'!T14</f>
        <v/>
      </c>
      <c r="U36" s="4">
        <f>'OpEx'!U11+'OpEx'!U12+'OpEx'!U13+'OpEx'!U14</f>
        <v/>
      </c>
      <c r="V36" s="4">
        <f>'OpEx'!V11+'OpEx'!V12+'OpEx'!V13+'OpEx'!V14</f>
        <v/>
      </c>
      <c r="W36" s="4">
        <f>'OpEx'!W11+'OpEx'!W12+'OpEx'!W13+'OpEx'!W14</f>
        <v/>
      </c>
      <c r="X36" s="4">
        <f>'OpEx'!X11+'OpEx'!X12+'OpEx'!X13+'OpEx'!X14</f>
        <v/>
      </c>
      <c r="Y36" s="4">
        <f>'OpEx'!Y11+'OpEx'!Y12+'OpEx'!Y13+'OpEx'!Y14</f>
        <v/>
      </c>
      <c r="Z36" s="4">
        <f>'OpEx'!Z11+'OpEx'!Z12+'OpEx'!Z13+'OpEx'!Z14</f>
        <v/>
      </c>
      <c r="AA36" s="4">
        <f>'OpEx'!AA11+'OpEx'!AA12+'OpEx'!AA13+'OpEx'!AA14</f>
        <v/>
      </c>
      <c r="AB36" s="4">
        <f>'OpEx'!AB11+'OpEx'!AB12+'OpEx'!AB13+'OpEx'!AB14</f>
        <v/>
      </c>
      <c r="AC36" s="4">
        <f>'OpEx'!AC11+'OpEx'!AC12+'OpEx'!AC13+'OpEx'!AC14</f>
        <v/>
      </c>
      <c r="AD36" s="4">
        <f>'OpEx'!AD11+'OpEx'!AD12+'OpEx'!AD13+'OpEx'!AD14</f>
        <v/>
      </c>
      <c r="AE36" s="4">
        <f>'OpEx'!AE11+'OpEx'!AE12+'OpEx'!AE13+'OpEx'!AE14</f>
        <v/>
      </c>
      <c r="AG36" s="4">
        <f>SUMIF($C$3:$AE$3,AG$3,$C36:$AE36)</f>
        <v/>
      </c>
      <c r="AH36" s="4">
        <f>SUMIF($C$3:$AE$3,AH$3,$C36:$AE36)</f>
        <v/>
      </c>
      <c r="AI36" s="4">
        <f>SUMIF($C$3:$AE$3,AI$3,$C36:$AE36)</f>
        <v/>
      </c>
      <c r="AJ36" s="4">
        <f>SUMIF($C$3:$AE$3,AJ$3,$C36:$AE36)</f>
        <v/>
      </c>
      <c r="AK36" s="4">
        <f>SUMIF($C$3:$AE$3,AK$3,$C36:$AE36)</f>
        <v/>
      </c>
      <c r="AL36" s="4">
        <f>SUMIF($C$3:$AE$3,AL$3,$C36:$AE36)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28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Working capital: ODM deposits, inventory, retail AR, Kickstarter deferred revenue, capex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Inventory &amp; ODM payments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Product landed cost recognised (COGS)</t>
        </is>
      </c>
      <c r="B10" s="2" t="inlineStr"/>
      <c r="C10" s="4">
        <f>'Hardware COGS'!C11</f>
        <v/>
      </c>
      <c r="D10" s="4">
        <f>'Hardware COGS'!D11</f>
        <v/>
      </c>
      <c r="E10" s="4">
        <f>'Hardware COGS'!E11</f>
        <v/>
      </c>
      <c r="F10" s="4">
        <f>'Hardware COGS'!F11</f>
        <v/>
      </c>
      <c r="G10" s="4">
        <f>'Hardware COGS'!G11</f>
        <v/>
      </c>
      <c r="H10" s="4">
        <f>'Hardware COGS'!H11</f>
        <v/>
      </c>
      <c r="I10" s="4">
        <f>'Hardware COGS'!I11</f>
        <v/>
      </c>
      <c r="J10" s="4">
        <f>'Hardware COGS'!J11</f>
        <v/>
      </c>
      <c r="K10" s="4">
        <f>'Hardware COGS'!K11</f>
        <v/>
      </c>
      <c r="L10" s="4">
        <f>'Hardware COGS'!L11</f>
        <v/>
      </c>
      <c r="M10" s="4">
        <f>'Hardware COGS'!M11</f>
        <v/>
      </c>
      <c r="N10" s="4">
        <f>'Hardware COGS'!N11</f>
        <v/>
      </c>
      <c r="O10" s="4">
        <f>'Hardware COGS'!O11</f>
        <v/>
      </c>
      <c r="P10" s="4">
        <f>'Hardware COGS'!P11</f>
        <v/>
      </c>
      <c r="Q10" s="4">
        <f>'Hardware COGS'!Q11</f>
        <v/>
      </c>
      <c r="R10" s="4">
        <f>'Hardware COGS'!R11</f>
        <v/>
      </c>
      <c r="S10" s="4">
        <f>'Hardware COGS'!S11</f>
        <v/>
      </c>
      <c r="T10" s="4">
        <f>'Hardware COGS'!T11</f>
        <v/>
      </c>
      <c r="U10" s="4">
        <f>'Hardware COGS'!U11</f>
        <v/>
      </c>
      <c r="V10" s="4">
        <f>'Hardware COGS'!V11</f>
        <v/>
      </c>
      <c r="W10" s="4">
        <f>'Hardware COGS'!W11</f>
        <v/>
      </c>
      <c r="X10" s="4">
        <f>'Hardware COGS'!X11</f>
        <v/>
      </c>
      <c r="Y10" s="4">
        <f>'Hardware COGS'!Y11</f>
        <v/>
      </c>
      <c r="Z10" s="4">
        <f>'Hardware COGS'!Z11</f>
        <v/>
      </c>
      <c r="AA10" s="4">
        <f>'Hardware COGS'!AA11</f>
        <v/>
      </c>
      <c r="AB10" s="4">
        <f>'Hardware COGS'!AB11</f>
        <v/>
      </c>
      <c r="AC10" s="4">
        <f>'Hardware COGS'!AC11</f>
        <v/>
      </c>
      <c r="AD10" s="4">
        <f>'Hardware COGS'!AD11</f>
        <v/>
      </c>
      <c r="AE10" s="4">
        <f>'Hardware COGS'!AE11</f>
        <v/>
      </c>
      <c r="AG10" s="4">
        <f>SUMIF($C$3:$AE$3,AG$3,$C10:$AE10)</f>
        <v/>
      </c>
      <c r="AH10" s="4">
        <f>SUMIF($C$3:$AE$3,AH$3,$C10:$AE10)</f>
        <v/>
      </c>
      <c r="AI10" s="4">
        <f>SUMIF($C$3:$AE$3,AI$3,$C10:$AE10)</f>
        <v/>
      </c>
      <c r="AJ10" s="4">
        <f>SUMIF($C$3:$AE$3,AJ$3,$C10:$AE10)</f>
        <v/>
      </c>
      <c r="AK10" s="4">
        <f>SUMIF($C$3:$AE$3,AK$3,$C10:$AE10)</f>
        <v/>
      </c>
      <c r="AL10" s="4">
        <f>SUMIF($C$3:$AE$3,AL$3,$C10:$AE10)</f>
        <v/>
      </c>
    </row>
    <row r="11">
      <c r="A11" t="inlineStr">
        <is>
          <t>Cash paid to ODM (30% deposit at t-3, 70% at t-1)</t>
        </is>
      </c>
      <c r="B11" s="2" t="inlineStr"/>
      <c r="C11" s="4">
        <f>odm_dep*'Hardware COGS'!F11+(1-odm_dep)*'Hardware COGS'!D11</f>
        <v/>
      </c>
      <c r="D11" s="4">
        <f>odm_dep*'Hardware COGS'!G11+(1-odm_dep)*'Hardware COGS'!E11</f>
        <v/>
      </c>
      <c r="E11" s="4">
        <f>odm_dep*'Hardware COGS'!H11+(1-odm_dep)*'Hardware COGS'!F11</f>
        <v/>
      </c>
      <c r="F11" s="4">
        <f>odm_dep*'Hardware COGS'!I11+(1-odm_dep)*'Hardware COGS'!G11</f>
        <v/>
      </c>
      <c r="G11" s="4">
        <f>odm_dep*'Hardware COGS'!J11+(1-odm_dep)*'Hardware COGS'!H11</f>
        <v/>
      </c>
      <c r="H11" s="4">
        <f>odm_dep*'Hardware COGS'!K11+(1-odm_dep)*'Hardware COGS'!I11</f>
        <v/>
      </c>
      <c r="I11" s="4">
        <f>odm_dep*'Hardware COGS'!L11+(1-odm_dep)*'Hardware COGS'!J11</f>
        <v/>
      </c>
      <c r="J11" s="4">
        <f>odm_dep*'Hardware COGS'!M11+(1-odm_dep)*'Hardware COGS'!K11</f>
        <v/>
      </c>
      <c r="K11" s="4">
        <f>odm_dep*'Hardware COGS'!N11+(1-odm_dep)*'Hardware COGS'!L11</f>
        <v/>
      </c>
      <c r="L11" s="4">
        <f>odm_dep*'Hardware COGS'!O11+(1-odm_dep)*'Hardware COGS'!M11</f>
        <v/>
      </c>
      <c r="M11" s="4">
        <f>odm_dep*'Hardware COGS'!P11+(1-odm_dep)*'Hardware COGS'!N11</f>
        <v/>
      </c>
      <c r="N11" s="4">
        <f>odm_dep*'Hardware COGS'!Q11+(1-odm_dep)*'Hardware COGS'!O11</f>
        <v/>
      </c>
      <c r="O11" s="4">
        <f>odm_dep*'Hardware COGS'!R11+(1-odm_dep)*'Hardware COGS'!P11</f>
        <v/>
      </c>
      <c r="P11" s="4">
        <f>odm_dep*'Hardware COGS'!S11+(1-odm_dep)*'Hardware COGS'!Q11</f>
        <v/>
      </c>
      <c r="Q11" s="4">
        <f>odm_dep*'Hardware COGS'!T11+(1-odm_dep)*'Hardware COGS'!R11</f>
        <v/>
      </c>
      <c r="R11" s="4">
        <f>odm_dep*'Hardware COGS'!U11+(1-odm_dep)*'Hardware COGS'!S11</f>
        <v/>
      </c>
      <c r="S11" s="4">
        <f>odm_dep*'Hardware COGS'!V11+(1-odm_dep)*'Hardware COGS'!T11</f>
        <v/>
      </c>
      <c r="T11" s="4">
        <f>odm_dep*'Hardware COGS'!W11+(1-odm_dep)*'Hardware COGS'!U11</f>
        <v/>
      </c>
      <c r="U11" s="4">
        <f>odm_dep*'Hardware COGS'!X11+(1-odm_dep)*'Hardware COGS'!V11</f>
        <v/>
      </c>
      <c r="V11" s="4">
        <f>odm_dep*'Hardware COGS'!Y11+(1-odm_dep)*'Hardware COGS'!W11</f>
        <v/>
      </c>
      <c r="W11" s="4">
        <f>odm_dep*'Hardware COGS'!Z11+(1-odm_dep)*'Hardware COGS'!X11</f>
        <v/>
      </c>
      <c r="X11" s="4">
        <f>odm_dep*'Hardware COGS'!AA11+(1-odm_dep)*'Hardware COGS'!Y11</f>
        <v/>
      </c>
      <c r="Y11" s="4">
        <f>odm_dep*'Hardware COGS'!AB11+(1-odm_dep)*'Hardware COGS'!Z11</f>
        <v/>
      </c>
      <c r="Z11" s="4">
        <f>odm_dep*'Hardware COGS'!AC11/12+(1-odm_dep)*'Hardware COGS'!AA11</f>
        <v/>
      </c>
      <c r="AA11" s="4">
        <f>odm_dep*'Hardware COGS'!AC11/12+(1-odm_dep)*'Hardware COGS'!AB11</f>
        <v/>
      </c>
      <c r="AB11" s="4">
        <f>odm_dep*'Hardware COGS'!AC11/12+(1-odm_dep)*'Hardware COGS'!AC11/12</f>
        <v/>
      </c>
      <c r="AC11" s="4">
        <f>'Working Capital'!AC10+'Working Capital'!AC12-'Working Capital'!AB12</f>
        <v/>
      </c>
      <c r="AD11" s="4">
        <f>'Working Capital'!AD10+'Working Capital'!AD12-'Working Capital'!AC12</f>
        <v/>
      </c>
      <c r="AE11" s="4">
        <f>'Working Capital'!AE10+'Working Capital'!AE12-'Working Capital'!AD12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Inventory incl. ODM prepayments (end)</t>
        </is>
      </c>
      <c r="B12" s="2" t="inlineStr"/>
      <c r="C12" s="4">
        <f>0+C11-C10</f>
        <v/>
      </c>
      <c r="D12" s="4">
        <f>C12+D11-D10</f>
        <v/>
      </c>
      <c r="E12" s="4">
        <f>D12+E11-E10</f>
        <v/>
      </c>
      <c r="F12" s="4">
        <f>E12+F11-F10</f>
        <v/>
      </c>
      <c r="G12" s="4">
        <f>F12+G11-G10</f>
        <v/>
      </c>
      <c r="H12" s="4">
        <f>G12+H11-H10</f>
        <v/>
      </c>
      <c r="I12" s="4">
        <f>H12+I11-I10</f>
        <v/>
      </c>
      <c r="J12" s="4">
        <f>I12+J11-J10</f>
        <v/>
      </c>
      <c r="K12" s="4">
        <f>J12+K11-K10</f>
        <v/>
      </c>
      <c r="L12" s="4">
        <f>K12+L11-L10</f>
        <v/>
      </c>
      <c r="M12" s="4">
        <f>L12+M11-M10</f>
        <v/>
      </c>
      <c r="N12" s="4">
        <f>M12+N11-N10</f>
        <v/>
      </c>
      <c r="O12" s="4">
        <f>N12+O11-O10</f>
        <v/>
      </c>
      <c r="P12" s="4">
        <f>O12+P11-P10</f>
        <v/>
      </c>
      <c r="Q12" s="4">
        <f>P12+Q11-Q10</f>
        <v/>
      </c>
      <c r="R12" s="4">
        <f>Q12+R11-R10</f>
        <v/>
      </c>
      <c r="S12" s="4">
        <f>R12+S11-S10</f>
        <v/>
      </c>
      <c r="T12" s="4">
        <f>S12+T11-T10</f>
        <v/>
      </c>
      <c r="U12" s="4">
        <f>T12+U11-U10</f>
        <v/>
      </c>
      <c r="V12" s="4">
        <f>U12+V11-V10</f>
        <v/>
      </c>
      <c r="W12" s="4">
        <f>V12+W11-W10</f>
        <v/>
      </c>
      <c r="X12" s="4">
        <f>W12+X11-X10</f>
        <v/>
      </c>
      <c r="Y12" s="4">
        <f>X12+Y11-Y10</f>
        <v/>
      </c>
      <c r="Z12" s="4">
        <f>Y12+Z11-Z10</f>
        <v/>
      </c>
      <c r="AA12" s="4">
        <f>Z12+AA11-AA10</f>
        <v/>
      </c>
      <c r="AB12" s="4">
        <f>AA12+AB11-AB10</f>
        <v/>
      </c>
      <c r="AC12" s="4">
        <f>AC10*inv_days/365</f>
        <v/>
      </c>
      <c r="AD12" s="4">
        <f>AD10*inv_days/365</f>
        <v/>
      </c>
      <c r="AE12" s="4">
        <f>AE10*inv_days/365</f>
        <v/>
      </c>
      <c r="AG12" s="4">
        <f>D12</f>
        <v/>
      </c>
      <c r="AH12" s="4">
        <f>P12</f>
        <v/>
      </c>
      <c r="AI12" s="4">
        <f>AB12</f>
        <v/>
      </c>
      <c r="AJ12" s="4">
        <f>AC12</f>
        <v/>
      </c>
      <c r="AK12" s="4">
        <f>AD12</f>
        <v/>
      </c>
      <c r="AL12" s="4">
        <f>AE12</f>
        <v/>
      </c>
    </row>
    <row r="14">
      <c r="A14" s="8" t="inlineStr">
        <is>
          <t>Receivables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</row>
    <row r="15">
      <c r="A15" t="inlineStr">
        <is>
          <t>Retail accounts receivable (end)</t>
        </is>
      </c>
      <c r="B15" s="2" t="inlineStr"/>
      <c r="C15" s="4">
        <f>'Revenue Build'!C11*(1-returns_pct)*ar_days/30</f>
        <v/>
      </c>
      <c r="D15" s="4">
        <f>'Revenue Build'!D11*(1-returns_pct)*ar_days/30</f>
        <v/>
      </c>
      <c r="E15" s="4">
        <f>'Revenue Build'!E11*(1-returns_pct)*ar_days/30</f>
        <v/>
      </c>
      <c r="F15" s="4">
        <f>'Revenue Build'!F11*(1-returns_pct)*ar_days/30</f>
        <v/>
      </c>
      <c r="G15" s="4">
        <f>'Revenue Build'!G11*(1-returns_pct)*ar_days/30</f>
        <v/>
      </c>
      <c r="H15" s="4">
        <f>'Revenue Build'!H11*(1-returns_pct)*ar_days/30</f>
        <v/>
      </c>
      <c r="I15" s="4">
        <f>'Revenue Build'!I11*(1-returns_pct)*ar_days/30</f>
        <v/>
      </c>
      <c r="J15" s="4">
        <f>'Revenue Build'!J11*(1-returns_pct)*ar_days/30</f>
        <v/>
      </c>
      <c r="K15" s="4">
        <f>'Revenue Build'!K11*(1-returns_pct)*ar_days/30</f>
        <v/>
      </c>
      <c r="L15" s="4">
        <f>'Revenue Build'!L11*(1-returns_pct)*ar_days/30</f>
        <v/>
      </c>
      <c r="M15" s="4">
        <f>'Revenue Build'!M11*(1-returns_pct)*ar_days/30</f>
        <v/>
      </c>
      <c r="N15" s="4">
        <f>'Revenue Build'!N11*(1-returns_pct)*ar_days/30</f>
        <v/>
      </c>
      <c r="O15" s="4">
        <f>'Revenue Build'!O11*(1-returns_pct)*ar_days/30</f>
        <v/>
      </c>
      <c r="P15" s="4">
        <f>'Revenue Build'!P11*(1-returns_pct)*ar_days/30</f>
        <v/>
      </c>
      <c r="Q15" s="4">
        <f>'Revenue Build'!Q11*(1-returns_pct)*ar_days/30</f>
        <v/>
      </c>
      <c r="R15" s="4">
        <f>'Revenue Build'!R11*(1-returns_pct)*ar_days/30</f>
        <v/>
      </c>
      <c r="S15" s="4">
        <f>'Revenue Build'!S11*(1-returns_pct)*ar_days/30</f>
        <v/>
      </c>
      <c r="T15" s="4">
        <f>'Revenue Build'!T11*(1-returns_pct)*ar_days/30</f>
        <v/>
      </c>
      <c r="U15" s="4">
        <f>'Revenue Build'!U11*(1-returns_pct)*ar_days/30</f>
        <v/>
      </c>
      <c r="V15" s="4">
        <f>'Revenue Build'!V11*(1-returns_pct)*ar_days/30</f>
        <v/>
      </c>
      <c r="W15" s="4">
        <f>'Revenue Build'!W11*(1-returns_pct)*ar_days/30</f>
        <v/>
      </c>
      <c r="X15" s="4">
        <f>'Revenue Build'!X11*(1-returns_pct)*ar_days/30</f>
        <v/>
      </c>
      <c r="Y15" s="4">
        <f>'Revenue Build'!Y11*(1-returns_pct)*ar_days/30</f>
        <v/>
      </c>
      <c r="Z15" s="4">
        <f>'Revenue Build'!Z11*(1-returns_pct)*ar_days/30</f>
        <v/>
      </c>
      <c r="AA15" s="4">
        <f>'Revenue Build'!AA11*(1-returns_pct)*ar_days/30</f>
        <v/>
      </c>
      <c r="AB15" s="4">
        <f>'Revenue Build'!AB11*(1-returns_pct)*ar_days/30</f>
        <v/>
      </c>
      <c r="AC15" s="4">
        <f>'Revenue Build'!AC11*(1-returns_pct)*ar_days/365</f>
        <v/>
      </c>
      <c r="AD15" s="4">
        <f>'Revenue Build'!AD11*(1-returns_pct)*ar_days/365</f>
        <v/>
      </c>
      <c r="AE15" s="4">
        <f>'Revenue Build'!AE11*(1-returns_pct)*ar_days/365</f>
        <v/>
      </c>
      <c r="AG15" s="4">
        <f>D15</f>
        <v/>
      </c>
      <c r="AH15" s="4">
        <f>P15</f>
        <v/>
      </c>
      <c r="AI15" s="4">
        <f>AB15</f>
        <v/>
      </c>
      <c r="AJ15" s="4">
        <f>AC15</f>
        <v/>
      </c>
      <c r="AK15" s="4">
        <f>AD15</f>
        <v/>
      </c>
      <c r="AL15" s="4">
        <f>AE15</f>
        <v/>
      </c>
    </row>
    <row r="17">
      <c r="A17" s="8" t="inlineStr">
        <is>
          <t>Kickstarter / pre-order deferred revenue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t="inlineStr">
        <is>
          <t>Pre-order cash collected (gross pledges)</t>
        </is>
      </c>
      <c r="B18" s="2" t="inlineStr"/>
      <c r="C18" s="4">
        <f>(ks_units+pre_units)*sc_vol*Assumptions!C101*(pre_mix_peb*'Pricing &amp; Mix'!C19+(1-pre_mix_peb)*'Pricing &amp; Mix'!C20)</f>
        <v/>
      </c>
      <c r="D18" s="4">
        <f>(ks_units+pre_units)*sc_vol*Assumptions!D101*(pre_mix_peb*'Pricing &amp; Mix'!D19+(1-pre_mix_peb)*'Pricing &amp; Mix'!D20)</f>
        <v/>
      </c>
      <c r="E18" s="4">
        <f>(ks_units+pre_units)*sc_vol*Assumptions!E101*(pre_mix_peb*'Pricing &amp; Mix'!E19+(1-pre_mix_peb)*'Pricing &amp; Mix'!E20)</f>
        <v/>
      </c>
      <c r="F18" s="4">
        <f>(ks_units+pre_units)*sc_vol*Assumptions!F101*(pre_mix_peb*'Pricing &amp; Mix'!F19+(1-pre_mix_peb)*'Pricing &amp; Mix'!F20)</f>
        <v/>
      </c>
      <c r="G18" s="4">
        <f>(ks_units+pre_units)*sc_vol*Assumptions!G101*(pre_mix_peb*'Pricing &amp; Mix'!G19+(1-pre_mix_peb)*'Pricing &amp; Mix'!G20)</f>
        <v/>
      </c>
      <c r="H18" s="4">
        <f>(ks_units+pre_units)*sc_vol*Assumptions!H101*(pre_mix_peb*'Pricing &amp; Mix'!H19+(1-pre_mix_peb)*'Pricing &amp; Mix'!H20)</f>
        <v/>
      </c>
      <c r="I18" s="4">
        <f>(ks_units+pre_units)*sc_vol*Assumptions!I101*(pre_mix_peb*'Pricing &amp; Mix'!I19+(1-pre_mix_peb)*'Pricing &amp; Mix'!I20)</f>
        <v/>
      </c>
      <c r="J18" s="4">
        <f>(ks_units+pre_units)*sc_vol*Assumptions!J101*(pre_mix_peb*'Pricing &amp; Mix'!J19+(1-pre_mix_peb)*'Pricing &amp; Mix'!J20)</f>
        <v/>
      </c>
      <c r="K18" s="4">
        <f>(ks_units+pre_units)*sc_vol*Assumptions!K101*(pre_mix_peb*'Pricing &amp; Mix'!K19+(1-pre_mix_peb)*'Pricing &amp; Mix'!K20)</f>
        <v/>
      </c>
      <c r="L18" s="4">
        <f>(ks_units+pre_units)*sc_vol*Assumptions!L101*(pre_mix_peb*'Pricing &amp; Mix'!L19+(1-pre_mix_peb)*'Pricing &amp; Mix'!L20)</f>
        <v/>
      </c>
      <c r="M18" s="4">
        <f>(ks_units+pre_units)*sc_vol*Assumptions!M101*(pre_mix_peb*'Pricing &amp; Mix'!M19+(1-pre_mix_peb)*'Pricing &amp; Mix'!M20)</f>
        <v/>
      </c>
      <c r="N18" s="4">
        <f>(ks_units+pre_units)*sc_vol*Assumptions!N101*(pre_mix_peb*'Pricing &amp; Mix'!N19+(1-pre_mix_peb)*'Pricing &amp; Mix'!N20)</f>
        <v/>
      </c>
      <c r="O18" s="4">
        <f>(ks_units+pre_units)*sc_vol*Assumptions!O101*(pre_mix_peb*'Pricing &amp; Mix'!O19+(1-pre_mix_peb)*'Pricing &amp; Mix'!O20)</f>
        <v/>
      </c>
      <c r="P18" s="4">
        <f>(ks_units+pre_units)*sc_vol*Assumptions!P101*(pre_mix_peb*'Pricing &amp; Mix'!P19+(1-pre_mix_peb)*'Pricing &amp; Mix'!P20)</f>
        <v/>
      </c>
      <c r="Q18" s="4">
        <f>(ks_units+pre_units)*sc_vol*Assumptions!Q101*(pre_mix_peb*'Pricing &amp; Mix'!Q19+(1-pre_mix_peb)*'Pricing &amp; Mix'!Q20)</f>
        <v/>
      </c>
      <c r="R18" s="4">
        <f>(ks_units+pre_units)*sc_vol*Assumptions!R101*(pre_mix_peb*'Pricing &amp; Mix'!R19+(1-pre_mix_peb)*'Pricing &amp; Mix'!R20)</f>
        <v/>
      </c>
      <c r="S18" s="4">
        <f>(ks_units+pre_units)*sc_vol*Assumptions!S101*(pre_mix_peb*'Pricing &amp; Mix'!S19+(1-pre_mix_peb)*'Pricing &amp; Mix'!S20)</f>
        <v/>
      </c>
      <c r="T18" s="4">
        <f>(ks_units+pre_units)*sc_vol*Assumptions!T101*(pre_mix_peb*'Pricing &amp; Mix'!T19+(1-pre_mix_peb)*'Pricing &amp; Mix'!T20)</f>
        <v/>
      </c>
      <c r="U18" s="4">
        <f>(ks_units+pre_units)*sc_vol*Assumptions!U101*(pre_mix_peb*'Pricing &amp; Mix'!U19+(1-pre_mix_peb)*'Pricing &amp; Mix'!U20)</f>
        <v/>
      </c>
      <c r="V18" s="4">
        <f>(ks_units+pre_units)*sc_vol*Assumptions!V101*(pre_mix_peb*'Pricing &amp; Mix'!V19+(1-pre_mix_peb)*'Pricing &amp; Mix'!V20)</f>
        <v/>
      </c>
      <c r="W18" s="4">
        <f>(ks_units+pre_units)*sc_vol*Assumptions!W101*(pre_mix_peb*'Pricing &amp; Mix'!W19+(1-pre_mix_peb)*'Pricing &amp; Mix'!W20)</f>
        <v/>
      </c>
      <c r="X18" s="4">
        <f>(ks_units+pre_units)*sc_vol*Assumptions!X101*(pre_mix_peb*'Pricing &amp; Mix'!X19+(1-pre_mix_peb)*'Pricing &amp; Mix'!X20)</f>
        <v/>
      </c>
      <c r="Y18" s="4">
        <f>(ks_units+pre_units)*sc_vol*Assumptions!Y101*(pre_mix_peb*'Pricing &amp; Mix'!Y19+(1-pre_mix_peb)*'Pricing &amp; Mix'!Y20)</f>
        <v/>
      </c>
      <c r="Z18" s="4">
        <f>(ks_units+pre_units)*sc_vol*Assumptions!Z101*(pre_mix_peb*'Pricing &amp; Mix'!Z19+(1-pre_mix_peb)*'Pricing &amp; Mix'!Z20)</f>
        <v/>
      </c>
      <c r="AA18" s="4">
        <f>(ks_units+pre_units)*sc_vol*Assumptions!AA101*(pre_mix_peb*'Pricing &amp; Mix'!AA19+(1-pre_mix_peb)*'Pricing &amp; Mix'!AA20)</f>
        <v/>
      </c>
      <c r="AB18" s="4">
        <f>(ks_units+pre_units)*sc_vol*Assumptions!AB101*(pre_mix_peb*'Pricing &amp; Mix'!AB19+(1-pre_mix_peb)*'Pricing &amp; Mix'!AB20)</f>
        <v/>
      </c>
      <c r="AC18" s="4">
        <f>(ks_units+pre_units)*sc_vol*Assumptions!AC101*(pre_mix_peb*'Pricing &amp; Mix'!AC19+(1-pre_mix_peb)*'Pricing &amp; Mix'!AC20)</f>
        <v/>
      </c>
      <c r="AD18" s="4">
        <f>(ks_units+pre_units)*sc_vol*Assumptions!AD101*(pre_mix_peb*'Pricing &amp; Mix'!AD19+(1-pre_mix_peb)*'Pricing &amp; Mix'!AD20)</f>
        <v/>
      </c>
      <c r="AE18" s="4">
        <f>(ks_units+pre_units)*sc_vol*Assumptions!AE101*(pre_mix_peb*'Pricing &amp; Mix'!AE19+(1-pre_mix_peb)*'Pricing &amp; Mix'!AE20)</f>
        <v/>
      </c>
      <c r="AG18" s="4">
        <f>SUMIF($C$3:$AE$3,AG$3,$C18:$AE18)</f>
        <v/>
      </c>
      <c r="AH18" s="4">
        <f>SUMIF($C$3:$AE$3,AH$3,$C18:$AE18)</f>
        <v/>
      </c>
      <c r="AI18" s="4">
        <f>SUMIF($C$3:$AE$3,AI$3,$C18:$AE18)</f>
        <v/>
      </c>
      <c r="AJ18" s="4">
        <f>SUMIF($C$3:$AE$3,AJ$3,$C18:$AE18)</f>
        <v/>
      </c>
      <c r="AK18" s="4">
        <f>SUMIF($C$3:$AE$3,AK$3,$C18:$AE18)</f>
        <v/>
      </c>
      <c r="AL18" s="4">
        <f>SUMIF($C$3:$AE$3,AL$3,$C18:$AE18)</f>
        <v/>
      </c>
    </row>
    <row r="19">
      <c r="A19" t="inlineStr">
        <is>
          <t>Pre-order revenue recognised on shipment</t>
        </is>
      </c>
      <c r="B19" s="2" t="inlineStr"/>
      <c r="C19" s="4">
        <f>'Revenue Build'!C12</f>
        <v/>
      </c>
      <c r="D19" s="4">
        <f>'Revenue Build'!D12</f>
        <v/>
      </c>
      <c r="E19" s="4">
        <f>'Revenue Build'!E12</f>
        <v/>
      </c>
      <c r="F19" s="4">
        <f>'Revenue Build'!F12</f>
        <v/>
      </c>
      <c r="G19" s="4">
        <f>'Revenue Build'!G12</f>
        <v/>
      </c>
      <c r="H19" s="4">
        <f>'Revenue Build'!H12</f>
        <v/>
      </c>
      <c r="I19" s="4">
        <f>'Revenue Build'!I12</f>
        <v/>
      </c>
      <c r="J19" s="4">
        <f>'Revenue Build'!J12</f>
        <v/>
      </c>
      <c r="K19" s="4">
        <f>'Revenue Build'!K12</f>
        <v/>
      </c>
      <c r="L19" s="4">
        <f>'Revenue Build'!L12</f>
        <v/>
      </c>
      <c r="M19" s="4">
        <f>'Revenue Build'!M12</f>
        <v/>
      </c>
      <c r="N19" s="4">
        <f>'Revenue Build'!N12</f>
        <v/>
      </c>
      <c r="O19" s="4">
        <f>'Revenue Build'!O12</f>
        <v/>
      </c>
      <c r="P19" s="4">
        <f>'Revenue Build'!P12</f>
        <v/>
      </c>
      <c r="Q19" s="4">
        <f>'Revenue Build'!Q12</f>
        <v/>
      </c>
      <c r="R19" s="4">
        <f>'Revenue Build'!R12</f>
        <v/>
      </c>
      <c r="S19" s="4">
        <f>'Revenue Build'!S12</f>
        <v/>
      </c>
      <c r="T19" s="4">
        <f>'Revenue Build'!T12</f>
        <v/>
      </c>
      <c r="U19" s="4">
        <f>'Revenue Build'!U12</f>
        <v/>
      </c>
      <c r="V19" s="4">
        <f>'Revenue Build'!V12</f>
        <v/>
      </c>
      <c r="W19" s="4">
        <f>'Revenue Build'!W12</f>
        <v/>
      </c>
      <c r="X19" s="4">
        <f>'Revenue Build'!X12</f>
        <v/>
      </c>
      <c r="Y19" s="4">
        <f>'Revenue Build'!Y12</f>
        <v/>
      </c>
      <c r="Z19" s="4">
        <f>'Revenue Build'!Z12</f>
        <v/>
      </c>
      <c r="AA19" s="4">
        <f>'Revenue Build'!AA12</f>
        <v/>
      </c>
      <c r="AB19" s="4">
        <f>'Revenue Build'!AB12</f>
        <v/>
      </c>
      <c r="AC19" s="4">
        <f>'Revenue Build'!AC12</f>
        <v/>
      </c>
      <c r="AD19" s="4">
        <f>'Revenue Build'!AD12</f>
        <v/>
      </c>
      <c r="AE19" s="4">
        <f>'Revenue Build'!AE12</f>
        <v/>
      </c>
      <c r="AG19" s="4">
        <f>SUMIF($C$3:$AE$3,AG$3,$C19:$AE19)</f>
        <v/>
      </c>
      <c r="AH19" s="4">
        <f>SUMIF($C$3:$AE$3,AH$3,$C19:$AE19)</f>
        <v/>
      </c>
      <c r="AI19" s="4">
        <f>SUMIF($C$3:$AE$3,AI$3,$C19:$AE19)</f>
        <v/>
      </c>
      <c r="AJ19" s="4">
        <f>SUMIF($C$3:$AE$3,AJ$3,$C19:$AE19)</f>
        <v/>
      </c>
      <c r="AK19" s="4">
        <f>SUMIF($C$3:$AE$3,AK$3,$C19:$AE19)</f>
        <v/>
      </c>
      <c r="AL19" s="4">
        <f>SUMIF($C$3:$AE$3,AL$3,$C19:$AE19)</f>
        <v/>
      </c>
    </row>
    <row r="20">
      <c r="A20" t="inlineStr">
        <is>
          <t>Deferred revenue -- pre-orders (end)</t>
        </is>
      </c>
      <c r="B20" s="2" t="inlineStr"/>
      <c r="C20" s="4">
        <f>0+C18-C19</f>
        <v/>
      </c>
      <c r="D20" s="4">
        <f>C20+D18-D19</f>
        <v/>
      </c>
      <c r="E20" s="4">
        <f>D20+E18-E19</f>
        <v/>
      </c>
      <c r="F20" s="4">
        <f>E20+F18-F19</f>
        <v/>
      </c>
      <c r="G20" s="4">
        <f>F20+G18-G19</f>
        <v/>
      </c>
      <c r="H20" s="4">
        <f>G20+H18-H19</f>
        <v/>
      </c>
      <c r="I20" s="4">
        <f>H20+I18-I19</f>
        <v/>
      </c>
      <c r="J20" s="4">
        <f>I20+J18-J19</f>
        <v/>
      </c>
      <c r="K20" s="4">
        <f>J20+K18-K19</f>
        <v/>
      </c>
      <c r="L20" s="4">
        <f>K20+L18-L19</f>
        <v/>
      </c>
      <c r="M20" s="4">
        <f>L20+M18-M19</f>
        <v/>
      </c>
      <c r="N20" s="4">
        <f>M20+N18-N19</f>
        <v/>
      </c>
      <c r="O20" s="4">
        <f>N20+O18-O19</f>
        <v/>
      </c>
      <c r="P20" s="4">
        <f>O20+P18-P19</f>
        <v/>
      </c>
      <c r="Q20" s="4">
        <f>P20+Q18-Q19</f>
        <v/>
      </c>
      <c r="R20" s="4">
        <f>Q20+R18-R19</f>
        <v/>
      </c>
      <c r="S20" s="4">
        <f>R20+S18-S19</f>
        <v/>
      </c>
      <c r="T20" s="4">
        <f>S20+T18-T19</f>
        <v/>
      </c>
      <c r="U20" s="4">
        <f>T20+U18-U19</f>
        <v/>
      </c>
      <c r="V20" s="4">
        <f>U20+V18-V19</f>
        <v/>
      </c>
      <c r="W20" s="4">
        <f>V20+W18-W19</f>
        <v/>
      </c>
      <c r="X20" s="4">
        <f>W20+X18-X19</f>
        <v/>
      </c>
      <c r="Y20" s="4">
        <f>X20+Y18-Y19</f>
        <v/>
      </c>
      <c r="Z20" s="4">
        <f>Y20+Z18-Z19</f>
        <v/>
      </c>
      <c r="AA20" s="4">
        <f>Z20+AA18-AA19</f>
        <v/>
      </c>
      <c r="AB20" s="4">
        <f>AA20+AB18-AB19</f>
        <v/>
      </c>
      <c r="AC20" s="4">
        <f>AB20+AC18-AC19</f>
        <v/>
      </c>
      <c r="AD20" s="4">
        <f>AC20+AD18-AD19</f>
        <v/>
      </c>
      <c r="AE20" s="4">
        <f>AD20+AE18-AE19</f>
        <v/>
      </c>
      <c r="AG20" s="4">
        <f>D20</f>
        <v/>
      </c>
      <c r="AH20" s="4">
        <f>P20</f>
        <v/>
      </c>
      <c r="AI20" s="4">
        <f>AB20</f>
        <v/>
      </c>
      <c r="AJ20" s="4">
        <f>AC20</f>
        <v/>
      </c>
      <c r="AK20" s="4">
        <f>AD20</f>
        <v/>
      </c>
      <c r="AL20" s="4">
        <f>AE20</f>
        <v/>
      </c>
    </row>
    <row r="21">
      <c r="A21" t="inlineStr">
        <is>
          <t>Crowdfunding platform + processing fees (expensed in S&amp;M)</t>
        </is>
      </c>
      <c r="B21" s="2" t="inlineStr"/>
      <c r="C21" s="4">
        <f>'Working Capital'!C18*(ks_fee+ks_proc)+(ks_units+pre_units)*sc_vol*Assumptions!C101/units_per_pledge*ks_proc_fixed</f>
        <v/>
      </c>
      <c r="D21" s="4">
        <f>'Working Capital'!D18*(ks_fee+ks_proc)+(ks_units+pre_units)*sc_vol*Assumptions!D101/units_per_pledge*ks_proc_fixed</f>
        <v/>
      </c>
      <c r="E21" s="4">
        <f>'Working Capital'!E18*(ks_fee+ks_proc)+(ks_units+pre_units)*sc_vol*Assumptions!E101/units_per_pledge*ks_proc_fixed</f>
        <v/>
      </c>
      <c r="F21" s="4">
        <f>'Working Capital'!F18*(ks_fee+ks_proc)+(ks_units+pre_units)*sc_vol*Assumptions!F101/units_per_pledge*ks_proc_fixed</f>
        <v/>
      </c>
      <c r="G21" s="4">
        <f>'Working Capital'!G18*(ks_fee+ks_proc)+(ks_units+pre_units)*sc_vol*Assumptions!G101/units_per_pledge*ks_proc_fixed</f>
        <v/>
      </c>
      <c r="H21" s="4">
        <f>'Working Capital'!H18*(ks_fee+ks_proc)+(ks_units+pre_units)*sc_vol*Assumptions!H101/units_per_pledge*ks_proc_fixed</f>
        <v/>
      </c>
      <c r="I21" s="4">
        <f>'Working Capital'!I18*(ks_fee+ks_proc)+(ks_units+pre_units)*sc_vol*Assumptions!I101/units_per_pledge*ks_proc_fixed</f>
        <v/>
      </c>
      <c r="J21" s="4">
        <f>'Working Capital'!J18*(ks_fee+ks_proc)+(ks_units+pre_units)*sc_vol*Assumptions!J101/units_per_pledge*ks_proc_fixed</f>
        <v/>
      </c>
      <c r="K21" s="4">
        <f>'Working Capital'!K18*(ks_fee+ks_proc)+(ks_units+pre_units)*sc_vol*Assumptions!K101/units_per_pledge*ks_proc_fixed</f>
        <v/>
      </c>
      <c r="L21" s="4">
        <f>'Working Capital'!L18*(ks_fee+ks_proc)+(ks_units+pre_units)*sc_vol*Assumptions!L101/units_per_pledge*ks_proc_fixed</f>
        <v/>
      </c>
      <c r="M21" s="4">
        <f>'Working Capital'!M18*(ks_fee+ks_proc)+(ks_units+pre_units)*sc_vol*Assumptions!M101/units_per_pledge*ks_proc_fixed</f>
        <v/>
      </c>
      <c r="N21" s="4">
        <f>'Working Capital'!N18*(ks_fee+ks_proc)+(ks_units+pre_units)*sc_vol*Assumptions!N101/units_per_pledge*ks_proc_fixed</f>
        <v/>
      </c>
      <c r="O21" s="4">
        <f>'Working Capital'!O18*(ks_fee+ks_proc)+(ks_units+pre_units)*sc_vol*Assumptions!O101/units_per_pledge*ks_proc_fixed</f>
        <v/>
      </c>
      <c r="P21" s="4">
        <f>'Working Capital'!P18*(ks_fee+ks_proc)+(ks_units+pre_units)*sc_vol*Assumptions!P101/units_per_pledge*ks_proc_fixed</f>
        <v/>
      </c>
      <c r="Q21" s="4">
        <f>'Working Capital'!Q18*(ks_fee+ks_proc)+(ks_units+pre_units)*sc_vol*Assumptions!Q101/units_per_pledge*ks_proc_fixed</f>
        <v/>
      </c>
      <c r="R21" s="4">
        <f>'Working Capital'!R18*(ks_fee+ks_proc)+(ks_units+pre_units)*sc_vol*Assumptions!R101/units_per_pledge*ks_proc_fixed</f>
        <v/>
      </c>
      <c r="S21" s="4">
        <f>'Working Capital'!S18*(ks_fee+ks_proc)+(ks_units+pre_units)*sc_vol*Assumptions!S101/units_per_pledge*ks_proc_fixed</f>
        <v/>
      </c>
      <c r="T21" s="4">
        <f>'Working Capital'!T18*(ks_fee+ks_proc)+(ks_units+pre_units)*sc_vol*Assumptions!T101/units_per_pledge*ks_proc_fixed</f>
        <v/>
      </c>
      <c r="U21" s="4">
        <f>'Working Capital'!U18*(ks_fee+ks_proc)+(ks_units+pre_units)*sc_vol*Assumptions!U101/units_per_pledge*ks_proc_fixed</f>
        <v/>
      </c>
      <c r="V21" s="4">
        <f>'Working Capital'!V18*(ks_fee+ks_proc)+(ks_units+pre_units)*sc_vol*Assumptions!V101/units_per_pledge*ks_proc_fixed</f>
        <v/>
      </c>
      <c r="W21" s="4">
        <f>'Working Capital'!W18*(ks_fee+ks_proc)+(ks_units+pre_units)*sc_vol*Assumptions!W101/units_per_pledge*ks_proc_fixed</f>
        <v/>
      </c>
      <c r="X21" s="4">
        <f>'Working Capital'!X18*(ks_fee+ks_proc)+(ks_units+pre_units)*sc_vol*Assumptions!X101/units_per_pledge*ks_proc_fixed</f>
        <v/>
      </c>
      <c r="Y21" s="4">
        <f>'Working Capital'!Y18*(ks_fee+ks_proc)+(ks_units+pre_units)*sc_vol*Assumptions!Y101/units_per_pledge*ks_proc_fixed</f>
        <v/>
      </c>
      <c r="Z21" s="4">
        <f>'Working Capital'!Z18*(ks_fee+ks_proc)+(ks_units+pre_units)*sc_vol*Assumptions!Z101/units_per_pledge*ks_proc_fixed</f>
        <v/>
      </c>
      <c r="AA21" s="4">
        <f>'Working Capital'!AA18*(ks_fee+ks_proc)+(ks_units+pre_units)*sc_vol*Assumptions!AA101/units_per_pledge*ks_proc_fixed</f>
        <v/>
      </c>
      <c r="AB21" s="4">
        <f>'Working Capital'!AB18*(ks_fee+ks_proc)+(ks_units+pre_units)*sc_vol*Assumptions!AB101/units_per_pledge*ks_proc_fixed</f>
        <v/>
      </c>
      <c r="AC21" s="4">
        <f>'Working Capital'!AC18*(ks_fee+ks_proc)+(ks_units+pre_units)*sc_vol*Assumptions!AC101/units_per_pledge*ks_proc_fixed</f>
        <v/>
      </c>
      <c r="AD21" s="4">
        <f>'Working Capital'!AD18*(ks_fee+ks_proc)+(ks_units+pre_units)*sc_vol*Assumptions!AD101/units_per_pledge*ks_proc_fixed</f>
        <v/>
      </c>
      <c r="AE21" s="4">
        <f>'Working Capital'!AE18*(ks_fee+ks_proc)+(ks_units+pre_units)*sc_vol*Assumptions!AE101/units_per_pledge*ks_proc_fixed</f>
        <v/>
      </c>
      <c r="AG21" s="4">
        <f>SUMIF($C$3:$AE$3,AG$3,$C21:$AE21)</f>
        <v/>
      </c>
      <c r="AH21" s="4">
        <f>SUMIF($C$3:$AE$3,AH$3,$C21:$AE21)</f>
        <v/>
      </c>
      <c r="AI21" s="4">
        <f>SUMIF($C$3:$AE$3,AI$3,$C21:$AE21)</f>
        <v/>
      </c>
      <c r="AJ21" s="4">
        <f>SUMIF($C$3:$AE$3,AJ$3,$C21:$AE21)</f>
        <v/>
      </c>
      <c r="AK21" s="4">
        <f>SUMIF($C$3:$AE$3,AK$3,$C21:$AE21)</f>
        <v/>
      </c>
      <c r="AL21" s="4">
        <f>SUMIF($C$3:$AE$3,AL$3,$C21:$AE21)</f>
        <v/>
      </c>
    </row>
    <row r="23">
      <c r="A23" s="8" t="inlineStr">
        <is>
          <t>Capex &amp; depreciation (3-year straight line)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</row>
    <row r="24">
      <c r="A24" t="inlineStr">
        <is>
          <t>Capex -- tooling &amp; fixtures</t>
        </is>
      </c>
      <c r="B24" s="2" t="inlineStr"/>
      <c r="C24" s="4">
        <f>Assumptions!C118</f>
        <v/>
      </c>
      <c r="D24" s="4">
        <f>Assumptions!D118</f>
        <v/>
      </c>
      <c r="E24" s="4">
        <f>Assumptions!E118</f>
        <v/>
      </c>
      <c r="F24" s="4">
        <f>Assumptions!F118</f>
        <v/>
      </c>
      <c r="G24" s="4">
        <f>Assumptions!G118</f>
        <v/>
      </c>
      <c r="H24" s="4">
        <f>Assumptions!H118</f>
        <v/>
      </c>
      <c r="I24" s="4">
        <f>Assumptions!I118</f>
        <v/>
      </c>
      <c r="J24" s="4">
        <f>Assumptions!J118</f>
        <v/>
      </c>
      <c r="K24" s="4">
        <f>Assumptions!K118</f>
        <v/>
      </c>
      <c r="L24" s="4">
        <f>Assumptions!L118</f>
        <v/>
      </c>
      <c r="M24" s="4">
        <f>Assumptions!M118</f>
        <v/>
      </c>
      <c r="N24" s="4">
        <f>Assumptions!N118</f>
        <v/>
      </c>
      <c r="O24" s="4">
        <f>Assumptions!O118</f>
        <v/>
      </c>
      <c r="P24" s="4">
        <f>Assumptions!P118</f>
        <v/>
      </c>
      <c r="Q24" s="4">
        <f>Assumptions!Q118</f>
        <v/>
      </c>
      <c r="R24" s="4">
        <f>Assumptions!R118</f>
        <v/>
      </c>
      <c r="S24" s="4">
        <f>Assumptions!S118</f>
        <v/>
      </c>
      <c r="T24" s="4">
        <f>Assumptions!T118</f>
        <v/>
      </c>
      <c r="U24" s="4">
        <f>Assumptions!U118</f>
        <v/>
      </c>
      <c r="V24" s="4">
        <f>Assumptions!V118</f>
        <v/>
      </c>
      <c r="W24" s="4">
        <f>Assumptions!W118</f>
        <v/>
      </c>
      <c r="X24" s="4">
        <f>Assumptions!X118</f>
        <v/>
      </c>
      <c r="Y24" s="4">
        <f>Assumptions!Y118</f>
        <v/>
      </c>
      <c r="Z24" s="4">
        <f>Assumptions!Z118</f>
        <v/>
      </c>
      <c r="AA24" s="4">
        <f>Assumptions!AA118</f>
        <v/>
      </c>
      <c r="AB24" s="4">
        <f>Assumptions!AB118</f>
        <v/>
      </c>
      <c r="AC24" s="4">
        <f>Assumptions!AC118</f>
        <v/>
      </c>
      <c r="AD24" s="4">
        <f>Assumptions!AD118</f>
        <v/>
      </c>
      <c r="AE24" s="4">
        <f>Assumptions!AE118</f>
        <v/>
      </c>
      <c r="AG24" s="4">
        <f>SUMIF($C$3:$AE$3,AG$3,$C24:$AE24)</f>
        <v/>
      </c>
      <c r="AH24" s="4">
        <f>SUMIF($C$3:$AE$3,AH$3,$C24:$AE24)</f>
        <v/>
      </c>
      <c r="AI24" s="4">
        <f>SUMIF($C$3:$AE$3,AI$3,$C24:$AE24)</f>
        <v/>
      </c>
      <c r="AJ24" s="4">
        <f>SUMIF($C$3:$AE$3,AJ$3,$C24:$AE24)</f>
        <v/>
      </c>
      <c r="AK24" s="4">
        <f>SUMIF($C$3:$AE$3,AK$3,$C24:$AE24)</f>
        <v/>
      </c>
      <c r="AL24" s="4">
        <f>SUMIF($C$3:$AE$3,AL$3,$C24:$AE24)</f>
        <v/>
      </c>
    </row>
    <row r="25">
      <c r="A25" t="inlineStr">
        <is>
          <t>Capex -- B2B fleet devices</t>
        </is>
      </c>
      <c r="B25" s="2" t="inlineStr"/>
      <c r="C25" s="4">
        <f>(MAX(0,Assumptions!C106-0)+0*fleet_replace)*fleet_unit_cost</f>
        <v/>
      </c>
      <c r="D25" s="4">
        <f>(MAX(0,Assumptions!D106-Assumptions!C106)+Assumptions!C106*fleet_replace)*fleet_unit_cost</f>
        <v/>
      </c>
      <c r="E25" s="4">
        <f>(MAX(0,Assumptions!E106-Assumptions!D106)+Assumptions!D106*fleet_replace)*fleet_unit_cost</f>
        <v/>
      </c>
      <c r="F25" s="4">
        <f>(MAX(0,Assumptions!F106-Assumptions!E106)+Assumptions!E106*fleet_replace)*fleet_unit_cost</f>
        <v/>
      </c>
      <c r="G25" s="4">
        <f>(MAX(0,Assumptions!G106-Assumptions!F106)+Assumptions!F106*fleet_replace)*fleet_unit_cost</f>
        <v/>
      </c>
      <c r="H25" s="4">
        <f>(MAX(0,Assumptions!H106-Assumptions!G106)+Assumptions!G106*fleet_replace)*fleet_unit_cost</f>
        <v/>
      </c>
      <c r="I25" s="4">
        <f>(MAX(0,Assumptions!I106-Assumptions!H106)+Assumptions!H106*fleet_replace)*fleet_unit_cost</f>
        <v/>
      </c>
      <c r="J25" s="4">
        <f>(MAX(0,Assumptions!J106-Assumptions!I106)+Assumptions!I106*fleet_replace)*fleet_unit_cost</f>
        <v/>
      </c>
      <c r="K25" s="4">
        <f>(MAX(0,Assumptions!K106-Assumptions!J106)+Assumptions!J106*fleet_replace)*fleet_unit_cost</f>
        <v/>
      </c>
      <c r="L25" s="4">
        <f>(MAX(0,Assumptions!L106-Assumptions!K106)+Assumptions!K106*fleet_replace)*fleet_unit_cost</f>
        <v/>
      </c>
      <c r="M25" s="4">
        <f>(MAX(0,Assumptions!M106-Assumptions!L106)+Assumptions!L106*fleet_replace)*fleet_unit_cost</f>
        <v/>
      </c>
      <c r="N25" s="4">
        <f>(MAX(0,Assumptions!N106-Assumptions!M106)+Assumptions!M106*fleet_replace)*fleet_unit_cost</f>
        <v/>
      </c>
      <c r="O25" s="4">
        <f>(MAX(0,Assumptions!O106-Assumptions!N106)+Assumptions!N106*fleet_replace)*fleet_unit_cost</f>
        <v/>
      </c>
      <c r="P25" s="4">
        <f>(MAX(0,Assumptions!P106-Assumptions!O106)+Assumptions!O106*fleet_replace)*fleet_unit_cost</f>
        <v/>
      </c>
      <c r="Q25" s="4">
        <f>(MAX(0,Assumptions!Q106-Assumptions!P106)+Assumptions!P106*fleet_replace)*fleet_unit_cost</f>
        <v/>
      </c>
      <c r="R25" s="4">
        <f>(MAX(0,Assumptions!R106-Assumptions!Q106)+Assumptions!Q106*fleet_replace)*fleet_unit_cost</f>
        <v/>
      </c>
      <c r="S25" s="4">
        <f>(MAX(0,Assumptions!S106-Assumptions!R106)+Assumptions!R106*fleet_replace)*fleet_unit_cost</f>
        <v/>
      </c>
      <c r="T25" s="4">
        <f>(MAX(0,Assumptions!T106-Assumptions!S106)+Assumptions!S106*fleet_replace)*fleet_unit_cost</f>
        <v/>
      </c>
      <c r="U25" s="4">
        <f>(MAX(0,Assumptions!U106-Assumptions!T106)+Assumptions!T106*fleet_replace)*fleet_unit_cost</f>
        <v/>
      </c>
      <c r="V25" s="4">
        <f>(MAX(0,Assumptions!V106-Assumptions!U106)+Assumptions!U106*fleet_replace)*fleet_unit_cost</f>
        <v/>
      </c>
      <c r="W25" s="4">
        <f>(MAX(0,Assumptions!W106-Assumptions!V106)+Assumptions!V106*fleet_replace)*fleet_unit_cost</f>
        <v/>
      </c>
      <c r="X25" s="4">
        <f>(MAX(0,Assumptions!X106-Assumptions!W106)+Assumptions!W106*fleet_replace)*fleet_unit_cost</f>
        <v/>
      </c>
      <c r="Y25" s="4">
        <f>(MAX(0,Assumptions!Y106-Assumptions!X106)+Assumptions!X106*fleet_replace)*fleet_unit_cost</f>
        <v/>
      </c>
      <c r="Z25" s="4">
        <f>(MAX(0,Assumptions!Z106-Assumptions!Y106)+Assumptions!Y106*fleet_replace)*fleet_unit_cost</f>
        <v/>
      </c>
      <c r="AA25" s="4">
        <f>(MAX(0,Assumptions!AA106-Assumptions!Z106)+Assumptions!Z106*fleet_replace)*fleet_unit_cost</f>
        <v/>
      </c>
      <c r="AB25" s="4">
        <f>(MAX(0,Assumptions!AB106-Assumptions!AA106)+Assumptions!AA106*fleet_replace)*fleet_unit_cost</f>
        <v/>
      </c>
      <c r="AC25" s="4">
        <f>(MAX(0,Assumptions!AC106-Assumptions!AB106)+(Assumptions!AC106+Assumptions!AB106)/2*fleet_replace*12)*fleet_unit_cost</f>
        <v/>
      </c>
      <c r="AD25" s="4">
        <f>(MAX(0,Assumptions!AD106-Assumptions!AC106)+(Assumptions!AD106+Assumptions!AC106)/2*fleet_replace*12)*fleet_unit_cost</f>
        <v/>
      </c>
      <c r="AE25" s="4">
        <f>(MAX(0,Assumptions!AE106-Assumptions!AD106)+(Assumptions!AE106+Assumptions!AD106)/2*fleet_replace*12)*fleet_unit_cost</f>
        <v/>
      </c>
      <c r="AG25" s="4">
        <f>SUMIF($C$3:$AE$3,AG$3,$C25:$AE25)</f>
        <v/>
      </c>
      <c r="AH25" s="4">
        <f>SUMIF($C$3:$AE$3,AH$3,$C25:$AE25)</f>
        <v/>
      </c>
      <c r="AI25" s="4">
        <f>SUMIF($C$3:$AE$3,AI$3,$C25:$AE25)</f>
        <v/>
      </c>
      <c r="AJ25" s="4">
        <f>SUMIF($C$3:$AE$3,AJ$3,$C25:$AE25)</f>
        <v/>
      </c>
      <c r="AK25" s="4">
        <f>SUMIF($C$3:$AE$3,AK$3,$C25:$AE25)</f>
        <v/>
      </c>
      <c r="AL25" s="4">
        <f>SUMIF($C$3:$AE$3,AL$3,$C25:$AE25)</f>
        <v/>
      </c>
    </row>
    <row r="26">
      <c r="A26" s="13" t="inlineStr">
        <is>
          <t>TOTAL CAPEX</t>
        </is>
      </c>
      <c r="B26" s="2" t="inlineStr"/>
      <c r="C26" s="24">
        <f>'Working Capital'!C24+'Working Capital'!C25</f>
        <v/>
      </c>
      <c r="D26" s="24">
        <f>'Working Capital'!D24+'Working Capital'!D25</f>
        <v/>
      </c>
      <c r="E26" s="24">
        <f>'Working Capital'!E24+'Working Capital'!E25</f>
        <v/>
      </c>
      <c r="F26" s="24">
        <f>'Working Capital'!F24+'Working Capital'!F25</f>
        <v/>
      </c>
      <c r="G26" s="24">
        <f>'Working Capital'!G24+'Working Capital'!G25</f>
        <v/>
      </c>
      <c r="H26" s="24">
        <f>'Working Capital'!H24+'Working Capital'!H25</f>
        <v/>
      </c>
      <c r="I26" s="24">
        <f>'Working Capital'!I24+'Working Capital'!I25</f>
        <v/>
      </c>
      <c r="J26" s="24">
        <f>'Working Capital'!J24+'Working Capital'!J25</f>
        <v/>
      </c>
      <c r="K26" s="24">
        <f>'Working Capital'!K24+'Working Capital'!K25</f>
        <v/>
      </c>
      <c r="L26" s="24">
        <f>'Working Capital'!L24+'Working Capital'!L25</f>
        <v/>
      </c>
      <c r="M26" s="24">
        <f>'Working Capital'!M24+'Working Capital'!M25</f>
        <v/>
      </c>
      <c r="N26" s="24">
        <f>'Working Capital'!N24+'Working Capital'!N25</f>
        <v/>
      </c>
      <c r="O26" s="24">
        <f>'Working Capital'!O24+'Working Capital'!O25</f>
        <v/>
      </c>
      <c r="P26" s="24">
        <f>'Working Capital'!P24+'Working Capital'!P25</f>
        <v/>
      </c>
      <c r="Q26" s="24">
        <f>'Working Capital'!Q24+'Working Capital'!Q25</f>
        <v/>
      </c>
      <c r="R26" s="24">
        <f>'Working Capital'!R24+'Working Capital'!R25</f>
        <v/>
      </c>
      <c r="S26" s="24">
        <f>'Working Capital'!S24+'Working Capital'!S25</f>
        <v/>
      </c>
      <c r="T26" s="24">
        <f>'Working Capital'!T24+'Working Capital'!T25</f>
        <v/>
      </c>
      <c r="U26" s="24">
        <f>'Working Capital'!U24+'Working Capital'!U25</f>
        <v/>
      </c>
      <c r="V26" s="24">
        <f>'Working Capital'!V24+'Working Capital'!V25</f>
        <v/>
      </c>
      <c r="W26" s="24">
        <f>'Working Capital'!W24+'Working Capital'!W25</f>
        <v/>
      </c>
      <c r="X26" s="24">
        <f>'Working Capital'!X24+'Working Capital'!X25</f>
        <v/>
      </c>
      <c r="Y26" s="24">
        <f>'Working Capital'!Y24+'Working Capital'!Y25</f>
        <v/>
      </c>
      <c r="Z26" s="24">
        <f>'Working Capital'!Z24+'Working Capital'!Z25</f>
        <v/>
      </c>
      <c r="AA26" s="24">
        <f>'Working Capital'!AA24+'Working Capital'!AA25</f>
        <v/>
      </c>
      <c r="AB26" s="24">
        <f>'Working Capital'!AB24+'Working Capital'!AB25</f>
        <v/>
      </c>
      <c r="AC26" s="24">
        <f>'Working Capital'!AC24+'Working Capital'!AC25</f>
        <v/>
      </c>
      <c r="AD26" s="24">
        <f>'Working Capital'!AD24+'Working Capital'!AD25</f>
        <v/>
      </c>
      <c r="AE26" s="24">
        <f>'Working Capital'!AE24+'Working Capital'!AE25</f>
        <v/>
      </c>
      <c r="AG26" s="24">
        <f>SUMIF($C$3:$AE$3,AG$3,$C26:$AE26)</f>
        <v/>
      </c>
      <c r="AH26" s="24">
        <f>SUMIF($C$3:$AE$3,AH$3,$C26:$AE26)</f>
        <v/>
      </c>
      <c r="AI26" s="24">
        <f>SUMIF($C$3:$AE$3,AI$3,$C26:$AE26)</f>
        <v/>
      </c>
      <c r="AJ26" s="24">
        <f>SUMIF($C$3:$AE$3,AJ$3,$C26:$AE26)</f>
        <v/>
      </c>
      <c r="AK26" s="24">
        <f>SUMIF($C$3:$AE$3,AK$3,$C26:$AE26)</f>
        <v/>
      </c>
      <c r="AL26" s="24">
        <f>SUMIF($C$3:$AE$3,AL$3,$C26:$AE26)</f>
        <v/>
      </c>
    </row>
    <row r="27">
      <c r="A27" t="inlineStr">
        <is>
          <t>Depreciation</t>
        </is>
      </c>
      <c r="B27" s="2" t="inlineStr"/>
      <c r="C27" s="4">
        <f>MIN(0,0+'Working Capital'!C26)</f>
        <v/>
      </c>
      <c r="D27" s="4">
        <f>MIN(SUM('Working Capital'!C26:C26)/36,'Working Capital'!C28+'Working Capital'!D26)</f>
        <v/>
      </c>
      <c r="E27" s="4">
        <f>MIN(SUM('Working Capital'!C26:D26)/36,'Working Capital'!D28+'Working Capital'!E26)</f>
        <v/>
      </c>
      <c r="F27" s="4">
        <f>MIN(SUM('Working Capital'!C26:E26)/36,'Working Capital'!E28+'Working Capital'!F26)</f>
        <v/>
      </c>
      <c r="G27" s="4">
        <f>MIN(SUM('Working Capital'!C26:F26)/36,'Working Capital'!F28+'Working Capital'!G26)</f>
        <v/>
      </c>
      <c r="H27" s="4">
        <f>MIN(SUM('Working Capital'!C26:G26)/36,'Working Capital'!G28+'Working Capital'!H26)</f>
        <v/>
      </c>
      <c r="I27" s="4">
        <f>MIN(SUM('Working Capital'!C26:H26)/36,'Working Capital'!H28+'Working Capital'!I26)</f>
        <v/>
      </c>
      <c r="J27" s="4">
        <f>MIN(SUM('Working Capital'!C26:I26)/36,'Working Capital'!I28+'Working Capital'!J26)</f>
        <v/>
      </c>
      <c r="K27" s="4">
        <f>MIN(SUM('Working Capital'!C26:J26)/36,'Working Capital'!J28+'Working Capital'!K26)</f>
        <v/>
      </c>
      <c r="L27" s="4">
        <f>MIN(SUM('Working Capital'!C26:K26)/36,'Working Capital'!K28+'Working Capital'!L26)</f>
        <v/>
      </c>
      <c r="M27" s="4">
        <f>MIN(SUM('Working Capital'!C26:L26)/36,'Working Capital'!L28+'Working Capital'!M26)</f>
        <v/>
      </c>
      <c r="N27" s="4">
        <f>MIN(SUM('Working Capital'!C26:M26)/36,'Working Capital'!M28+'Working Capital'!N26)</f>
        <v/>
      </c>
      <c r="O27" s="4">
        <f>MIN(SUM('Working Capital'!C26:N26)/36,'Working Capital'!N28+'Working Capital'!O26)</f>
        <v/>
      </c>
      <c r="P27" s="4">
        <f>MIN(SUM('Working Capital'!C26:O26)/36,'Working Capital'!O28+'Working Capital'!P26)</f>
        <v/>
      </c>
      <c r="Q27" s="4">
        <f>MIN(SUM('Working Capital'!C26:P26)/36,'Working Capital'!P28+'Working Capital'!Q26)</f>
        <v/>
      </c>
      <c r="R27" s="4">
        <f>MIN(SUM('Working Capital'!C26:Q26)/36,'Working Capital'!Q28+'Working Capital'!R26)</f>
        <v/>
      </c>
      <c r="S27" s="4">
        <f>MIN(SUM('Working Capital'!C26:R26)/36,'Working Capital'!R28+'Working Capital'!S26)</f>
        <v/>
      </c>
      <c r="T27" s="4">
        <f>MIN(SUM('Working Capital'!C26:S26)/36,'Working Capital'!S28+'Working Capital'!T26)</f>
        <v/>
      </c>
      <c r="U27" s="4">
        <f>MIN(SUM('Working Capital'!C26:T26)/36,'Working Capital'!T28+'Working Capital'!U26)</f>
        <v/>
      </c>
      <c r="V27" s="4">
        <f>MIN(SUM('Working Capital'!C26:U26)/36,'Working Capital'!U28+'Working Capital'!V26)</f>
        <v/>
      </c>
      <c r="W27" s="4">
        <f>MIN(SUM('Working Capital'!C26:V26)/36,'Working Capital'!V28+'Working Capital'!W26)</f>
        <v/>
      </c>
      <c r="X27" s="4">
        <f>MIN(SUM('Working Capital'!C26:W26)/36,'Working Capital'!W28+'Working Capital'!X26)</f>
        <v/>
      </c>
      <c r="Y27" s="4">
        <f>MIN(SUM('Working Capital'!C26:X26)/36,'Working Capital'!X28+'Working Capital'!Y26)</f>
        <v/>
      </c>
      <c r="Z27" s="4">
        <f>MIN(SUM('Working Capital'!C26:Y26)/36,'Working Capital'!Y28+'Working Capital'!Z26)</f>
        <v/>
      </c>
      <c r="AA27" s="4">
        <f>MIN(SUM('Working Capital'!C26:Z26)/36,'Working Capital'!Z28+'Working Capital'!AA26)</f>
        <v/>
      </c>
      <c r="AB27" s="4">
        <f>MIN(SUM('Working Capital'!C26:AA26)/36,'Working Capital'!AA28+'Working Capital'!AB26)</f>
        <v/>
      </c>
      <c r="AC27" s="4">
        <f>MIN((SUM('Working Capital'!AC26:AC26)*0.5+SUM('Working Capital'!Q26:AB26)+SUM('Working Capital'!E26:P26)+SUM('Working Capital'!C26:D26)*0.5)/3,'Working Capital'!AB28+'Working Capital'!AC26)</f>
        <v/>
      </c>
      <c r="AD27" s="4">
        <f>MIN((SUM('Working Capital'!AD26:AD26)*0.5+SUM('Working Capital'!AC26:AC26)+SUM('Working Capital'!Q26:AB26)+SUM('Working Capital'!E26:P26)*0.5)/3,'Working Capital'!AC28+'Working Capital'!AD26)</f>
        <v/>
      </c>
      <c r="AE27" s="4">
        <f>MIN((SUM('Working Capital'!AE26:AE26)*0.5+SUM('Working Capital'!AD26:AD26)+SUM('Working Capital'!AC26:AC26)+SUM('Working Capital'!Q26:AB26)*0.5)/3,'Working Capital'!AD28+'Working Capital'!AE26)</f>
        <v/>
      </c>
      <c r="AG27" s="4">
        <f>SUMIF($C$3:$AE$3,AG$3,$C27:$AE27)</f>
        <v/>
      </c>
      <c r="AH27" s="4">
        <f>SUMIF($C$3:$AE$3,AH$3,$C27:$AE27)</f>
        <v/>
      </c>
      <c r="AI27" s="4">
        <f>SUMIF($C$3:$AE$3,AI$3,$C27:$AE27)</f>
        <v/>
      </c>
      <c r="AJ27" s="4">
        <f>SUMIF($C$3:$AE$3,AJ$3,$C27:$AE27)</f>
        <v/>
      </c>
      <c r="AK27" s="4">
        <f>SUMIF($C$3:$AE$3,AK$3,$C27:$AE27)</f>
        <v/>
      </c>
      <c r="AL27" s="4">
        <f>SUMIF($C$3:$AE$3,AL$3,$C27:$AE27)</f>
        <v/>
      </c>
    </row>
    <row r="28">
      <c r="A28" t="inlineStr">
        <is>
          <t>PP&amp;E, net (end)</t>
        </is>
      </c>
      <c r="B28" s="2" t="inlineStr"/>
      <c r="C28" s="4">
        <f>0+C26-C27</f>
        <v/>
      </c>
      <c r="D28" s="4">
        <f>C28+D26-D27</f>
        <v/>
      </c>
      <c r="E28" s="4">
        <f>D28+E26-E27</f>
        <v/>
      </c>
      <c r="F28" s="4">
        <f>E28+F26-F27</f>
        <v/>
      </c>
      <c r="G28" s="4">
        <f>F28+G26-G27</f>
        <v/>
      </c>
      <c r="H28" s="4">
        <f>G28+H26-H27</f>
        <v/>
      </c>
      <c r="I28" s="4">
        <f>H28+I26-I27</f>
        <v/>
      </c>
      <c r="J28" s="4">
        <f>I28+J26-J27</f>
        <v/>
      </c>
      <c r="K28" s="4">
        <f>J28+K26-K27</f>
        <v/>
      </c>
      <c r="L28" s="4">
        <f>K28+L26-L27</f>
        <v/>
      </c>
      <c r="M28" s="4">
        <f>L28+M26-M27</f>
        <v/>
      </c>
      <c r="N28" s="4">
        <f>M28+N26-N27</f>
        <v/>
      </c>
      <c r="O28" s="4">
        <f>N28+O26-O27</f>
        <v/>
      </c>
      <c r="P28" s="4">
        <f>O28+P26-P27</f>
        <v/>
      </c>
      <c r="Q28" s="4">
        <f>P28+Q26-Q27</f>
        <v/>
      </c>
      <c r="R28" s="4">
        <f>Q28+R26-R27</f>
        <v/>
      </c>
      <c r="S28" s="4">
        <f>R28+S26-S27</f>
        <v/>
      </c>
      <c r="T28" s="4">
        <f>S28+T26-T27</f>
        <v/>
      </c>
      <c r="U28" s="4">
        <f>T28+U26-U27</f>
        <v/>
      </c>
      <c r="V28" s="4">
        <f>U28+V26-V27</f>
        <v/>
      </c>
      <c r="W28" s="4">
        <f>V28+W26-W27</f>
        <v/>
      </c>
      <c r="X28" s="4">
        <f>W28+X26-X27</f>
        <v/>
      </c>
      <c r="Y28" s="4">
        <f>X28+Y26-Y27</f>
        <v/>
      </c>
      <c r="Z28" s="4">
        <f>Y28+Z26-Z27</f>
        <v/>
      </c>
      <c r="AA28" s="4">
        <f>Z28+AA26-AA27</f>
        <v/>
      </c>
      <c r="AB28" s="4">
        <f>AA28+AB26-AB27</f>
        <v/>
      </c>
      <c r="AC28" s="4">
        <f>AB28+AC26-AC27</f>
        <v/>
      </c>
      <c r="AD28" s="4">
        <f>AC28+AD26-AD27</f>
        <v/>
      </c>
      <c r="AE28" s="4">
        <f>AD28+AE26-AE27</f>
        <v/>
      </c>
      <c r="AG28" s="4">
        <f>D28</f>
        <v/>
      </c>
      <c r="AH28" s="4">
        <f>P28</f>
        <v/>
      </c>
      <c r="AI28" s="4">
        <f>AB28</f>
        <v/>
      </c>
      <c r="AJ28" s="4">
        <f>AC28</f>
        <v/>
      </c>
      <c r="AK28" s="4">
        <f>AD28</f>
        <v/>
      </c>
      <c r="AL28" s="4">
        <f>AE28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48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Income statement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Revenue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Hardware (net of returns)</t>
        </is>
      </c>
      <c r="B10" s="2" t="inlineStr"/>
      <c r="C10" s="4">
        <f>'Revenue Build'!C15</f>
        <v/>
      </c>
      <c r="D10" s="4">
        <f>'Revenue Build'!D15</f>
        <v/>
      </c>
      <c r="E10" s="4">
        <f>'Revenue Build'!E15</f>
        <v/>
      </c>
      <c r="F10" s="4">
        <f>'Revenue Build'!F15</f>
        <v/>
      </c>
      <c r="G10" s="4">
        <f>'Revenue Build'!G15</f>
        <v/>
      </c>
      <c r="H10" s="4">
        <f>'Revenue Build'!H15</f>
        <v/>
      </c>
      <c r="I10" s="4">
        <f>'Revenue Build'!I15</f>
        <v/>
      </c>
      <c r="J10" s="4">
        <f>'Revenue Build'!J15</f>
        <v/>
      </c>
      <c r="K10" s="4">
        <f>'Revenue Build'!K15</f>
        <v/>
      </c>
      <c r="L10" s="4">
        <f>'Revenue Build'!L15</f>
        <v/>
      </c>
      <c r="M10" s="4">
        <f>'Revenue Build'!M15</f>
        <v/>
      </c>
      <c r="N10" s="4">
        <f>'Revenue Build'!N15</f>
        <v/>
      </c>
      <c r="O10" s="4">
        <f>'Revenue Build'!O15</f>
        <v/>
      </c>
      <c r="P10" s="4">
        <f>'Revenue Build'!P15</f>
        <v/>
      </c>
      <c r="Q10" s="4">
        <f>'Revenue Build'!Q15</f>
        <v/>
      </c>
      <c r="R10" s="4">
        <f>'Revenue Build'!R15</f>
        <v/>
      </c>
      <c r="S10" s="4">
        <f>'Revenue Build'!S15</f>
        <v/>
      </c>
      <c r="T10" s="4">
        <f>'Revenue Build'!T15</f>
        <v/>
      </c>
      <c r="U10" s="4">
        <f>'Revenue Build'!U15</f>
        <v/>
      </c>
      <c r="V10" s="4">
        <f>'Revenue Build'!V15</f>
        <v/>
      </c>
      <c r="W10" s="4">
        <f>'Revenue Build'!W15</f>
        <v/>
      </c>
      <c r="X10" s="4">
        <f>'Revenue Build'!X15</f>
        <v/>
      </c>
      <c r="Y10" s="4">
        <f>'Revenue Build'!Y15</f>
        <v/>
      </c>
      <c r="Z10" s="4">
        <f>'Revenue Build'!Z15</f>
        <v/>
      </c>
      <c r="AA10" s="4">
        <f>'Revenue Build'!AA15</f>
        <v/>
      </c>
      <c r="AB10" s="4">
        <f>'Revenue Build'!AB15</f>
        <v/>
      </c>
      <c r="AC10" s="4">
        <f>'Revenue Build'!AC15</f>
        <v/>
      </c>
      <c r="AD10" s="4">
        <f>'Revenue Build'!AD15</f>
        <v/>
      </c>
      <c r="AE10" s="4">
        <f>'Revenue Build'!AE15</f>
        <v/>
      </c>
      <c r="AG10" s="4">
        <f>SUMIF($C$3:$AE$3,AG$3,$C10:$AE10)</f>
        <v/>
      </c>
      <c r="AH10" s="4">
        <f>SUMIF($C$3:$AE$3,AH$3,$C10:$AE10)</f>
        <v/>
      </c>
      <c r="AI10" s="4">
        <f>SUMIF($C$3:$AE$3,AI$3,$C10:$AE10)</f>
        <v/>
      </c>
      <c r="AJ10" s="4">
        <f>SUMIF($C$3:$AE$3,AJ$3,$C10:$AE10)</f>
        <v/>
      </c>
      <c r="AK10" s="4">
        <f>SUMIF($C$3:$AE$3,AK$3,$C10:$AE10)</f>
        <v/>
      </c>
      <c r="AL10" s="4">
        <f>SUMIF($C$3:$AE$3,AL$3,$C10:$AE10)</f>
        <v/>
      </c>
    </row>
    <row r="11">
      <c r="A11" t="inlineStr">
        <is>
          <t>Subscriptions -- Explorer</t>
        </is>
      </c>
      <c r="B11" s="2" t="inlineStr"/>
      <c r="C11" s="4">
        <f>'Revenue Build'!C18</f>
        <v/>
      </c>
      <c r="D11" s="4">
        <f>'Revenue Build'!D18</f>
        <v/>
      </c>
      <c r="E11" s="4">
        <f>'Revenue Build'!E18</f>
        <v/>
      </c>
      <c r="F11" s="4">
        <f>'Revenue Build'!F18</f>
        <v/>
      </c>
      <c r="G11" s="4">
        <f>'Revenue Build'!G18</f>
        <v/>
      </c>
      <c r="H11" s="4">
        <f>'Revenue Build'!H18</f>
        <v/>
      </c>
      <c r="I11" s="4">
        <f>'Revenue Build'!I18</f>
        <v/>
      </c>
      <c r="J11" s="4">
        <f>'Revenue Build'!J18</f>
        <v/>
      </c>
      <c r="K11" s="4">
        <f>'Revenue Build'!K18</f>
        <v/>
      </c>
      <c r="L11" s="4">
        <f>'Revenue Build'!L18</f>
        <v/>
      </c>
      <c r="M11" s="4">
        <f>'Revenue Build'!M18</f>
        <v/>
      </c>
      <c r="N11" s="4">
        <f>'Revenue Build'!N18</f>
        <v/>
      </c>
      <c r="O11" s="4">
        <f>'Revenue Build'!O18</f>
        <v/>
      </c>
      <c r="P11" s="4">
        <f>'Revenue Build'!P18</f>
        <v/>
      </c>
      <c r="Q11" s="4">
        <f>'Revenue Build'!Q18</f>
        <v/>
      </c>
      <c r="R11" s="4">
        <f>'Revenue Build'!R18</f>
        <v/>
      </c>
      <c r="S11" s="4">
        <f>'Revenue Build'!S18</f>
        <v/>
      </c>
      <c r="T11" s="4">
        <f>'Revenue Build'!T18</f>
        <v/>
      </c>
      <c r="U11" s="4">
        <f>'Revenue Build'!U18</f>
        <v/>
      </c>
      <c r="V11" s="4">
        <f>'Revenue Build'!V18</f>
        <v/>
      </c>
      <c r="W11" s="4">
        <f>'Revenue Build'!W18</f>
        <v/>
      </c>
      <c r="X11" s="4">
        <f>'Revenue Build'!X18</f>
        <v/>
      </c>
      <c r="Y11" s="4">
        <f>'Revenue Build'!Y18</f>
        <v/>
      </c>
      <c r="Z11" s="4">
        <f>'Revenue Build'!Z18</f>
        <v/>
      </c>
      <c r="AA11" s="4">
        <f>'Revenue Build'!AA18</f>
        <v/>
      </c>
      <c r="AB11" s="4">
        <f>'Revenue Build'!AB18</f>
        <v/>
      </c>
      <c r="AC11" s="4">
        <f>'Revenue Build'!AC18</f>
        <v/>
      </c>
      <c r="AD11" s="4">
        <f>'Revenue Build'!AD18</f>
        <v/>
      </c>
      <c r="AE11" s="4">
        <f>'Revenue Build'!AE18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Subscriptions -- Trip Pass</t>
        </is>
      </c>
      <c r="B12" s="2" t="inlineStr"/>
      <c r="C12" s="4">
        <f>'Revenue Build'!C19</f>
        <v/>
      </c>
      <c r="D12" s="4">
        <f>'Revenue Build'!D19</f>
        <v/>
      </c>
      <c r="E12" s="4">
        <f>'Revenue Build'!E19</f>
        <v/>
      </c>
      <c r="F12" s="4">
        <f>'Revenue Build'!F19</f>
        <v/>
      </c>
      <c r="G12" s="4">
        <f>'Revenue Build'!G19</f>
        <v/>
      </c>
      <c r="H12" s="4">
        <f>'Revenue Build'!H19</f>
        <v/>
      </c>
      <c r="I12" s="4">
        <f>'Revenue Build'!I19</f>
        <v/>
      </c>
      <c r="J12" s="4">
        <f>'Revenue Build'!J19</f>
        <v/>
      </c>
      <c r="K12" s="4">
        <f>'Revenue Build'!K19</f>
        <v/>
      </c>
      <c r="L12" s="4">
        <f>'Revenue Build'!L19</f>
        <v/>
      </c>
      <c r="M12" s="4">
        <f>'Revenue Build'!M19</f>
        <v/>
      </c>
      <c r="N12" s="4">
        <f>'Revenue Build'!N19</f>
        <v/>
      </c>
      <c r="O12" s="4">
        <f>'Revenue Build'!O19</f>
        <v/>
      </c>
      <c r="P12" s="4">
        <f>'Revenue Build'!P19</f>
        <v/>
      </c>
      <c r="Q12" s="4">
        <f>'Revenue Build'!Q19</f>
        <v/>
      </c>
      <c r="R12" s="4">
        <f>'Revenue Build'!R19</f>
        <v/>
      </c>
      <c r="S12" s="4">
        <f>'Revenue Build'!S19</f>
        <v/>
      </c>
      <c r="T12" s="4">
        <f>'Revenue Build'!T19</f>
        <v/>
      </c>
      <c r="U12" s="4">
        <f>'Revenue Build'!U19</f>
        <v/>
      </c>
      <c r="V12" s="4">
        <f>'Revenue Build'!V19</f>
        <v/>
      </c>
      <c r="W12" s="4">
        <f>'Revenue Build'!W19</f>
        <v/>
      </c>
      <c r="X12" s="4">
        <f>'Revenue Build'!X19</f>
        <v/>
      </c>
      <c r="Y12" s="4">
        <f>'Revenue Build'!Y19</f>
        <v/>
      </c>
      <c r="Z12" s="4">
        <f>'Revenue Build'!Z19</f>
        <v/>
      </c>
      <c r="AA12" s="4">
        <f>'Revenue Build'!AA19</f>
        <v/>
      </c>
      <c r="AB12" s="4">
        <f>'Revenue Build'!AB19</f>
        <v/>
      </c>
      <c r="AC12" s="4">
        <f>'Revenue Build'!AC19</f>
        <v/>
      </c>
      <c r="AD12" s="4">
        <f>'Revenue Build'!AD19</f>
        <v/>
      </c>
      <c r="AE12" s="4">
        <f>'Revenue Build'!AE19</f>
        <v/>
      </c>
      <c r="AG12" s="4">
        <f>SUMIF($C$3:$AE$3,AG$3,$C12:$AE12)</f>
        <v/>
      </c>
      <c r="AH12" s="4">
        <f>SUMIF($C$3:$AE$3,AH$3,$C12:$AE12)</f>
        <v/>
      </c>
      <c r="AI12" s="4">
        <f>SUMIF($C$3:$AE$3,AI$3,$C12:$AE12)</f>
        <v/>
      </c>
      <c r="AJ12" s="4">
        <f>SUMIF($C$3:$AE$3,AJ$3,$C12:$AE12)</f>
        <v/>
      </c>
      <c r="AK12" s="4">
        <f>SUMIF($C$3:$AE$3,AK$3,$C12:$AE12)</f>
        <v/>
      </c>
      <c r="AL12" s="4">
        <f>SUMIF($C$3:$AE$3,AL$3,$C12:$AE12)</f>
        <v/>
      </c>
    </row>
    <row r="13">
      <c r="A13" t="inlineStr">
        <is>
          <t>Accessories</t>
        </is>
      </c>
      <c r="B13" s="2" t="inlineStr"/>
      <c r="C13" s="4">
        <f>'Revenue Build'!C20</f>
        <v/>
      </c>
      <c r="D13" s="4">
        <f>'Revenue Build'!D20</f>
        <v/>
      </c>
      <c r="E13" s="4">
        <f>'Revenue Build'!E20</f>
        <v/>
      </c>
      <c r="F13" s="4">
        <f>'Revenue Build'!F20</f>
        <v/>
      </c>
      <c r="G13" s="4">
        <f>'Revenue Build'!G20</f>
        <v/>
      </c>
      <c r="H13" s="4">
        <f>'Revenue Build'!H20</f>
        <v/>
      </c>
      <c r="I13" s="4">
        <f>'Revenue Build'!I20</f>
        <v/>
      </c>
      <c r="J13" s="4">
        <f>'Revenue Build'!J20</f>
        <v/>
      </c>
      <c r="K13" s="4">
        <f>'Revenue Build'!K20</f>
        <v/>
      </c>
      <c r="L13" s="4">
        <f>'Revenue Build'!L20</f>
        <v/>
      </c>
      <c r="M13" s="4">
        <f>'Revenue Build'!M20</f>
        <v/>
      </c>
      <c r="N13" s="4">
        <f>'Revenue Build'!N20</f>
        <v/>
      </c>
      <c r="O13" s="4">
        <f>'Revenue Build'!O20</f>
        <v/>
      </c>
      <c r="P13" s="4">
        <f>'Revenue Build'!P20</f>
        <v/>
      </c>
      <c r="Q13" s="4">
        <f>'Revenue Build'!Q20</f>
        <v/>
      </c>
      <c r="R13" s="4">
        <f>'Revenue Build'!R20</f>
        <v/>
      </c>
      <c r="S13" s="4">
        <f>'Revenue Build'!S20</f>
        <v/>
      </c>
      <c r="T13" s="4">
        <f>'Revenue Build'!T20</f>
        <v/>
      </c>
      <c r="U13" s="4">
        <f>'Revenue Build'!U20</f>
        <v/>
      </c>
      <c r="V13" s="4">
        <f>'Revenue Build'!V20</f>
        <v/>
      </c>
      <c r="W13" s="4">
        <f>'Revenue Build'!W20</f>
        <v/>
      </c>
      <c r="X13" s="4">
        <f>'Revenue Build'!X20</f>
        <v/>
      </c>
      <c r="Y13" s="4">
        <f>'Revenue Build'!Y20</f>
        <v/>
      </c>
      <c r="Z13" s="4">
        <f>'Revenue Build'!Z20</f>
        <v/>
      </c>
      <c r="AA13" s="4">
        <f>'Revenue Build'!AA20</f>
        <v/>
      </c>
      <c r="AB13" s="4">
        <f>'Revenue Build'!AB20</f>
        <v/>
      </c>
      <c r="AC13" s="4">
        <f>'Revenue Build'!AC20</f>
        <v/>
      </c>
      <c r="AD13" s="4">
        <f>'Revenue Build'!AD20</f>
        <v/>
      </c>
      <c r="AE13" s="4">
        <f>'Revenue Build'!AE20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Affiliate</t>
        </is>
      </c>
      <c r="B14" s="2" t="inlineStr"/>
      <c r="C14" s="4">
        <f>'Revenue Build'!C21</f>
        <v/>
      </c>
      <c r="D14" s="4">
        <f>'Revenue Build'!D21</f>
        <v/>
      </c>
      <c r="E14" s="4">
        <f>'Revenue Build'!E21</f>
        <v/>
      </c>
      <c r="F14" s="4">
        <f>'Revenue Build'!F21</f>
        <v/>
      </c>
      <c r="G14" s="4">
        <f>'Revenue Build'!G21</f>
        <v/>
      </c>
      <c r="H14" s="4">
        <f>'Revenue Build'!H21</f>
        <v/>
      </c>
      <c r="I14" s="4">
        <f>'Revenue Build'!I21</f>
        <v/>
      </c>
      <c r="J14" s="4">
        <f>'Revenue Build'!J21</f>
        <v/>
      </c>
      <c r="K14" s="4">
        <f>'Revenue Build'!K21</f>
        <v/>
      </c>
      <c r="L14" s="4">
        <f>'Revenue Build'!L21</f>
        <v/>
      </c>
      <c r="M14" s="4">
        <f>'Revenue Build'!M21</f>
        <v/>
      </c>
      <c r="N14" s="4">
        <f>'Revenue Build'!N21</f>
        <v/>
      </c>
      <c r="O14" s="4">
        <f>'Revenue Build'!O21</f>
        <v/>
      </c>
      <c r="P14" s="4">
        <f>'Revenue Build'!P21</f>
        <v/>
      </c>
      <c r="Q14" s="4">
        <f>'Revenue Build'!Q21</f>
        <v/>
      </c>
      <c r="R14" s="4">
        <f>'Revenue Build'!R21</f>
        <v/>
      </c>
      <c r="S14" s="4">
        <f>'Revenue Build'!S21</f>
        <v/>
      </c>
      <c r="T14" s="4">
        <f>'Revenue Build'!T21</f>
        <v/>
      </c>
      <c r="U14" s="4">
        <f>'Revenue Build'!U21</f>
        <v/>
      </c>
      <c r="V14" s="4">
        <f>'Revenue Build'!V21</f>
        <v/>
      </c>
      <c r="W14" s="4">
        <f>'Revenue Build'!W21</f>
        <v/>
      </c>
      <c r="X14" s="4">
        <f>'Revenue Build'!X21</f>
        <v/>
      </c>
      <c r="Y14" s="4">
        <f>'Revenue Build'!Y21</f>
        <v/>
      </c>
      <c r="Z14" s="4">
        <f>'Revenue Build'!Z21</f>
        <v/>
      </c>
      <c r="AA14" s="4">
        <f>'Revenue Build'!AA21</f>
        <v/>
      </c>
      <c r="AB14" s="4">
        <f>'Revenue Build'!AB21</f>
        <v/>
      </c>
      <c r="AC14" s="4">
        <f>'Revenue Build'!AC21</f>
        <v/>
      </c>
      <c r="AD14" s="4">
        <f>'Revenue Build'!AD21</f>
        <v/>
      </c>
      <c r="AE14" s="4">
        <f>'Revenue Build'!AE21</f>
        <v/>
      </c>
      <c r="AG14" s="4">
        <f>SUMIF($C$3:$AE$3,AG$3,$C14:$AE14)</f>
        <v/>
      </c>
      <c r="AH14" s="4">
        <f>SUMIF($C$3:$AE$3,AH$3,$C14:$AE14)</f>
        <v/>
      </c>
      <c r="AI14" s="4">
        <f>SUMIF($C$3:$AE$3,AI$3,$C14:$AE14)</f>
        <v/>
      </c>
      <c r="AJ14" s="4">
        <f>SUMIF($C$3:$AE$3,AJ$3,$C14:$AE14)</f>
        <v/>
      </c>
      <c r="AK14" s="4">
        <f>SUMIF($C$3:$AE$3,AK$3,$C14:$AE14)</f>
        <v/>
      </c>
      <c r="AL14" s="4">
        <f>SUMIF($C$3:$AE$3,AL$3,$C14:$AE14)</f>
        <v/>
      </c>
    </row>
    <row r="15">
      <c r="A15" t="inlineStr">
        <is>
          <t>B2B fleet rental</t>
        </is>
      </c>
      <c r="B15" s="2" t="inlineStr"/>
      <c r="C15" s="4">
        <f>'Revenue Build'!C23</f>
        <v/>
      </c>
      <c r="D15" s="4">
        <f>'Revenue Build'!D23</f>
        <v/>
      </c>
      <c r="E15" s="4">
        <f>'Revenue Build'!E23</f>
        <v/>
      </c>
      <c r="F15" s="4">
        <f>'Revenue Build'!F23</f>
        <v/>
      </c>
      <c r="G15" s="4">
        <f>'Revenue Build'!G23</f>
        <v/>
      </c>
      <c r="H15" s="4">
        <f>'Revenue Build'!H23</f>
        <v/>
      </c>
      <c r="I15" s="4">
        <f>'Revenue Build'!I23</f>
        <v/>
      </c>
      <c r="J15" s="4">
        <f>'Revenue Build'!J23</f>
        <v/>
      </c>
      <c r="K15" s="4">
        <f>'Revenue Build'!K23</f>
        <v/>
      </c>
      <c r="L15" s="4">
        <f>'Revenue Build'!L23</f>
        <v/>
      </c>
      <c r="M15" s="4">
        <f>'Revenue Build'!M23</f>
        <v/>
      </c>
      <c r="N15" s="4">
        <f>'Revenue Build'!N23</f>
        <v/>
      </c>
      <c r="O15" s="4">
        <f>'Revenue Build'!O23</f>
        <v/>
      </c>
      <c r="P15" s="4">
        <f>'Revenue Build'!P23</f>
        <v/>
      </c>
      <c r="Q15" s="4">
        <f>'Revenue Build'!Q23</f>
        <v/>
      </c>
      <c r="R15" s="4">
        <f>'Revenue Build'!R23</f>
        <v/>
      </c>
      <c r="S15" s="4">
        <f>'Revenue Build'!S23</f>
        <v/>
      </c>
      <c r="T15" s="4">
        <f>'Revenue Build'!T23</f>
        <v/>
      </c>
      <c r="U15" s="4">
        <f>'Revenue Build'!U23</f>
        <v/>
      </c>
      <c r="V15" s="4">
        <f>'Revenue Build'!V23</f>
        <v/>
      </c>
      <c r="W15" s="4">
        <f>'Revenue Build'!W23</f>
        <v/>
      </c>
      <c r="X15" s="4">
        <f>'Revenue Build'!X23</f>
        <v/>
      </c>
      <c r="Y15" s="4">
        <f>'Revenue Build'!Y23</f>
        <v/>
      </c>
      <c r="Z15" s="4">
        <f>'Revenue Build'!Z23</f>
        <v/>
      </c>
      <c r="AA15" s="4">
        <f>'Revenue Build'!AA23</f>
        <v/>
      </c>
      <c r="AB15" s="4">
        <f>'Revenue Build'!AB23</f>
        <v/>
      </c>
      <c r="AC15" s="4">
        <f>'Revenue Build'!AC23</f>
        <v/>
      </c>
      <c r="AD15" s="4">
        <f>'Revenue Build'!AD23</f>
        <v/>
      </c>
      <c r="AE15" s="4">
        <f>'Revenue Build'!AE23</f>
        <v/>
      </c>
      <c r="AG15" s="4">
        <f>SUMIF($C$3:$AE$3,AG$3,$C15:$AE15)</f>
        <v/>
      </c>
      <c r="AH15" s="4">
        <f>SUMIF($C$3:$AE$3,AH$3,$C15:$AE15)</f>
        <v/>
      </c>
      <c r="AI15" s="4">
        <f>SUMIF($C$3:$AE$3,AI$3,$C15:$AE15)</f>
        <v/>
      </c>
      <c r="AJ15" s="4">
        <f>SUMIF($C$3:$AE$3,AJ$3,$C15:$AE15)</f>
        <v/>
      </c>
      <c r="AK15" s="4">
        <f>SUMIF($C$3:$AE$3,AK$3,$C15:$AE15)</f>
        <v/>
      </c>
      <c r="AL15" s="4">
        <f>SUMIF($C$3:$AE$3,AL$3,$C15:$AE15)</f>
        <v/>
      </c>
    </row>
    <row r="16">
      <c r="A16" s="13" t="inlineStr">
        <is>
          <t>TOTAL REVENUE</t>
        </is>
      </c>
      <c r="B16" s="2" t="inlineStr"/>
      <c r="C16" s="24">
        <f>SUM(C10:C15)</f>
        <v/>
      </c>
      <c r="D16" s="24">
        <f>SUM(D10:D15)</f>
        <v/>
      </c>
      <c r="E16" s="24">
        <f>SUM(E10:E15)</f>
        <v/>
      </c>
      <c r="F16" s="24">
        <f>SUM(F10:F15)</f>
        <v/>
      </c>
      <c r="G16" s="24">
        <f>SUM(G10:G15)</f>
        <v/>
      </c>
      <c r="H16" s="24">
        <f>SUM(H10:H15)</f>
        <v/>
      </c>
      <c r="I16" s="24">
        <f>SUM(I10:I15)</f>
        <v/>
      </c>
      <c r="J16" s="24">
        <f>SUM(J10:J15)</f>
        <v/>
      </c>
      <c r="K16" s="24">
        <f>SUM(K10:K15)</f>
        <v/>
      </c>
      <c r="L16" s="24">
        <f>SUM(L10:L15)</f>
        <v/>
      </c>
      <c r="M16" s="24">
        <f>SUM(M10:M15)</f>
        <v/>
      </c>
      <c r="N16" s="24">
        <f>SUM(N10:N15)</f>
        <v/>
      </c>
      <c r="O16" s="24">
        <f>SUM(O10:O15)</f>
        <v/>
      </c>
      <c r="P16" s="24">
        <f>SUM(P10:P15)</f>
        <v/>
      </c>
      <c r="Q16" s="24">
        <f>SUM(Q10:Q15)</f>
        <v/>
      </c>
      <c r="R16" s="24">
        <f>SUM(R10:R15)</f>
        <v/>
      </c>
      <c r="S16" s="24">
        <f>SUM(S10:S15)</f>
        <v/>
      </c>
      <c r="T16" s="24">
        <f>SUM(T10:T15)</f>
        <v/>
      </c>
      <c r="U16" s="24">
        <f>SUM(U10:U15)</f>
        <v/>
      </c>
      <c r="V16" s="24">
        <f>SUM(V10:V15)</f>
        <v/>
      </c>
      <c r="W16" s="24">
        <f>SUM(W10:W15)</f>
        <v/>
      </c>
      <c r="X16" s="24">
        <f>SUM(X10:X15)</f>
        <v/>
      </c>
      <c r="Y16" s="24">
        <f>SUM(Y10:Y15)</f>
        <v/>
      </c>
      <c r="Z16" s="24">
        <f>SUM(Z10:Z15)</f>
        <v/>
      </c>
      <c r="AA16" s="24">
        <f>SUM(AA10:AA15)</f>
        <v/>
      </c>
      <c r="AB16" s="24">
        <f>SUM(AB10:AB15)</f>
        <v/>
      </c>
      <c r="AC16" s="24">
        <f>SUM(AC10:AC15)</f>
        <v/>
      </c>
      <c r="AD16" s="24">
        <f>SUM(AD10:AD15)</f>
        <v/>
      </c>
      <c r="AE16" s="24">
        <f>SUM(AE10:AE15)</f>
        <v/>
      </c>
      <c r="AG16" s="24">
        <f>SUMIF($C$3:$AE$3,AG$3,$C16:$AE16)</f>
        <v/>
      </c>
      <c r="AH16" s="24">
        <f>SUMIF($C$3:$AE$3,AH$3,$C16:$AE16)</f>
        <v/>
      </c>
      <c r="AI16" s="24">
        <f>SUMIF($C$3:$AE$3,AI$3,$C16:$AE16)</f>
        <v/>
      </c>
      <c r="AJ16" s="24">
        <f>SUMIF($C$3:$AE$3,AJ$3,$C16:$AE16)</f>
        <v/>
      </c>
      <c r="AK16" s="24">
        <f>SUMIF($C$3:$AE$3,AK$3,$C16:$AE16)</f>
        <v/>
      </c>
      <c r="AL16" s="24">
        <f>SUMIF($C$3:$AE$3,AL$3,$C16:$AE16)</f>
        <v/>
      </c>
    </row>
    <row r="18">
      <c r="A18" s="8" t="inlineStr">
        <is>
          <t>Cost of revenue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t="inlineStr">
        <is>
          <t>Hardware COGS (landed, fulfilment, payments, warranty)</t>
        </is>
      </c>
      <c r="B19" s="2" t="inlineStr"/>
      <c r="C19" s="4">
        <f>'Hardware COGS'!C15</f>
        <v/>
      </c>
      <c r="D19" s="4">
        <f>'Hardware COGS'!D15</f>
        <v/>
      </c>
      <c r="E19" s="4">
        <f>'Hardware COGS'!E15</f>
        <v/>
      </c>
      <c r="F19" s="4">
        <f>'Hardware COGS'!F15</f>
        <v/>
      </c>
      <c r="G19" s="4">
        <f>'Hardware COGS'!G15</f>
        <v/>
      </c>
      <c r="H19" s="4">
        <f>'Hardware COGS'!H15</f>
        <v/>
      </c>
      <c r="I19" s="4">
        <f>'Hardware COGS'!I15</f>
        <v/>
      </c>
      <c r="J19" s="4">
        <f>'Hardware COGS'!J15</f>
        <v/>
      </c>
      <c r="K19" s="4">
        <f>'Hardware COGS'!K15</f>
        <v/>
      </c>
      <c r="L19" s="4">
        <f>'Hardware COGS'!L15</f>
        <v/>
      </c>
      <c r="M19" s="4">
        <f>'Hardware COGS'!M15</f>
        <v/>
      </c>
      <c r="N19" s="4">
        <f>'Hardware COGS'!N15</f>
        <v/>
      </c>
      <c r="O19" s="4">
        <f>'Hardware COGS'!O15</f>
        <v/>
      </c>
      <c r="P19" s="4">
        <f>'Hardware COGS'!P15</f>
        <v/>
      </c>
      <c r="Q19" s="4">
        <f>'Hardware COGS'!Q15</f>
        <v/>
      </c>
      <c r="R19" s="4">
        <f>'Hardware COGS'!R15</f>
        <v/>
      </c>
      <c r="S19" s="4">
        <f>'Hardware COGS'!S15</f>
        <v/>
      </c>
      <c r="T19" s="4">
        <f>'Hardware COGS'!T15</f>
        <v/>
      </c>
      <c r="U19" s="4">
        <f>'Hardware COGS'!U15</f>
        <v/>
      </c>
      <c r="V19" s="4">
        <f>'Hardware COGS'!V15</f>
        <v/>
      </c>
      <c r="W19" s="4">
        <f>'Hardware COGS'!W15</f>
        <v/>
      </c>
      <c r="X19" s="4">
        <f>'Hardware COGS'!X15</f>
        <v/>
      </c>
      <c r="Y19" s="4">
        <f>'Hardware COGS'!Y15</f>
        <v/>
      </c>
      <c r="Z19" s="4">
        <f>'Hardware COGS'!Z15</f>
        <v/>
      </c>
      <c r="AA19" s="4">
        <f>'Hardware COGS'!AA15</f>
        <v/>
      </c>
      <c r="AB19" s="4">
        <f>'Hardware COGS'!AB15</f>
        <v/>
      </c>
      <c r="AC19" s="4">
        <f>'Hardware COGS'!AC15</f>
        <v/>
      </c>
      <c r="AD19" s="4">
        <f>'Hardware COGS'!AD15</f>
        <v/>
      </c>
      <c r="AE19" s="4">
        <f>'Hardware COGS'!AE15</f>
        <v/>
      </c>
      <c r="AG19" s="4">
        <f>SUMIF($C$3:$AE$3,AG$3,$C19:$AE19)</f>
        <v/>
      </c>
      <c r="AH19" s="4">
        <f>SUMIF($C$3:$AE$3,AH$3,$C19:$AE19)</f>
        <v/>
      </c>
      <c r="AI19" s="4">
        <f>SUMIF($C$3:$AE$3,AI$3,$C19:$AE19)</f>
        <v/>
      </c>
      <c r="AJ19" s="4">
        <f>SUMIF($C$3:$AE$3,AJ$3,$C19:$AE19)</f>
        <v/>
      </c>
      <c r="AK19" s="4">
        <f>SUMIF($C$3:$AE$3,AK$3,$C19:$AE19)</f>
        <v/>
      </c>
      <c r="AL19" s="4">
        <f>SUMIF($C$3:$AE$3,AL$3,$C19:$AE19)</f>
        <v/>
      </c>
    </row>
    <row r="20">
      <c r="A20" t="inlineStr">
        <is>
          <t>Accessories COGS</t>
        </is>
      </c>
      <c r="B20" s="2" t="inlineStr"/>
      <c r="C20" s="4">
        <f>'Hardware COGS'!C16</f>
        <v/>
      </c>
      <c r="D20" s="4">
        <f>'Hardware COGS'!D16</f>
        <v/>
      </c>
      <c r="E20" s="4">
        <f>'Hardware COGS'!E16</f>
        <v/>
      </c>
      <c r="F20" s="4">
        <f>'Hardware COGS'!F16</f>
        <v/>
      </c>
      <c r="G20" s="4">
        <f>'Hardware COGS'!G16</f>
        <v/>
      </c>
      <c r="H20" s="4">
        <f>'Hardware COGS'!H16</f>
        <v/>
      </c>
      <c r="I20" s="4">
        <f>'Hardware COGS'!I16</f>
        <v/>
      </c>
      <c r="J20" s="4">
        <f>'Hardware COGS'!J16</f>
        <v/>
      </c>
      <c r="K20" s="4">
        <f>'Hardware COGS'!K16</f>
        <v/>
      </c>
      <c r="L20" s="4">
        <f>'Hardware COGS'!L16</f>
        <v/>
      </c>
      <c r="M20" s="4">
        <f>'Hardware COGS'!M16</f>
        <v/>
      </c>
      <c r="N20" s="4">
        <f>'Hardware COGS'!N16</f>
        <v/>
      </c>
      <c r="O20" s="4">
        <f>'Hardware COGS'!O16</f>
        <v/>
      </c>
      <c r="P20" s="4">
        <f>'Hardware COGS'!P16</f>
        <v/>
      </c>
      <c r="Q20" s="4">
        <f>'Hardware COGS'!Q16</f>
        <v/>
      </c>
      <c r="R20" s="4">
        <f>'Hardware COGS'!R16</f>
        <v/>
      </c>
      <c r="S20" s="4">
        <f>'Hardware COGS'!S16</f>
        <v/>
      </c>
      <c r="T20" s="4">
        <f>'Hardware COGS'!T16</f>
        <v/>
      </c>
      <c r="U20" s="4">
        <f>'Hardware COGS'!U16</f>
        <v/>
      </c>
      <c r="V20" s="4">
        <f>'Hardware COGS'!V16</f>
        <v/>
      </c>
      <c r="W20" s="4">
        <f>'Hardware COGS'!W16</f>
        <v/>
      </c>
      <c r="X20" s="4">
        <f>'Hardware COGS'!X16</f>
        <v/>
      </c>
      <c r="Y20" s="4">
        <f>'Hardware COGS'!Y16</f>
        <v/>
      </c>
      <c r="Z20" s="4">
        <f>'Hardware COGS'!Z16</f>
        <v/>
      </c>
      <c r="AA20" s="4">
        <f>'Hardware COGS'!AA16</f>
        <v/>
      </c>
      <c r="AB20" s="4">
        <f>'Hardware COGS'!AB16</f>
        <v/>
      </c>
      <c r="AC20" s="4">
        <f>'Hardware COGS'!AC16</f>
        <v/>
      </c>
      <c r="AD20" s="4">
        <f>'Hardware COGS'!AD16</f>
        <v/>
      </c>
      <c r="AE20" s="4">
        <f>'Hardware COGS'!AE16</f>
        <v/>
      </c>
      <c r="AG20" s="4">
        <f>SUMIF($C$3:$AE$3,AG$3,$C20:$AE20)</f>
        <v/>
      </c>
      <c r="AH20" s="4">
        <f>SUMIF($C$3:$AE$3,AH$3,$C20:$AE20)</f>
        <v/>
      </c>
      <c r="AI20" s="4">
        <f>SUMIF($C$3:$AE$3,AI$3,$C20:$AE20)</f>
        <v/>
      </c>
      <c r="AJ20" s="4">
        <f>SUMIF($C$3:$AE$3,AJ$3,$C20:$AE20)</f>
        <v/>
      </c>
      <c r="AK20" s="4">
        <f>SUMIF($C$3:$AE$3,AK$3,$C20:$AE20)</f>
        <v/>
      </c>
      <c r="AL20" s="4">
        <f>SUMIF($C$3:$AE$3,AL$3,$C20:$AE20)</f>
        <v/>
      </c>
    </row>
    <row r="21">
      <c r="A21" t="inlineStr">
        <is>
          <t>Cloud / AI / data COGS</t>
        </is>
      </c>
      <c r="B21" s="2" t="inlineStr"/>
      <c r="C21" s="4">
        <f>'Cloud &amp; AI COGS'!C18</f>
        <v/>
      </c>
      <c r="D21" s="4">
        <f>'Cloud &amp; AI COGS'!D18</f>
        <v/>
      </c>
      <c r="E21" s="4">
        <f>'Cloud &amp; AI COGS'!E18</f>
        <v/>
      </c>
      <c r="F21" s="4">
        <f>'Cloud &amp; AI COGS'!F18</f>
        <v/>
      </c>
      <c r="G21" s="4">
        <f>'Cloud &amp; AI COGS'!G18</f>
        <v/>
      </c>
      <c r="H21" s="4">
        <f>'Cloud &amp; AI COGS'!H18</f>
        <v/>
      </c>
      <c r="I21" s="4">
        <f>'Cloud &amp; AI COGS'!I18</f>
        <v/>
      </c>
      <c r="J21" s="4">
        <f>'Cloud &amp; AI COGS'!J18</f>
        <v/>
      </c>
      <c r="K21" s="4">
        <f>'Cloud &amp; AI COGS'!K18</f>
        <v/>
      </c>
      <c r="L21" s="4">
        <f>'Cloud &amp; AI COGS'!L18</f>
        <v/>
      </c>
      <c r="M21" s="4">
        <f>'Cloud &amp; AI COGS'!M18</f>
        <v/>
      </c>
      <c r="N21" s="4">
        <f>'Cloud &amp; AI COGS'!N18</f>
        <v/>
      </c>
      <c r="O21" s="4">
        <f>'Cloud &amp; AI COGS'!O18</f>
        <v/>
      </c>
      <c r="P21" s="4">
        <f>'Cloud &amp; AI COGS'!P18</f>
        <v/>
      </c>
      <c r="Q21" s="4">
        <f>'Cloud &amp; AI COGS'!Q18</f>
        <v/>
      </c>
      <c r="R21" s="4">
        <f>'Cloud &amp; AI COGS'!R18</f>
        <v/>
      </c>
      <c r="S21" s="4">
        <f>'Cloud &amp; AI COGS'!S18</f>
        <v/>
      </c>
      <c r="T21" s="4">
        <f>'Cloud &amp; AI COGS'!T18</f>
        <v/>
      </c>
      <c r="U21" s="4">
        <f>'Cloud &amp; AI COGS'!U18</f>
        <v/>
      </c>
      <c r="V21" s="4">
        <f>'Cloud &amp; AI COGS'!V18</f>
        <v/>
      </c>
      <c r="W21" s="4">
        <f>'Cloud &amp; AI COGS'!W18</f>
        <v/>
      </c>
      <c r="X21" s="4">
        <f>'Cloud &amp; AI COGS'!X18</f>
        <v/>
      </c>
      <c r="Y21" s="4">
        <f>'Cloud &amp; AI COGS'!Y18</f>
        <v/>
      </c>
      <c r="Z21" s="4">
        <f>'Cloud &amp; AI COGS'!Z18</f>
        <v/>
      </c>
      <c r="AA21" s="4">
        <f>'Cloud &amp; AI COGS'!AA18</f>
        <v/>
      </c>
      <c r="AB21" s="4">
        <f>'Cloud &amp; AI COGS'!AB18</f>
        <v/>
      </c>
      <c r="AC21" s="4">
        <f>'Cloud &amp; AI COGS'!AC18</f>
        <v/>
      </c>
      <c r="AD21" s="4">
        <f>'Cloud &amp; AI COGS'!AD18</f>
        <v/>
      </c>
      <c r="AE21" s="4">
        <f>'Cloud &amp; AI COGS'!AE18</f>
        <v/>
      </c>
      <c r="AG21" s="4">
        <f>SUMIF($C$3:$AE$3,AG$3,$C21:$AE21)</f>
        <v/>
      </c>
      <c r="AH21" s="4">
        <f>SUMIF($C$3:$AE$3,AH$3,$C21:$AE21)</f>
        <v/>
      </c>
      <c r="AI21" s="4">
        <f>SUMIF($C$3:$AE$3,AI$3,$C21:$AE21)</f>
        <v/>
      </c>
      <c r="AJ21" s="4">
        <f>SUMIF($C$3:$AE$3,AJ$3,$C21:$AE21)</f>
        <v/>
      </c>
      <c r="AK21" s="4">
        <f>SUMIF($C$3:$AE$3,AK$3,$C21:$AE21)</f>
        <v/>
      </c>
      <c r="AL21" s="4">
        <f>SUMIF($C$3:$AE$3,AL$3,$C21:$AE21)</f>
        <v/>
      </c>
    </row>
    <row r="22">
      <c r="A22" s="13" t="inlineStr">
        <is>
          <t>TOTAL COST OF REVENUE</t>
        </is>
      </c>
      <c r="B22" s="2" t="inlineStr"/>
      <c r="C22" s="24">
        <f>'P&amp;L'!C19+'P&amp;L'!C20+'P&amp;L'!C21</f>
        <v/>
      </c>
      <c r="D22" s="24">
        <f>'P&amp;L'!D19+'P&amp;L'!D20+'P&amp;L'!D21</f>
        <v/>
      </c>
      <c r="E22" s="24">
        <f>'P&amp;L'!E19+'P&amp;L'!E20+'P&amp;L'!E21</f>
        <v/>
      </c>
      <c r="F22" s="24">
        <f>'P&amp;L'!F19+'P&amp;L'!F20+'P&amp;L'!F21</f>
        <v/>
      </c>
      <c r="G22" s="24">
        <f>'P&amp;L'!G19+'P&amp;L'!G20+'P&amp;L'!G21</f>
        <v/>
      </c>
      <c r="H22" s="24">
        <f>'P&amp;L'!H19+'P&amp;L'!H20+'P&amp;L'!H21</f>
        <v/>
      </c>
      <c r="I22" s="24">
        <f>'P&amp;L'!I19+'P&amp;L'!I20+'P&amp;L'!I21</f>
        <v/>
      </c>
      <c r="J22" s="24">
        <f>'P&amp;L'!J19+'P&amp;L'!J20+'P&amp;L'!J21</f>
        <v/>
      </c>
      <c r="K22" s="24">
        <f>'P&amp;L'!K19+'P&amp;L'!K20+'P&amp;L'!K21</f>
        <v/>
      </c>
      <c r="L22" s="24">
        <f>'P&amp;L'!L19+'P&amp;L'!L20+'P&amp;L'!L21</f>
        <v/>
      </c>
      <c r="M22" s="24">
        <f>'P&amp;L'!M19+'P&amp;L'!M20+'P&amp;L'!M21</f>
        <v/>
      </c>
      <c r="N22" s="24">
        <f>'P&amp;L'!N19+'P&amp;L'!N20+'P&amp;L'!N21</f>
        <v/>
      </c>
      <c r="O22" s="24">
        <f>'P&amp;L'!O19+'P&amp;L'!O20+'P&amp;L'!O21</f>
        <v/>
      </c>
      <c r="P22" s="24">
        <f>'P&amp;L'!P19+'P&amp;L'!P20+'P&amp;L'!P21</f>
        <v/>
      </c>
      <c r="Q22" s="24">
        <f>'P&amp;L'!Q19+'P&amp;L'!Q20+'P&amp;L'!Q21</f>
        <v/>
      </c>
      <c r="R22" s="24">
        <f>'P&amp;L'!R19+'P&amp;L'!R20+'P&amp;L'!R21</f>
        <v/>
      </c>
      <c r="S22" s="24">
        <f>'P&amp;L'!S19+'P&amp;L'!S20+'P&amp;L'!S21</f>
        <v/>
      </c>
      <c r="T22" s="24">
        <f>'P&amp;L'!T19+'P&amp;L'!T20+'P&amp;L'!T21</f>
        <v/>
      </c>
      <c r="U22" s="24">
        <f>'P&amp;L'!U19+'P&amp;L'!U20+'P&amp;L'!U21</f>
        <v/>
      </c>
      <c r="V22" s="24">
        <f>'P&amp;L'!V19+'P&amp;L'!V20+'P&amp;L'!V21</f>
        <v/>
      </c>
      <c r="W22" s="24">
        <f>'P&amp;L'!W19+'P&amp;L'!W20+'P&amp;L'!W21</f>
        <v/>
      </c>
      <c r="X22" s="24">
        <f>'P&amp;L'!X19+'P&amp;L'!X20+'P&amp;L'!X21</f>
        <v/>
      </c>
      <c r="Y22" s="24">
        <f>'P&amp;L'!Y19+'P&amp;L'!Y20+'P&amp;L'!Y21</f>
        <v/>
      </c>
      <c r="Z22" s="24">
        <f>'P&amp;L'!Z19+'P&amp;L'!Z20+'P&amp;L'!Z21</f>
        <v/>
      </c>
      <c r="AA22" s="24">
        <f>'P&amp;L'!AA19+'P&amp;L'!AA20+'P&amp;L'!AA21</f>
        <v/>
      </c>
      <c r="AB22" s="24">
        <f>'P&amp;L'!AB19+'P&amp;L'!AB20+'P&amp;L'!AB21</f>
        <v/>
      </c>
      <c r="AC22" s="24">
        <f>'P&amp;L'!AC19+'P&amp;L'!AC20+'P&amp;L'!AC21</f>
        <v/>
      </c>
      <c r="AD22" s="24">
        <f>'P&amp;L'!AD19+'P&amp;L'!AD20+'P&amp;L'!AD21</f>
        <v/>
      </c>
      <c r="AE22" s="24">
        <f>'P&amp;L'!AE19+'P&amp;L'!AE20+'P&amp;L'!AE21</f>
        <v/>
      </c>
      <c r="AG22" s="24">
        <f>SUMIF($C$3:$AE$3,AG$3,$C22:$AE22)</f>
        <v/>
      </c>
      <c r="AH22" s="24">
        <f>SUMIF($C$3:$AE$3,AH$3,$C22:$AE22)</f>
        <v/>
      </c>
      <c r="AI22" s="24">
        <f>SUMIF($C$3:$AE$3,AI$3,$C22:$AE22)</f>
        <v/>
      </c>
      <c r="AJ22" s="24">
        <f>SUMIF($C$3:$AE$3,AJ$3,$C22:$AE22)</f>
        <v/>
      </c>
      <c r="AK22" s="24">
        <f>SUMIF($C$3:$AE$3,AK$3,$C22:$AE22)</f>
        <v/>
      </c>
      <c r="AL22" s="24">
        <f>SUMIF($C$3:$AE$3,AL$3,$C22:$AE22)</f>
        <v/>
      </c>
    </row>
    <row r="23">
      <c r="A23" s="13" t="inlineStr">
        <is>
          <t>GROSS PROFIT</t>
        </is>
      </c>
      <c r="B23" s="2" t="inlineStr"/>
      <c r="C23" s="24">
        <f>'P&amp;L'!C16-'P&amp;L'!C22</f>
        <v/>
      </c>
      <c r="D23" s="24">
        <f>'P&amp;L'!D16-'P&amp;L'!D22</f>
        <v/>
      </c>
      <c r="E23" s="24">
        <f>'P&amp;L'!E16-'P&amp;L'!E22</f>
        <v/>
      </c>
      <c r="F23" s="24">
        <f>'P&amp;L'!F16-'P&amp;L'!F22</f>
        <v/>
      </c>
      <c r="G23" s="24">
        <f>'P&amp;L'!G16-'P&amp;L'!G22</f>
        <v/>
      </c>
      <c r="H23" s="24">
        <f>'P&amp;L'!H16-'P&amp;L'!H22</f>
        <v/>
      </c>
      <c r="I23" s="24">
        <f>'P&amp;L'!I16-'P&amp;L'!I22</f>
        <v/>
      </c>
      <c r="J23" s="24">
        <f>'P&amp;L'!J16-'P&amp;L'!J22</f>
        <v/>
      </c>
      <c r="K23" s="24">
        <f>'P&amp;L'!K16-'P&amp;L'!K22</f>
        <v/>
      </c>
      <c r="L23" s="24">
        <f>'P&amp;L'!L16-'P&amp;L'!L22</f>
        <v/>
      </c>
      <c r="M23" s="24">
        <f>'P&amp;L'!M16-'P&amp;L'!M22</f>
        <v/>
      </c>
      <c r="N23" s="24">
        <f>'P&amp;L'!N16-'P&amp;L'!N22</f>
        <v/>
      </c>
      <c r="O23" s="24">
        <f>'P&amp;L'!O16-'P&amp;L'!O22</f>
        <v/>
      </c>
      <c r="P23" s="24">
        <f>'P&amp;L'!P16-'P&amp;L'!P22</f>
        <v/>
      </c>
      <c r="Q23" s="24">
        <f>'P&amp;L'!Q16-'P&amp;L'!Q22</f>
        <v/>
      </c>
      <c r="R23" s="24">
        <f>'P&amp;L'!R16-'P&amp;L'!R22</f>
        <v/>
      </c>
      <c r="S23" s="24">
        <f>'P&amp;L'!S16-'P&amp;L'!S22</f>
        <v/>
      </c>
      <c r="T23" s="24">
        <f>'P&amp;L'!T16-'P&amp;L'!T22</f>
        <v/>
      </c>
      <c r="U23" s="24">
        <f>'P&amp;L'!U16-'P&amp;L'!U22</f>
        <v/>
      </c>
      <c r="V23" s="24">
        <f>'P&amp;L'!V16-'P&amp;L'!V22</f>
        <v/>
      </c>
      <c r="W23" s="24">
        <f>'P&amp;L'!W16-'P&amp;L'!W22</f>
        <v/>
      </c>
      <c r="X23" s="24">
        <f>'P&amp;L'!X16-'P&amp;L'!X22</f>
        <v/>
      </c>
      <c r="Y23" s="24">
        <f>'P&amp;L'!Y16-'P&amp;L'!Y22</f>
        <v/>
      </c>
      <c r="Z23" s="24">
        <f>'P&amp;L'!Z16-'P&amp;L'!Z22</f>
        <v/>
      </c>
      <c r="AA23" s="24">
        <f>'P&amp;L'!AA16-'P&amp;L'!AA22</f>
        <v/>
      </c>
      <c r="AB23" s="24">
        <f>'P&amp;L'!AB16-'P&amp;L'!AB22</f>
        <v/>
      </c>
      <c r="AC23" s="24">
        <f>'P&amp;L'!AC16-'P&amp;L'!AC22</f>
        <v/>
      </c>
      <c r="AD23" s="24">
        <f>'P&amp;L'!AD16-'P&amp;L'!AD22</f>
        <v/>
      </c>
      <c r="AE23" s="24">
        <f>'P&amp;L'!AE16-'P&amp;L'!AE22</f>
        <v/>
      </c>
      <c r="AG23" s="24">
        <f>SUMIF($C$3:$AE$3,AG$3,$C23:$AE23)</f>
        <v/>
      </c>
      <c r="AH23" s="24">
        <f>SUMIF($C$3:$AE$3,AH$3,$C23:$AE23)</f>
        <v/>
      </c>
      <c r="AI23" s="24">
        <f>SUMIF($C$3:$AE$3,AI$3,$C23:$AE23)</f>
        <v/>
      </c>
      <c r="AJ23" s="24">
        <f>SUMIF($C$3:$AE$3,AJ$3,$C23:$AE23)</f>
        <v/>
      </c>
      <c r="AK23" s="24">
        <f>SUMIF($C$3:$AE$3,AK$3,$C23:$AE23)</f>
        <v/>
      </c>
      <c r="AL23" s="24">
        <f>SUMIF($C$3:$AE$3,AL$3,$C23:$AE23)</f>
        <v/>
      </c>
    </row>
    <row r="24">
      <c r="A24" t="inlineStr">
        <is>
          <t>Gross margin %</t>
        </is>
      </c>
      <c r="B24" s="2" t="inlineStr">
        <is>
          <t>%</t>
        </is>
      </c>
      <c r="C24" s="5">
        <f>IF('P&amp;L'!C16&lt;&gt;0,'P&amp;L'!C23/'P&amp;L'!C16,0)</f>
        <v/>
      </c>
      <c r="D24" s="5">
        <f>IF('P&amp;L'!D16&lt;&gt;0,'P&amp;L'!D23/'P&amp;L'!D16,0)</f>
        <v/>
      </c>
      <c r="E24" s="5">
        <f>IF('P&amp;L'!E16&lt;&gt;0,'P&amp;L'!E23/'P&amp;L'!E16,0)</f>
        <v/>
      </c>
      <c r="F24" s="5">
        <f>IF('P&amp;L'!F16&lt;&gt;0,'P&amp;L'!F23/'P&amp;L'!F16,0)</f>
        <v/>
      </c>
      <c r="G24" s="5">
        <f>IF('P&amp;L'!G16&lt;&gt;0,'P&amp;L'!G23/'P&amp;L'!G16,0)</f>
        <v/>
      </c>
      <c r="H24" s="5">
        <f>IF('P&amp;L'!H16&lt;&gt;0,'P&amp;L'!H23/'P&amp;L'!H16,0)</f>
        <v/>
      </c>
      <c r="I24" s="5">
        <f>IF('P&amp;L'!I16&lt;&gt;0,'P&amp;L'!I23/'P&amp;L'!I16,0)</f>
        <v/>
      </c>
      <c r="J24" s="5">
        <f>IF('P&amp;L'!J16&lt;&gt;0,'P&amp;L'!J23/'P&amp;L'!J16,0)</f>
        <v/>
      </c>
      <c r="K24" s="5">
        <f>IF('P&amp;L'!K16&lt;&gt;0,'P&amp;L'!K23/'P&amp;L'!K16,0)</f>
        <v/>
      </c>
      <c r="L24" s="5">
        <f>IF('P&amp;L'!L16&lt;&gt;0,'P&amp;L'!L23/'P&amp;L'!L16,0)</f>
        <v/>
      </c>
      <c r="M24" s="5">
        <f>IF('P&amp;L'!M16&lt;&gt;0,'P&amp;L'!M23/'P&amp;L'!M16,0)</f>
        <v/>
      </c>
      <c r="N24" s="5">
        <f>IF('P&amp;L'!N16&lt;&gt;0,'P&amp;L'!N23/'P&amp;L'!N16,0)</f>
        <v/>
      </c>
      <c r="O24" s="5">
        <f>IF('P&amp;L'!O16&lt;&gt;0,'P&amp;L'!O23/'P&amp;L'!O16,0)</f>
        <v/>
      </c>
      <c r="P24" s="5">
        <f>IF('P&amp;L'!P16&lt;&gt;0,'P&amp;L'!P23/'P&amp;L'!P16,0)</f>
        <v/>
      </c>
      <c r="Q24" s="5">
        <f>IF('P&amp;L'!Q16&lt;&gt;0,'P&amp;L'!Q23/'P&amp;L'!Q16,0)</f>
        <v/>
      </c>
      <c r="R24" s="5">
        <f>IF('P&amp;L'!R16&lt;&gt;0,'P&amp;L'!R23/'P&amp;L'!R16,0)</f>
        <v/>
      </c>
      <c r="S24" s="5">
        <f>IF('P&amp;L'!S16&lt;&gt;0,'P&amp;L'!S23/'P&amp;L'!S16,0)</f>
        <v/>
      </c>
      <c r="T24" s="5">
        <f>IF('P&amp;L'!T16&lt;&gt;0,'P&amp;L'!T23/'P&amp;L'!T16,0)</f>
        <v/>
      </c>
      <c r="U24" s="5">
        <f>IF('P&amp;L'!U16&lt;&gt;0,'P&amp;L'!U23/'P&amp;L'!U16,0)</f>
        <v/>
      </c>
      <c r="V24" s="5">
        <f>IF('P&amp;L'!V16&lt;&gt;0,'P&amp;L'!V23/'P&amp;L'!V16,0)</f>
        <v/>
      </c>
      <c r="W24" s="5">
        <f>IF('P&amp;L'!W16&lt;&gt;0,'P&amp;L'!W23/'P&amp;L'!W16,0)</f>
        <v/>
      </c>
      <c r="X24" s="5">
        <f>IF('P&amp;L'!X16&lt;&gt;0,'P&amp;L'!X23/'P&amp;L'!X16,0)</f>
        <v/>
      </c>
      <c r="Y24" s="5">
        <f>IF('P&amp;L'!Y16&lt;&gt;0,'P&amp;L'!Y23/'P&amp;L'!Y16,0)</f>
        <v/>
      </c>
      <c r="Z24" s="5">
        <f>IF('P&amp;L'!Z16&lt;&gt;0,'P&amp;L'!Z23/'P&amp;L'!Z16,0)</f>
        <v/>
      </c>
      <c r="AA24" s="5">
        <f>IF('P&amp;L'!AA16&lt;&gt;0,'P&amp;L'!AA23/'P&amp;L'!AA16,0)</f>
        <v/>
      </c>
      <c r="AB24" s="5">
        <f>IF('P&amp;L'!AB16&lt;&gt;0,'P&amp;L'!AB23/'P&amp;L'!AB16,0)</f>
        <v/>
      </c>
      <c r="AC24" s="5">
        <f>IF('P&amp;L'!AC16&lt;&gt;0,'P&amp;L'!AC23/'P&amp;L'!AC16,0)</f>
        <v/>
      </c>
      <c r="AD24" s="5">
        <f>IF('P&amp;L'!AD16&lt;&gt;0,'P&amp;L'!AD23/'P&amp;L'!AD16,0)</f>
        <v/>
      </c>
      <c r="AE24" s="5">
        <f>IF('P&amp;L'!AE16&lt;&gt;0,'P&amp;L'!AE23/'P&amp;L'!AE16,0)</f>
        <v/>
      </c>
      <c r="AG24" s="5">
        <f>IF(AG16&lt;&gt;0,AG23/AG16,0)</f>
        <v/>
      </c>
      <c r="AH24" s="5">
        <f>IF(AH16&lt;&gt;0,AH23/AH16,0)</f>
        <v/>
      </c>
      <c r="AI24" s="5">
        <f>IF(AI16&lt;&gt;0,AI23/AI16,0)</f>
        <v/>
      </c>
      <c r="AJ24" s="5">
        <f>IF(AJ16&lt;&gt;0,AJ23/AJ16,0)</f>
        <v/>
      </c>
      <c r="AK24" s="5">
        <f>IF(AK16&lt;&gt;0,AK23/AK16,0)</f>
        <v/>
      </c>
      <c r="AL24" s="5">
        <f>IF(AL16&lt;&gt;0,AL23/AL16,0)</f>
        <v/>
      </c>
    </row>
    <row r="26">
      <c r="A26" s="8" t="inlineStr">
        <is>
          <t>Operating expenses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t="inlineStr">
        <is>
          <t>Research &amp; development (incl. NRE)</t>
        </is>
      </c>
      <c r="B27" s="2" t="inlineStr"/>
      <c r="C27" s="4">
        <f>'OpEx'!C17</f>
        <v/>
      </c>
      <c r="D27" s="4">
        <f>'OpEx'!D17</f>
        <v/>
      </c>
      <c r="E27" s="4">
        <f>'OpEx'!E17</f>
        <v/>
      </c>
      <c r="F27" s="4">
        <f>'OpEx'!F17</f>
        <v/>
      </c>
      <c r="G27" s="4">
        <f>'OpEx'!G17</f>
        <v/>
      </c>
      <c r="H27" s="4">
        <f>'OpEx'!H17</f>
        <v/>
      </c>
      <c r="I27" s="4">
        <f>'OpEx'!I17</f>
        <v/>
      </c>
      <c r="J27" s="4">
        <f>'OpEx'!J17</f>
        <v/>
      </c>
      <c r="K27" s="4">
        <f>'OpEx'!K17</f>
        <v/>
      </c>
      <c r="L27" s="4">
        <f>'OpEx'!L17</f>
        <v/>
      </c>
      <c r="M27" s="4">
        <f>'OpEx'!M17</f>
        <v/>
      </c>
      <c r="N27" s="4">
        <f>'OpEx'!N17</f>
        <v/>
      </c>
      <c r="O27" s="4">
        <f>'OpEx'!O17</f>
        <v/>
      </c>
      <c r="P27" s="4">
        <f>'OpEx'!P17</f>
        <v/>
      </c>
      <c r="Q27" s="4">
        <f>'OpEx'!Q17</f>
        <v/>
      </c>
      <c r="R27" s="4">
        <f>'OpEx'!R17</f>
        <v/>
      </c>
      <c r="S27" s="4">
        <f>'OpEx'!S17</f>
        <v/>
      </c>
      <c r="T27" s="4">
        <f>'OpEx'!T17</f>
        <v/>
      </c>
      <c r="U27" s="4">
        <f>'OpEx'!U17</f>
        <v/>
      </c>
      <c r="V27" s="4">
        <f>'OpEx'!V17</f>
        <v/>
      </c>
      <c r="W27" s="4">
        <f>'OpEx'!W17</f>
        <v/>
      </c>
      <c r="X27" s="4">
        <f>'OpEx'!X17</f>
        <v/>
      </c>
      <c r="Y27" s="4">
        <f>'OpEx'!Y17</f>
        <v/>
      </c>
      <c r="Z27" s="4">
        <f>'OpEx'!Z17</f>
        <v/>
      </c>
      <c r="AA27" s="4">
        <f>'OpEx'!AA17</f>
        <v/>
      </c>
      <c r="AB27" s="4">
        <f>'OpEx'!AB17</f>
        <v/>
      </c>
      <c r="AC27" s="4">
        <f>'OpEx'!AC17</f>
        <v/>
      </c>
      <c r="AD27" s="4">
        <f>'OpEx'!AD17</f>
        <v/>
      </c>
      <c r="AE27" s="4">
        <f>'OpEx'!AE17</f>
        <v/>
      </c>
      <c r="AG27" s="4">
        <f>SUMIF($C$3:$AE$3,AG$3,$C27:$AE27)</f>
        <v/>
      </c>
      <c r="AH27" s="4">
        <f>SUMIF($C$3:$AE$3,AH$3,$C27:$AE27)</f>
        <v/>
      </c>
      <c r="AI27" s="4">
        <f>SUMIF($C$3:$AE$3,AI$3,$C27:$AE27)</f>
        <v/>
      </c>
      <c r="AJ27" s="4">
        <f>SUMIF($C$3:$AE$3,AJ$3,$C27:$AE27)</f>
        <v/>
      </c>
      <c r="AK27" s="4">
        <f>SUMIF($C$3:$AE$3,AK$3,$C27:$AE27)</f>
        <v/>
      </c>
      <c r="AL27" s="4">
        <f>SUMIF($C$3:$AE$3,AL$3,$C27:$AE27)</f>
        <v/>
      </c>
    </row>
    <row r="28">
      <c r="A28" t="inlineStr">
        <is>
          <t>Sales &amp; marketing</t>
        </is>
      </c>
      <c r="B28" s="2" t="inlineStr"/>
      <c r="C28" s="4">
        <f>'OpEx'!C26</f>
        <v/>
      </c>
      <c r="D28" s="4">
        <f>'OpEx'!D26</f>
        <v/>
      </c>
      <c r="E28" s="4">
        <f>'OpEx'!E26</f>
        <v/>
      </c>
      <c r="F28" s="4">
        <f>'OpEx'!F26</f>
        <v/>
      </c>
      <c r="G28" s="4">
        <f>'OpEx'!G26</f>
        <v/>
      </c>
      <c r="H28" s="4">
        <f>'OpEx'!H26</f>
        <v/>
      </c>
      <c r="I28" s="4">
        <f>'OpEx'!I26</f>
        <v/>
      </c>
      <c r="J28" s="4">
        <f>'OpEx'!J26</f>
        <v/>
      </c>
      <c r="K28" s="4">
        <f>'OpEx'!K26</f>
        <v/>
      </c>
      <c r="L28" s="4">
        <f>'OpEx'!L26</f>
        <v/>
      </c>
      <c r="M28" s="4">
        <f>'OpEx'!M26</f>
        <v/>
      </c>
      <c r="N28" s="4">
        <f>'OpEx'!N26</f>
        <v/>
      </c>
      <c r="O28" s="4">
        <f>'OpEx'!O26</f>
        <v/>
      </c>
      <c r="P28" s="4">
        <f>'OpEx'!P26</f>
        <v/>
      </c>
      <c r="Q28" s="4">
        <f>'OpEx'!Q26</f>
        <v/>
      </c>
      <c r="R28" s="4">
        <f>'OpEx'!R26</f>
        <v/>
      </c>
      <c r="S28" s="4">
        <f>'OpEx'!S26</f>
        <v/>
      </c>
      <c r="T28" s="4">
        <f>'OpEx'!T26</f>
        <v/>
      </c>
      <c r="U28" s="4">
        <f>'OpEx'!U26</f>
        <v/>
      </c>
      <c r="V28" s="4">
        <f>'OpEx'!V26</f>
        <v/>
      </c>
      <c r="W28" s="4">
        <f>'OpEx'!W26</f>
        <v/>
      </c>
      <c r="X28" s="4">
        <f>'OpEx'!X26</f>
        <v/>
      </c>
      <c r="Y28" s="4">
        <f>'OpEx'!Y26</f>
        <v/>
      </c>
      <c r="Z28" s="4">
        <f>'OpEx'!Z26</f>
        <v/>
      </c>
      <c r="AA28" s="4">
        <f>'OpEx'!AA26</f>
        <v/>
      </c>
      <c r="AB28" s="4">
        <f>'OpEx'!AB26</f>
        <v/>
      </c>
      <c r="AC28" s="4">
        <f>'OpEx'!AC26</f>
        <v/>
      </c>
      <c r="AD28" s="4">
        <f>'OpEx'!AD26</f>
        <v/>
      </c>
      <c r="AE28" s="4">
        <f>'OpEx'!AE26</f>
        <v/>
      </c>
      <c r="AG28" s="4">
        <f>SUMIF($C$3:$AE$3,AG$3,$C28:$AE28)</f>
        <v/>
      </c>
      <c r="AH28" s="4">
        <f>SUMIF($C$3:$AE$3,AH$3,$C28:$AE28)</f>
        <v/>
      </c>
      <c r="AI28" s="4">
        <f>SUMIF($C$3:$AE$3,AI$3,$C28:$AE28)</f>
        <v/>
      </c>
      <c r="AJ28" s="4">
        <f>SUMIF($C$3:$AE$3,AJ$3,$C28:$AE28)</f>
        <v/>
      </c>
      <c r="AK28" s="4">
        <f>SUMIF($C$3:$AE$3,AK$3,$C28:$AE28)</f>
        <v/>
      </c>
      <c r="AL28" s="4">
        <f>SUMIF($C$3:$AE$3,AL$3,$C28:$AE28)</f>
        <v/>
      </c>
    </row>
    <row r="29">
      <c r="A29" t="inlineStr">
        <is>
          <t>Operations &amp; customer support</t>
        </is>
      </c>
      <c r="B29" s="2" t="inlineStr"/>
      <c r="C29" s="4">
        <f>'OpEx'!C29</f>
        <v/>
      </c>
      <c r="D29" s="4">
        <f>'OpEx'!D29</f>
        <v/>
      </c>
      <c r="E29" s="4">
        <f>'OpEx'!E29</f>
        <v/>
      </c>
      <c r="F29" s="4">
        <f>'OpEx'!F29</f>
        <v/>
      </c>
      <c r="G29" s="4">
        <f>'OpEx'!G29</f>
        <v/>
      </c>
      <c r="H29" s="4">
        <f>'OpEx'!H29</f>
        <v/>
      </c>
      <c r="I29" s="4">
        <f>'OpEx'!I29</f>
        <v/>
      </c>
      <c r="J29" s="4">
        <f>'OpEx'!J29</f>
        <v/>
      </c>
      <c r="K29" s="4">
        <f>'OpEx'!K29</f>
        <v/>
      </c>
      <c r="L29" s="4">
        <f>'OpEx'!L29</f>
        <v/>
      </c>
      <c r="M29" s="4">
        <f>'OpEx'!M29</f>
        <v/>
      </c>
      <c r="N29" s="4">
        <f>'OpEx'!N29</f>
        <v/>
      </c>
      <c r="O29" s="4">
        <f>'OpEx'!O29</f>
        <v/>
      </c>
      <c r="P29" s="4">
        <f>'OpEx'!P29</f>
        <v/>
      </c>
      <c r="Q29" s="4">
        <f>'OpEx'!Q29</f>
        <v/>
      </c>
      <c r="R29" s="4">
        <f>'OpEx'!R29</f>
        <v/>
      </c>
      <c r="S29" s="4">
        <f>'OpEx'!S29</f>
        <v/>
      </c>
      <c r="T29" s="4">
        <f>'OpEx'!T29</f>
        <v/>
      </c>
      <c r="U29" s="4">
        <f>'OpEx'!U29</f>
        <v/>
      </c>
      <c r="V29" s="4">
        <f>'OpEx'!V29</f>
        <v/>
      </c>
      <c r="W29" s="4">
        <f>'OpEx'!W29</f>
        <v/>
      </c>
      <c r="X29" s="4">
        <f>'OpEx'!X29</f>
        <v/>
      </c>
      <c r="Y29" s="4">
        <f>'OpEx'!Y29</f>
        <v/>
      </c>
      <c r="Z29" s="4">
        <f>'OpEx'!Z29</f>
        <v/>
      </c>
      <c r="AA29" s="4">
        <f>'OpEx'!AA29</f>
        <v/>
      </c>
      <c r="AB29" s="4">
        <f>'OpEx'!AB29</f>
        <v/>
      </c>
      <c r="AC29" s="4">
        <f>'OpEx'!AC29</f>
        <v/>
      </c>
      <c r="AD29" s="4">
        <f>'OpEx'!AD29</f>
        <v/>
      </c>
      <c r="AE29" s="4">
        <f>'OpEx'!AE29</f>
        <v/>
      </c>
      <c r="AG29" s="4">
        <f>SUMIF($C$3:$AE$3,AG$3,$C29:$AE29)</f>
        <v/>
      </c>
      <c r="AH29" s="4">
        <f>SUMIF($C$3:$AE$3,AH$3,$C29:$AE29)</f>
        <v/>
      </c>
      <c r="AI29" s="4">
        <f>SUMIF($C$3:$AE$3,AI$3,$C29:$AE29)</f>
        <v/>
      </c>
      <c r="AJ29" s="4">
        <f>SUMIF($C$3:$AE$3,AJ$3,$C29:$AE29)</f>
        <v/>
      </c>
      <c r="AK29" s="4">
        <f>SUMIF($C$3:$AE$3,AK$3,$C29:$AE29)</f>
        <v/>
      </c>
      <c r="AL29" s="4">
        <f>SUMIF($C$3:$AE$3,AL$3,$C29:$AE29)</f>
        <v/>
      </c>
    </row>
    <row r="30">
      <c r="A30" t="inlineStr">
        <is>
          <t>General &amp; administrative</t>
        </is>
      </c>
      <c r="B30" s="2" t="inlineStr"/>
      <c r="C30" s="4">
        <f>'OpEx'!C34</f>
        <v/>
      </c>
      <c r="D30" s="4">
        <f>'OpEx'!D34</f>
        <v/>
      </c>
      <c r="E30" s="4">
        <f>'OpEx'!E34</f>
        <v/>
      </c>
      <c r="F30" s="4">
        <f>'OpEx'!F34</f>
        <v/>
      </c>
      <c r="G30" s="4">
        <f>'OpEx'!G34</f>
        <v/>
      </c>
      <c r="H30" s="4">
        <f>'OpEx'!H34</f>
        <v/>
      </c>
      <c r="I30" s="4">
        <f>'OpEx'!I34</f>
        <v/>
      </c>
      <c r="J30" s="4">
        <f>'OpEx'!J34</f>
        <v/>
      </c>
      <c r="K30" s="4">
        <f>'OpEx'!K34</f>
        <v/>
      </c>
      <c r="L30" s="4">
        <f>'OpEx'!L34</f>
        <v/>
      </c>
      <c r="M30" s="4">
        <f>'OpEx'!M34</f>
        <v/>
      </c>
      <c r="N30" s="4">
        <f>'OpEx'!N34</f>
        <v/>
      </c>
      <c r="O30" s="4">
        <f>'OpEx'!O34</f>
        <v/>
      </c>
      <c r="P30" s="4">
        <f>'OpEx'!P34</f>
        <v/>
      </c>
      <c r="Q30" s="4">
        <f>'OpEx'!Q34</f>
        <v/>
      </c>
      <c r="R30" s="4">
        <f>'OpEx'!R34</f>
        <v/>
      </c>
      <c r="S30" s="4">
        <f>'OpEx'!S34</f>
        <v/>
      </c>
      <c r="T30" s="4">
        <f>'OpEx'!T34</f>
        <v/>
      </c>
      <c r="U30" s="4">
        <f>'OpEx'!U34</f>
        <v/>
      </c>
      <c r="V30" s="4">
        <f>'OpEx'!V34</f>
        <v/>
      </c>
      <c r="W30" s="4">
        <f>'OpEx'!W34</f>
        <v/>
      </c>
      <c r="X30" s="4">
        <f>'OpEx'!X34</f>
        <v/>
      </c>
      <c r="Y30" s="4">
        <f>'OpEx'!Y34</f>
        <v/>
      </c>
      <c r="Z30" s="4">
        <f>'OpEx'!Z34</f>
        <v/>
      </c>
      <c r="AA30" s="4">
        <f>'OpEx'!AA34</f>
        <v/>
      </c>
      <c r="AB30" s="4">
        <f>'OpEx'!AB34</f>
        <v/>
      </c>
      <c r="AC30" s="4">
        <f>'OpEx'!AC34</f>
        <v/>
      </c>
      <c r="AD30" s="4">
        <f>'OpEx'!AD34</f>
        <v/>
      </c>
      <c r="AE30" s="4">
        <f>'OpEx'!AE34</f>
        <v/>
      </c>
      <c r="AG30" s="4">
        <f>SUMIF($C$3:$AE$3,AG$3,$C30:$AE30)</f>
        <v/>
      </c>
      <c r="AH30" s="4">
        <f>SUMIF($C$3:$AE$3,AH$3,$C30:$AE30)</f>
        <v/>
      </c>
      <c r="AI30" s="4">
        <f>SUMIF($C$3:$AE$3,AI$3,$C30:$AE30)</f>
        <v/>
      </c>
      <c r="AJ30" s="4">
        <f>SUMIF($C$3:$AE$3,AJ$3,$C30:$AE30)</f>
        <v/>
      </c>
      <c r="AK30" s="4">
        <f>SUMIF($C$3:$AE$3,AK$3,$C30:$AE30)</f>
        <v/>
      </c>
      <c r="AL30" s="4">
        <f>SUMIF($C$3:$AE$3,AL$3,$C30:$AE30)</f>
        <v/>
      </c>
    </row>
    <row r="31">
      <c r="A31" s="13" t="inlineStr">
        <is>
          <t>TOTAL OPEX</t>
        </is>
      </c>
      <c r="B31" s="2" t="inlineStr"/>
      <c r="C31" s="24">
        <f>SUM(C27:C30)</f>
        <v/>
      </c>
      <c r="D31" s="24">
        <f>SUM(D27:D30)</f>
        <v/>
      </c>
      <c r="E31" s="24">
        <f>SUM(E27:E30)</f>
        <v/>
      </c>
      <c r="F31" s="24">
        <f>SUM(F27:F30)</f>
        <v/>
      </c>
      <c r="G31" s="24">
        <f>SUM(G27:G30)</f>
        <v/>
      </c>
      <c r="H31" s="24">
        <f>SUM(H27:H30)</f>
        <v/>
      </c>
      <c r="I31" s="24">
        <f>SUM(I27:I30)</f>
        <v/>
      </c>
      <c r="J31" s="24">
        <f>SUM(J27:J30)</f>
        <v/>
      </c>
      <c r="K31" s="24">
        <f>SUM(K27:K30)</f>
        <v/>
      </c>
      <c r="L31" s="24">
        <f>SUM(L27:L30)</f>
        <v/>
      </c>
      <c r="M31" s="24">
        <f>SUM(M27:M30)</f>
        <v/>
      </c>
      <c r="N31" s="24">
        <f>SUM(N27:N30)</f>
        <v/>
      </c>
      <c r="O31" s="24">
        <f>SUM(O27:O30)</f>
        <v/>
      </c>
      <c r="P31" s="24">
        <f>SUM(P27:P30)</f>
        <v/>
      </c>
      <c r="Q31" s="24">
        <f>SUM(Q27:Q30)</f>
        <v/>
      </c>
      <c r="R31" s="24">
        <f>SUM(R27:R30)</f>
        <v/>
      </c>
      <c r="S31" s="24">
        <f>SUM(S27:S30)</f>
        <v/>
      </c>
      <c r="T31" s="24">
        <f>SUM(T27:T30)</f>
        <v/>
      </c>
      <c r="U31" s="24">
        <f>SUM(U27:U30)</f>
        <v/>
      </c>
      <c r="V31" s="24">
        <f>SUM(V27:V30)</f>
        <v/>
      </c>
      <c r="W31" s="24">
        <f>SUM(W27:W30)</f>
        <v/>
      </c>
      <c r="X31" s="24">
        <f>SUM(X27:X30)</f>
        <v/>
      </c>
      <c r="Y31" s="24">
        <f>SUM(Y27:Y30)</f>
        <v/>
      </c>
      <c r="Z31" s="24">
        <f>SUM(Z27:Z30)</f>
        <v/>
      </c>
      <c r="AA31" s="24">
        <f>SUM(AA27:AA30)</f>
        <v/>
      </c>
      <c r="AB31" s="24">
        <f>SUM(AB27:AB30)</f>
        <v/>
      </c>
      <c r="AC31" s="24">
        <f>SUM(AC27:AC30)</f>
        <v/>
      </c>
      <c r="AD31" s="24">
        <f>SUM(AD27:AD30)</f>
        <v/>
      </c>
      <c r="AE31" s="24">
        <f>SUM(AE27:AE30)</f>
        <v/>
      </c>
      <c r="AG31" s="24">
        <f>SUMIF($C$3:$AE$3,AG$3,$C31:$AE31)</f>
        <v/>
      </c>
      <c r="AH31" s="24">
        <f>SUMIF($C$3:$AE$3,AH$3,$C31:$AE31)</f>
        <v/>
      </c>
      <c r="AI31" s="24">
        <f>SUMIF($C$3:$AE$3,AI$3,$C31:$AE31)</f>
        <v/>
      </c>
      <c r="AJ31" s="24">
        <f>SUMIF($C$3:$AE$3,AJ$3,$C31:$AE31)</f>
        <v/>
      </c>
      <c r="AK31" s="24">
        <f>SUMIF($C$3:$AE$3,AK$3,$C31:$AE31)</f>
        <v/>
      </c>
      <c r="AL31" s="24">
        <f>SUMIF($C$3:$AE$3,AL$3,$C31:$AE31)</f>
        <v/>
      </c>
    </row>
    <row r="32">
      <c r="A32" s="13" t="inlineStr">
        <is>
          <t>EBITDA</t>
        </is>
      </c>
      <c r="B32" s="2" t="inlineStr"/>
      <c r="C32" s="24">
        <f>'P&amp;L'!C23-'P&amp;L'!C31</f>
        <v/>
      </c>
      <c r="D32" s="24">
        <f>'P&amp;L'!D23-'P&amp;L'!D31</f>
        <v/>
      </c>
      <c r="E32" s="24">
        <f>'P&amp;L'!E23-'P&amp;L'!E31</f>
        <v/>
      </c>
      <c r="F32" s="24">
        <f>'P&amp;L'!F23-'P&amp;L'!F31</f>
        <v/>
      </c>
      <c r="G32" s="24">
        <f>'P&amp;L'!G23-'P&amp;L'!G31</f>
        <v/>
      </c>
      <c r="H32" s="24">
        <f>'P&amp;L'!H23-'P&amp;L'!H31</f>
        <v/>
      </c>
      <c r="I32" s="24">
        <f>'P&amp;L'!I23-'P&amp;L'!I31</f>
        <v/>
      </c>
      <c r="J32" s="24">
        <f>'P&amp;L'!J23-'P&amp;L'!J31</f>
        <v/>
      </c>
      <c r="K32" s="24">
        <f>'P&amp;L'!K23-'P&amp;L'!K31</f>
        <v/>
      </c>
      <c r="L32" s="24">
        <f>'P&amp;L'!L23-'P&amp;L'!L31</f>
        <v/>
      </c>
      <c r="M32" s="24">
        <f>'P&amp;L'!M23-'P&amp;L'!M31</f>
        <v/>
      </c>
      <c r="N32" s="24">
        <f>'P&amp;L'!N23-'P&amp;L'!N31</f>
        <v/>
      </c>
      <c r="O32" s="24">
        <f>'P&amp;L'!O23-'P&amp;L'!O31</f>
        <v/>
      </c>
      <c r="P32" s="24">
        <f>'P&amp;L'!P23-'P&amp;L'!P31</f>
        <v/>
      </c>
      <c r="Q32" s="24">
        <f>'P&amp;L'!Q23-'P&amp;L'!Q31</f>
        <v/>
      </c>
      <c r="R32" s="24">
        <f>'P&amp;L'!R23-'P&amp;L'!R31</f>
        <v/>
      </c>
      <c r="S32" s="24">
        <f>'P&amp;L'!S23-'P&amp;L'!S31</f>
        <v/>
      </c>
      <c r="T32" s="24">
        <f>'P&amp;L'!T23-'P&amp;L'!T31</f>
        <v/>
      </c>
      <c r="U32" s="24">
        <f>'P&amp;L'!U23-'P&amp;L'!U31</f>
        <v/>
      </c>
      <c r="V32" s="24">
        <f>'P&amp;L'!V23-'P&amp;L'!V31</f>
        <v/>
      </c>
      <c r="W32" s="24">
        <f>'P&amp;L'!W23-'P&amp;L'!W31</f>
        <v/>
      </c>
      <c r="X32" s="24">
        <f>'P&amp;L'!X23-'P&amp;L'!X31</f>
        <v/>
      </c>
      <c r="Y32" s="24">
        <f>'P&amp;L'!Y23-'P&amp;L'!Y31</f>
        <v/>
      </c>
      <c r="Z32" s="24">
        <f>'P&amp;L'!Z23-'P&amp;L'!Z31</f>
        <v/>
      </c>
      <c r="AA32" s="24">
        <f>'P&amp;L'!AA23-'P&amp;L'!AA31</f>
        <v/>
      </c>
      <c r="AB32" s="24">
        <f>'P&amp;L'!AB23-'P&amp;L'!AB31</f>
        <v/>
      </c>
      <c r="AC32" s="24">
        <f>'P&amp;L'!AC23-'P&amp;L'!AC31</f>
        <v/>
      </c>
      <c r="AD32" s="24">
        <f>'P&amp;L'!AD23-'P&amp;L'!AD31</f>
        <v/>
      </c>
      <c r="AE32" s="24">
        <f>'P&amp;L'!AE23-'P&amp;L'!AE31</f>
        <v/>
      </c>
      <c r="AG32" s="24">
        <f>SUMIF($C$3:$AE$3,AG$3,$C32:$AE32)</f>
        <v/>
      </c>
      <c r="AH32" s="24">
        <f>SUMIF($C$3:$AE$3,AH$3,$C32:$AE32)</f>
        <v/>
      </c>
      <c r="AI32" s="24">
        <f>SUMIF($C$3:$AE$3,AI$3,$C32:$AE32)</f>
        <v/>
      </c>
      <c r="AJ32" s="24">
        <f>SUMIF($C$3:$AE$3,AJ$3,$C32:$AE32)</f>
        <v/>
      </c>
      <c r="AK32" s="24">
        <f>SUMIF($C$3:$AE$3,AK$3,$C32:$AE32)</f>
        <v/>
      </c>
      <c r="AL32" s="24">
        <f>SUMIF($C$3:$AE$3,AL$3,$C32:$AE32)</f>
        <v/>
      </c>
    </row>
    <row r="33">
      <c r="A33" t="inlineStr">
        <is>
          <t>EBITDA margin %</t>
        </is>
      </c>
      <c r="B33" s="2" t="inlineStr">
        <is>
          <t>%</t>
        </is>
      </c>
      <c r="C33" s="5">
        <f>IF('P&amp;L'!C16&lt;&gt;0,'P&amp;L'!C32/'P&amp;L'!C16,0)</f>
        <v/>
      </c>
      <c r="D33" s="5">
        <f>IF('P&amp;L'!D16&lt;&gt;0,'P&amp;L'!D32/'P&amp;L'!D16,0)</f>
        <v/>
      </c>
      <c r="E33" s="5">
        <f>IF('P&amp;L'!E16&lt;&gt;0,'P&amp;L'!E32/'P&amp;L'!E16,0)</f>
        <v/>
      </c>
      <c r="F33" s="5">
        <f>IF('P&amp;L'!F16&lt;&gt;0,'P&amp;L'!F32/'P&amp;L'!F16,0)</f>
        <v/>
      </c>
      <c r="G33" s="5">
        <f>IF('P&amp;L'!G16&lt;&gt;0,'P&amp;L'!G32/'P&amp;L'!G16,0)</f>
        <v/>
      </c>
      <c r="H33" s="5">
        <f>IF('P&amp;L'!H16&lt;&gt;0,'P&amp;L'!H32/'P&amp;L'!H16,0)</f>
        <v/>
      </c>
      <c r="I33" s="5">
        <f>IF('P&amp;L'!I16&lt;&gt;0,'P&amp;L'!I32/'P&amp;L'!I16,0)</f>
        <v/>
      </c>
      <c r="J33" s="5">
        <f>IF('P&amp;L'!J16&lt;&gt;0,'P&amp;L'!J32/'P&amp;L'!J16,0)</f>
        <v/>
      </c>
      <c r="K33" s="5">
        <f>IF('P&amp;L'!K16&lt;&gt;0,'P&amp;L'!K32/'P&amp;L'!K16,0)</f>
        <v/>
      </c>
      <c r="L33" s="5">
        <f>IF('P&amp;L'!L16&lt;&gt;0,'P&amp;L'!L32/'P&amp;L'!L16,0)</f>
        <v/>
      </c>
      <c r="M33" s="5">
        <f>IF('P&amp;L'!M16&lt;&gt;0,'P&amp;L'!M32/'P&amp;L'!M16,0)</f>
        <v/>
      </c>
      <c r="N33" s="5">
        <f>IF('P&amp;L'!N16&lt;&gt;0,'P&amp;L'!N32/'P&amp;L'!N16,0)</f>
        <v/>
      </c>
      <c r="O33" s="5">
        <f>IF('P&amp;L'!O16&lt;&gt;0,'P&amp;L'!O32/'P&amp;L'!O16,0)</f>
        <v/>
      </c>
      <c r="P33" s="5">
        <f>IF('P&amp;L'!P16&lt;&gt;0,'P&amp;L'!P32/'P&amp;L'!P16,0)</f>
        <v/>
      </c>
      <c r="Q33" s="5">
        <f>IF('P&amp;L'!Q16&lt;&gt;0,'P&amp;L'!Q32/'P&amp;L'!Q16,0)</f>
        <v/>
      </c>
      <c r="R33" s="5">
        <f>IF('P&amp;L'!R16&lt;&gt;0,'P&amp;L'!R32/'P&amp;L'!R16,0)</f>
        <v/>
      </c>
      <c r="S33" s="5">
        <f>IF('P&amp;L'!S16&lt;&gt;0,'P&amp;L'!S32/'P&amp;L'!S16,0)</f>
        <v/>
      </c>
      <c r="T33" s="5">
        <f>IF('P&amp;L'!T16&lt;&gt;0,'P&amp;L'!T32/'P&amp;L'!T16,0)</f>
        <v/>
      </c>
      <c r="U33" s="5">
        <f>IF('P&amp;L'!U16&lt;&gt;0,'P&amp;L'!U32/'P&amp;L'!U16,0)</f>
        <v/>
      </c>
      <c r="V33" s="5">
        <f>IF('P&amp;L'!V16&lt;&gt;0,'P&amp;L'!V32/'P&amp;L'!V16,0)</f>
        <v/>
      </c>
      <c r="W33" s="5">
        <f>IF('P&amp;L'!W16&lt;&gt;0,'P&amp;L'!W32/'P&amp;L'!W16,0)</f>
        <v/>
      </c>
      <c r="X33" s="5">
        <f>IF('P&amp;L'!X16&lt;&gt;0,'P&amp;L'!X32/'P&amp;L'!X16,0)</f>
        <v/>
      </c>
      <c r="Y33" s="5">
        <f>IF('P&amp;L'!Y16&lt;&gt;0,'P&amp;L'!Y32/'P&amp;L'!Y16,0)</f>
        <v/>
      </c>
      <c r="Z33" s="5">
        <f>IF('P&amp;L'!Z16&lt;&gt;0,'P&amp;L'!Z32/'P&amp;L'!Z16,0)</f>
        <v/>
      </c>
      <c r="AA33" s="5">
        <f>IF('P&amp;L'!AA16&lt;&gt;0,'P&amp;L'!AA32/'P&amp;L'!AA16,0)</f>
        <v/>
      </c>
      <c r="AB33" s="5">
        <f>IF('P&amp;L'!AB16&lt;&gt;0,'P&amp;L'!AB32/'P&amp;L'!AB16,0)</f>
        <v/>
      </c>
      <c r="AC33" s="5">
        <f>IF('P&amp;L'!AC16&lt;&gt;0,'P&amp;L'!AC32/'P&amp;L'!AC16,0)</f>
        <v/>
      </c>
      <c r="AD33" s="5">
        <f>IF('P&amp;L'!AD16&lt;&gt;0,'P&amp;L'!AD32/'P&amp;L'!AD16,0)</f>
        <v/>
      </c>
      <c r="AE33" s="5">
        <f>IF('P&amp;L'!AE16&lt;&gt;0,'P&amp;L'!AE32/'P&amp;L'!AE16,0)</f>
        <v/>
      </c>
      <c r="AG33" s="5">
        <f>IF(AG16&lt;&gt;0,AG32/AG16,0)</f>
        <v/>
      </c>
      <c r="AH33" s="5">
        <f>IF(AH16&lt;&gt;0,AH32/AH16,0)</f>
        <v/>
      </c>
      <c r="AI33" s="5">
        <f>IF(AI16&lt;&gt;0,AI32/AI16,0)</f>
        <v/>
      </c>
      <c r="AJ33" s="5">
        <f>IF(AJ16&lt;&gt;0,AJ32/AJ16,0)</f>
        <v/>
      </c>
      <c r="AK33" s="5">
        <f>IF(AK16&lt;&gt;0,AK32/AK16,0)</f>
        <v/>
      </c>
      <c r="AL33" s="5">
        <f>IF(AL16&lt;&gt;0,AL32/AL16,0)</f>
        <v/>
      </c>
    </row>
    <row r="34">
      <c r="A34" t="inlineStr">
        <is>
          <t>Depreciation</t>
        </is>
      </c>
      <c r="B34" s="2" t="inlineStr"/>
      <c r="C34" s="4">
        <f>'Working Capital'!C27</f>
        <v/>
      </c>
      <c r="D34" s="4">
        <f>'Working Capital'!D27</f>
        <v/>
      </c>
      <c r="E34" s="4">
        <f>'Working Capital'!E27</f>
        <v/>
      </c>
      <c r="F34" s="4">
        <f>'Working Capital'!F27</f>
        <v/>
      </c>
      <c r="G34" s="4">
        <f>'Working Capital'!G27</f>
        <v/>
      </c>
      <c r="H34" s="4">
        <f>'Working Capital'!H27</f>
        <v/>
      </c>
      <c r="I34" s="4">
        <f>'Working Capital'!I27</f>
        <v/>
      </c>
      <c r="J34" s="4">
        <f>'Working Capital'!J27</f>
        <v/>
      </c>
      <c r="K34" s="4">
        <f>'Working Capital'!K27</f>
        <v/>
      </c>
      <c r="L34" s="4">
        <f>'Working Capital'!L27</f>
        <v/>
      </c>
      <c r="M34" s="4">
        <f>'Working Capital'!M27</f>
        <v/>
      </c>
      <c r="N34" s="4">
        <f>'Working Capital'!N27</f>
        <v/>
      </c>
      <c r="O34" s="4">
        <f>'Working Capital'!O27</f>
        <v/>
      </c>
      <c r="P34" s="4">
        <f>'Working Capital'!P27</f>
        <v/>
      </c>
      <c r="Q34" s="4">
        <f>'Working Capital'!Q27</f>
        <v/>
      </c>
      <c r="R34" s="4">
        <f>'Working Capital'!R27</f>
        <v/>
      </c>
      <c r="S34" s="4">
        <f>'Working Capital'!S27</f>
        <v/>
      </c>
      <c r="T34" s="4">
        <f>'Working Capital'!T27</f>
        <v/>
      </c>
      <c r="U34" s="4">
        <f>'Working Capital'!U27</f>
        <v/>
      </c>
      <c r="V34" s="4">
        <f>'Working Capital'!V27</f>
        <v/>
      </c>
      <c r="W34" s="4">
        <f>'Working Capital'!W27</f>
        <v/>
      </c>
      <c r="X34" s="4">
        <f>'Working Capital'!X27</f>
        <v/>
      </c>
      <c r="Y34" s="4">
        <f>'Working Capital'!Y27</f>
        <v/>
      </c>
      <c r="Z34" s="4">
        <f>'Working Capital'!Z27</f>
        <v/>
      </c>
      <c r="AA34" s="4">
        <f>'Working Capital'!AA27</f>
        <v/>
      </c>
      <c r="AB34" s="4">
        <f>'Working Capital'!AB27</f>
        <v/>
      </c>
      <c r="AC34" s="4">
        <f>'Working Capital'!AC27</f>
        <v/>
      </c>
      <c r="AD34" s="4">
        <f>'Working Capital'!AD27</f>
        <v/>
      </c>
      <c r="AE34" s="4">
        <f>'Working Capital'!AE27</f>
        <v/>
      </c>
      <c r="AG34" s="4">
        <f>SUMIF($C$3:$AE$3,AG$3,$C34:$AE34)</f>
        <v/>
      </c>
      <c r="AH34" s="4">
        <f>SUMIF($C$3:$AE$3,AH$3,$C34:$AE34)</f>
        <v/>
      </c>
      <c r="AI34" s="4">
        <f>SUMIF($C$3:$AE$3,AI$3,$C34:$AE34)</f>
        <v/>
      </c>
      <c r="AJ34" s="4">
        <f>SUMIF($C$3:$AE$3,AJ$3,$C34:$AE34)</f>
        <v/>
      </c>
      <c r="AK34" s="4">
        <f>SUMIF($C$3:$AE$3,AK$3,$C34:$AE34)</f>
        <v/>
      </c>
      <c r="AL34" s="4">
        <f>SUMIF($C$3:$AE$3,AL$3,$C34:$AE34)</f>
        <v/>
      </c>
    </row>
    <row r="35">
      <c r="A35" t="inlineStr">
        <is>
          <t>EBIT</t>
        </is>
      </c>
      <c r="B35" s="2" t="inlineStr"/>
      <c r="C35" s="4">
        <f>'P&amp;L'!C32-'P&amp;L'!C34</f>
        <v/>
      </c>
      <c r="D35" s="4">
        <f>'P&amp;L'!D32-'P&amp;L'!D34</f>
        <v/>
      </c>
      <c r="E35" s="4">
        <f>'P&amp;L'!E32-'P&amp;L'!E34</f>
        <v/>
      </c>
      <c r="F35" s="4">
        <f>'P&amp;L'!F32-'P&amp;L'!F34</f>
        <v/>
      </c>
      <c r="G35" s="4">
        <f>'P&amp;L'!G32-'P&amp;L'!G34</f>
        <v/>
      </c>
      <c r="H35" s="4">
        <f>'P&amp;L'!H32-'P&amp;L'!H34</f>
        <v/>
      </c>
      <c r="I35" s="4">
        <f>'P&amp;L'!I32-'P&amp;L'!I34</f>
        <v/>
      </c>
      <c r="J35" s="4">
        <f>'P&amp;L'!J32-'P&amp;L'!J34</f>
        <v/>
      </c>
      <c r="K35" s="4">
        <f>'P&amp;L'!K32-'P&amp;L'!K34</f>
        <v/>
      </c>
      <c r="L35" s="4">
        <f>'P&amp;L'!L32-'P&amp;L'!L34</f>
        <v/>
      </c>
      <c r="M35" s="4">
        <f>'P&amp;L'!M32-'P&amp;L'!M34</f>
        <v/>
      </c>
      <c r="N35" s="4">
        <f>'P&amp;L'!N32-'P&amp;L'!N34</f>
        <v/>
      </c>
      <c r="O35" s="4">
        <f>'P&amp;L'!O32-'P&amp;L'!O34</f>
        <v/>
      </c>
      <c r="P35" s="4">
        <f>'P&amp;L'!P32-'P&amp;L'!P34</f>
        <v/>
      </c>
      <c r="Q35" s="4">
        <f>'P&amp;L'!Q32-'P&amp;L'!Q34</f>
        <v/>
      </c>
      <c r="R35" s="4">
        <f>'P&amp;L'!R32-'P&amp;L'!R34</f>
        <v/>
      </c>
      <c r="S35" s="4">
        <f>'P&amp;L'!S32-'P&amp;L'!S34</f>
        <v/>
      </c>
      <c r="T35" s="4">
        <f>'P&amp;L'!T32-'P&amp;L'!T34</f>
        <v/>
      </c>
      <c r="U35" s="4">
        <f>'P&amp;L'!U32-'P&amp;L'!U34</f>
        <v/>
      </c>
      <c r="V35" s="4">
        <f>'P&amp;L'!V32-'P&amp;L'!V34</f>
        <v/>
      </c>
      <c r="W35" s="4">
        <f>'P&amp;L'!W32-'P&amp;L'!W34</f>
        <v/>
      </c>
      <c r="X35" s="4">
        <f>'P&amp;L'!X32-'P&amp;L'!X34</f>
        <v/>
      </c>
      <c r="Y35" s="4">
        <f>'P&amp;L'!Y32-'P&amp;L'!Y34</f>
        <v/>
      </c>
      <c r="Z35" s="4">
        <f>'P&amp;L'!Z32-'P&amp;L'!Z34</f>
        <v/>
      </c>
      <c r="AA35" s="4">
        <f>'P&amp;L'!AA32-'P&amp;L'!AA34</f>
        <v/>
      </c>
      <c r="AB35" s="4">
        <f>'P&amp;L'!AB32-'P&amp;L'!AB34</f>
        <v/>
      </c>
      <c r="AC35" s="4">
        <f>'P&amp;L'!AC32-'P&amp;L'!AC34</f>
        <v/>
      </c>
      <c r="AD35" s="4">
        <f>'P&amp;L'!AD32-'P&amp;L'!AD34</f>
        <v/>
      </c>
      <c r="AE35" s="4">
        <f>'P&amp;L'!AE32-'P&amp;L'!AE34</f>
        <v/>
      </c>
      <c r="AG35" s="4">
        <f>SUMIF($C$3:$AE$3,AG$3,$C35:$AE35)</f>
        <v/>
      </c>
      <c r="AH35" s="4">
        <f>SUMIF($C$3:$AE$3,AH$3,$C35:$AE35)</f>
        <v/>
      </c>
      <c r="AI35" s="4">
        <f>SUMIF($C$3:$AE$3,AI$3,$C35:$AE35)</f>
        <v/>
      </c>
      <c r="AJ35" s="4">
        <f>SUMIF($C$3:$AE$3,AJ$3,$C35:$AE35)</f>
        <v/>
      </c>
      <c r="AK35" s="4">
        <f>SUMIF($C$3:$AE$3,AK$3,$C35:$AE35)</f>
        <v/>
      </c>
      <c r="AL35" s="4">
        <f>SUMIF($C$3:$AE$3,AL$3,$C35:$AE35)</f>
        <v/>
      </c>
    </row>
    <row r="36">
      <c r="A36" t="inlineStr">
        <is>
          <t>Interest income on cash</t>
        </is>
      </c>
      <c r="B36" s="2" t="inlineStr"/>
      <c r="C36" s="4">
        <f>MAX(0,'Cash Flow'!C27)*interest_rate/12*Timeline!C4</f>
        <v/>
      </c>
      <c r="D36" s="4">
        <f>MAX(0,'Cash Flow'!D27)*interest_rate/12*Timeline!D4</f>
        <v/>
      </c>
      <c r="E36" s="4">
        <f>MAX(0,'Cash Flow'!E27)*interest_rate/12*Timeline!E4</f>
        <v/>
      </c>
      <c r="F36" s="4">
        <f>MAX(0,'Cash Flow'!F27)*interest_rate/12*Timeline!F4</f>
        <v/>
      </c>
      <c r="G36" s="4">
        <f>MAX(0,'Cash Flow'!G27)*interest_rate/12*Timeline!G4</f>
        <v/>
      </c>
      <c r="H36" s="4">
        <f>MAX(0,'Cash Flow'!H27)*interest_rate/12*Timeline!H4</f>
        <v/>
      </c>
      <c r="I36" s="4">
        <f>MAX(0,'Cash Flow'!I27)*interest_rate/12*Timeline!I4</f>
        <v/>
      </c>
      <c r="J36" s="4">
        <f>MAX(0,'Cash Flow'!J27)*interest_rate/12*Timeline!J4</f>
        <v/>
      </c>
      <c r="K36" s="4">
        <f>MAX(0,'Cash Flow'!K27)*interest_rate/12*Timeline!K4</f>
        <v/>
      </c>
      <c r="L36" s="4">
        <f>MAX(0,'Cash Flow'!L27)*interest_rate/12*Timeline!L4</f>
        <v/>
      </c>
      <c r="M36" s="4">
        <f>MAX(0,'Cash Flow'!M27)*interest_rate/12*Timeline!M4</f>
        <v/>
      </c>
      <c r="N36" s="4">
        <f>MAX(0,'Cash Flow'!N27)*interest_rate/12*Timeline!N4</f>
        <v/>
      </c>
      <c r="O36" s="4">
        <f>MAX(0,'Cash Flow'!O27)*interest_rate/12*Timeline!O4</f>
        <v/>
      </c>
      <c r="P36" s="4">
        <f>MAX(0,'Cash Flow'!P27)*interest_rate/12*Timeline!P4</f>
        <v/>
      </c>
      <c r="Q36" s="4">
        <f>MAX(0,'Cash Flow'!Q27)*interest_rate/12*Timeline!Q4</f>
        <v/>
      </c>
      <c r="R36" s="4">
        <f>MAX(0,'Cash Flow'!R27)*interest_rate/12*Timeline!R4</f>
        <v/>
      </c>
      <c r="S36" s="4">
        <f>MAX(0,'Cash Flow'!S27)*interest_rate/12*Timeline!S4</f>
        <v/>
      </c>
      <c r="T36" s="4">
        <f>MAX(0,'Cash Flow'!T27)*interest_rate/12*Timeline!T4</f>
        <v/>
      </c>
      <c r="U36" s="4">
        <f>MAX(0,'Cash Flow'!U27)*interest_rate/12*Timeline!U4</f>
        <v/>
      </c>
      <c r="V36" s="4">
        <f>MAX(0,'Cash Flow'!V27)*interest_rate/12*Timeline!V4</f>
        <v/>
      </c>
      <c r="W36" s="4">
        <f>MAX(0,'Cash Flow'!W27)*interest_rate/12*Timeline!W4</f>
        <v/>
      </c>
      <c r="X36" s="4">
        <f>MAX(0,'Cash Flow'!X27)*interest_rate/12*Timeline!X4</f>
        <v/>
      </c>
      <c r="Y36" s="4">
        <f>MAX(0,'Cash Flow'!Y27)*interest_rate/12*Timeline!Y4</f>
        <v/>
      </c>
      <c r="Z36" s="4">
        <f>MAX(0,'Cash Flow'!Z27)*interest_rate/12*Timeline!Z4</f>
        <v/>
      </c>
      <c r="AA36" s="4">
        <f>MAX(0,'Cash Flow'!AA27)*interest_rate/12*Timeline!AA4</f>
        <v/>
      </c>
      <c r="AB36" s="4">
        <f>MAX(0,'Cash Flow'!AB27)*interest_rate/12*Timeline!AB4</f>
        <v/>
      </c>
      <c r="AC36" s="4">
        <f>MAX(0,'Cash Flow'!AC27)*interest_rate/12*Timeline!AC4</f>
        <v/>
      </c>
      <c r="AD36" s="4">
        <f>MAX(0,'Cash Flow'!AD27)*interest_rate/12*Timeline!AD4</f>
        <v/>
      </c>
      <c r="AE36" s="4">
        <f>MAX(0,'Cash Flow'!AE27)*interest_rate/12*Timeline!AE4</f>
        <v/>
      </c>
      <c r="AG36" s="4">
        <f>SUMIF($C$3:$AE$3,AG$3,$C36:$AE36)</f>
        <v/>
      </c>
      <c r="AH36" s="4">
        <f>SUMIF($C$3:$AE$3,AH$3,$C36:$AE36)</f>
        <v/>
      </c>
      <c r="AI36" s="4">
        <f>SUMIF($C$3:$AE$3,AI$3,$C36:$AE36)</f>
        <v/>
      </c>
      <c r="AJ36" s="4">
        <f>SUMIF($C$3:$AE$3,AJ$3,$C36:$AE36)</f>
        <v/>
      </c>
      <c r="AK36" s="4">
        <f>SUMIF($C$3:$AE$3,AK$3,$C36:$AE36)</f>
        <v/>
      </c>
      <c r="AL36" s="4">
        <f>SUMIF($C$3:$AE$3,AL$3,$C36:$AE36)</f>
        <v/>
      </c>
    </row>
    <row r="37">
      <c r="A37" t="inlineStr">
        <is>
          <t>Pre-tax income</t>
        </is>
      </c>
      <c r="B37" s="2" t="inlineStr"/>
      <c r="C37" s="4">
        <f>'P&amp;L'!C35+'P&amp;L'!C36</f>
        <v/>
      </c>
      <c r="D37" s="4">
        <f>'P&amp;L'!D35+'P&amp;L'!D36</f>
        <v/>
      </c>
      <c r="E37" s="4">
        <f>'P&amp;L'!E35+'P&amp;L'!E36</f>
        <v/>
      </c>
      <c r="F37" s="4">
        <f>'P&amp;L'!F35+'P&amp;L'!F36</f>
        <v/>
      </c>
      <c r="G37" s="4">
        <f>'P&amp;L'!G35+'P&amp;L'!G36</f>
        <v/>
      </c>
      <c r="H37" s="4">
        <f>'P&amp;L'!H35+'P&amp;L'!H36</f>
        <v/>
      </c>
      <c r="I37" s="4">
        <f>'P&amp;L'!I35+'P&amp;L'!I36</f>
        <v/>
      </c>
      <c r="J37" s="4">
        <f>'P&amp;L'!J35+'P&amp;L'!J36</f>
        <v/>
      </c>
      <c r="K37" s="4">
        <f>'P&amp;L'!K35+'P&amp;L'!K36</f>
        <v/>
      </c>
      <c r="L37" s="4">
        <f>'P&amp;L'!L35+'P&amp;L'!L36</f>
        <v/>
      </c>
      <c r="M37" s="4">
        <f>'P&amp;L'!M35+'P&amp;L'!M36</f>
        <v/>
      </c>
      <c r="N37" s="4">
        <f>'P&amp;L'!N35+'P&amp;L'!N36</f>
        <v/>
      </c>
      <c r="O37" s="4">
        <f>'P&amp;L'!O35+'P&amp;L'!O36</f>
        <v/>
      </c>
      <c r="P37" s="4">
        <f>'P&amp;L'!P35+'P&amp;L'!P36</f>
        <v/>
      </c>
      <c r="Q37" s="4">
        <f>'P&amp;L'!Q35+'P&amp;L'!Q36</f>
        <v/>
      </c>
      <c r="R37" s="4">
        <f>'P&amp;L'!R35+'P&amp;L'!R36</f>
        <v/>
      </c>
      <c r="S37" s="4">
        <f>'P&amp;L'!S35+'P&amp;L'!S36</f>
        <v/>
      </c>
      <c r="T37" s="4">
        <f>'P&amp;L'!T35+'P&amp;L'!T36</f>
        <v/>
      </c>
      <c r="U37" s="4">
        <f>'P&amp;L'!U35+'P&amp;L'!U36</f>
        <v/>
      </c>
      <c r="V37" s="4">
        <f>'P&amp;L'!V35+'P&amp;L'!V36</f>
        <v/>
      </c>
      <c r="W37" s="4">
        <f>'P&amp;L'!W35+'P&amp;L'!W36</f>
        <v/>
      </c>
      <c r="X37" s="4">
        <f>'P&amp;L'!X35+'P&amp;L'!X36</f>
        <v/>
      </c>
      <c r="Y37" s="4">
        <f>'P&amp;L'!Y35+'P&amp;L'!Y36</f>
        <v/>
      </c>
      <c r="Z37" s="4">
        <f>'P&amp;L'!Z35+'P&amp;L'!Z36</f>
        <v/>
      </c>
      <c r="AA37" s="4">
        <f>'P&amp;L'!AA35+'P&amp;L'!AA36</f>
        <v/>
      </c>
      <c r="AB37" s="4">
        <f>'P&amp;L'!AB35+'P&amp;L'!AB36</f>
        <v/>
      </c>
      <c r="AC37" s="4">
        <f>'P&amp;L'!AC35+'P&amp;L'!AC36</f>
        <v/>
      </c>
      <c r="AD37" s="4">
        <f>'P&amp;L'!AD35+'P&amp;L'!AD36</f>
        <v/>
      </c>
      <c r="AE37" s="4">
        <f>'P&amp;L'!AE35+'P&amp;L'!AE36</f>
        <v/>
      </c>
      <c r="AG37" s="4">
        <f>SUMIF($C$3:$AE$3,AG$3,$C37:$AE37)</f>
        <v/>
      </c>
      <c r="AH37" s="4">
        <f>SUMIF($C$3:$AE$3,AH$3,$C37:$AE37)</f>
        <v/>
      </c>
      <c r="AI37" s="4">
        <f>SUMIF($C$3:$AE$3,AI$3,$C37:$AE37)</f>
        <v/>
      </c>
      <c r="AJ37" s="4">
        <f>SUMIF($C$3:$AE$3,AJ$3,$C37:$AE37)</f>
        <v/>
      </c>
      <c r="AK37" s="4">
        <f>SUMIF($C$3:$AE$3,AK$3,$C37:$AE37)</f>
        <v/>
      </c>
      <c r="AL37" s="4">
        <f>SUMIF($C$3:$AE$3,AL$3,$C37:$AE37)</f>
        <v/>
      </c>
    </row>
    <row r="38">
      <c r="A38" t="inlineStr">
        <is>
          <t>memo: cumulative pre-tax income</t>
        </is>
      </c>
      <c r="B38" s="2" t="inlineStr"/>
      <c r="C38" s="4">
        <f>SUM($C37:C37)</f>
        <v/>
      </c>
      <c r="D38" s="4">
        <f>SUM($C37:D37)</f>
        <v/>
      </c>
      <c r="E38" s="4">
        <f>SUM($C37:E37)</f>
        <v/>
      </c>
      <c r="F38" s="4">
        <f>SUM($C37:F37)</f>
        <v/>
      </c>
      <c r="G38" s="4">
        <f>SUM($C37:G37)</f>
        <v/>
      </c>
      <c r="H38" s="4">
        <f>SUM($C37:H37)</f>
        <v/>
      </c>
      <c r="I38" s="4">
        <f>SUM($C37:I37)</f>
        <v/>
      </c>
      <c r="J38" s="4">
        <f>SUM($C37:J37)</f>
        <v/>
      </c>
      <c r="K38" s="4">
        <f>SUM($C37:K37)</f>
        <v/>
      </c>
      <c r="L38" s="4">
        <f>SUM($C37:L37)</f>
        <v/>
      </c>
      <c r="M38" s="4">
        <f>SUM($C37:M37)</f>
        <v/>
      </c>
      <c r="N38" s="4">
        <f>SUM($C37:N37)</f>
        <v/>
      </c>
      <c r="O38" s="4">
        <f>SUM($C37:O37)</f>
        <v/>
      </c>
      <c r="P38" s="4">
        <f>SUM($C37:P37)</f>
        <v/>
      </c>
      <c r="Q38" s="4">
        <f>SUM($C37:Q37)</f>
        <v/>
      </c>
      <c r="R38" s="4">
        <f>SUM($C37:R37)</f>
        <v/>
      </c>
      <c r="S38" s="4">
        <f>SUM($C37:S37)</f>
        <v/>
      </c>
      <c r="T38" s="4">
        <f>SUM($C37:T37)</f>
        <v/>
      </c>
      <c r="U38" s="4">
        <f>SUM($C37:U37)</f>
        <v/>
      </c>
      <c r="V38" s="4">
        <f>SUM($C37:V37)</f>
        <v/>
      </c>
      <c r="W38" s="4">
        <f>SUM($C37:W37)</f>
        <v/>
      </c>
      <c r="X38" s="4">
        <f>SUM($C37:X37)</f>
        <v/>
      </c>
      <c r="Y38" s="4">
        <f>SUM($C37:Y37)</f>
        <v/>
      </c>
      <c r="Z38" s="4">
        <f>SUM($C37:Z37)</f>
        <v/>
      </c>
      <c r="AA38" s="4">
        <f>SUM($C37:AA37)</f>
        <v/>
      </c>
      <c r="AB38" s="4">
        <f>SUM($C37:AB37)</f>
        <v/>
      </c>
      <c r="AC38" s="4">
        <f>SUM($C37:AC37)</f>
        <v/>
      </c>
      <c r="AD38" s="4">
        <f>SUM($C37:AD37)</f>
        <v/>
      </c>
      <c r="AE38" s="4">
        <f>SUM($C37:AE37)</f>
        <v/>
      </c>
      <c r="AG38" s="4">
        <f>D38</f>
        <v/>
      </c>
      <c r="AH38" s="4">
        <f>P38</f>
        <v/>
      </c>
      <c r="AI38" s="4">
        <f>AB38</f>
        <v/>
      </c>
      <c r="AJ38" s="4">
        <f>AC38</f>
        <v/>
      </c>
      <c r="AK38" s="4">
        <f>AD38</f>
        <v/>
      </c>
      <c r="AL38" s="4">
        <f>AE38</f>
        <v/>
      </c>
    </row>
    <row r="39">
      <c r="A39" t="inlineStr">
        <is>
          <t>Income tax (after NOL usage)</t>
        </is>
      </c>
      <c r="B39" s="2" t="inlineStr"/>
      <c r="C39" s="4">
        <f>IF('P&amp;L'!C38&gt;0,MAX(0,MIN('P&amp;L'!C37,'P&amp;L'!C38))*tax_rate,0)</f>
        <v/>
      </c>
      <c r="D39" s="4">
        <f>IF('P&amp;L'!D38&gt;0,MAX(0,MIN('P&amp;L'!D37,'P&amp;L'!D38))*tax_rate,0)</f>
        <v/>
      </c>
      <c r="E39" s="4">
        <f>IF('P&amp;L'!E38&gt;0,MAX(0,MIN('P&amp;L'!E37,'P&amp;L'!E38))*tax_rate,0)</f>
        <v/>
      </c>
      <c r="F39" s="4">
        <f>IF('P&amp;L'!F38&gt;0,MAX(0,MIN('P&amp;L'!F37,'P&amp;L'!F38))*tax_rate,0)</f>
        <v/>
      </c>
      <c r="G39" s="4">
        <f>IF('P&amp;L'!G38&gt;0,MAX(0,MIN('P&amp;L'!G37,'P&amp;L'!G38))*tax_rate,0)</f>
        <v/>
      </c>
      <c r="H39" s="4">
        <f>IF('P&amp;L'!H38&gt;0,MAX(0,MIN('P&amp;L'!H37,'P&amp;L'!H38))*tax_rate,0)</f>
        <v/>
      </c>
      <c r="I39" s="4">
        <f>IF('P&amp;L'!I38&gt;0,MAX(0,MIN('P&amp;L'!I37,'P&amp;L'!I38))*tax_rate,0)</f>
        <v/>
      </c>
      <c r="J39" s="4">
        <f>IF('P&amp;L'!J38&gt;0,MAX(0,MIN('P&amp;L'!J37,'P&amp;L'!J38))*tax_rate,0)</f>
        <v/>
      </c>
      <c r="K39" s="4">
        <f>IF('P&amp;L'!K38&gt;0,MAX(0,MIN('P&amp;L'!K37,'P&amp;L'!K38))*tax_rate,0)</f>
        <v/>
      </c>
      <c r="L39" s="4">
        <f>IF('P&amp;L'!L38&gt;0,MAX(0,MIN('P&amp;L'!L37,'P&amp;L'!L38))*tax_rate,0)</f>
        <v/>
      </c>
      <c r="M39" s="4">
        <f>IF('P&amp;L'!M38&gt;0,MAX(0,MIN('P&amp;L'!M37,'P&amp;L'!M38))*tax_rate,0)</f>
        <v/>
      </c>
      <c r="N39" s="4">
        <f>IF('P&amp;L'!N38&gt;0,MAX(0,MIN('P&amp;L'!N37,'P&amp;L'!N38))*tax_rate,0)</f>
        <v/>
      </c>
      <c r="O39" s="4">
        <f>IF('P&amp;L'!O38&gt;0,MAX(0,MIN('P&amp;L'!O37,'P&amp;L'!O38))*tax_rate,0)</f>
        <v/>
      </c>
      <c r="P39" s="4">
        <f>IF('P&amp;L'!P38&gt;0,MAX(0,MIN('P&amp;L'!P37,'P&amp;L'!P38))*tax_rate,0)</f>
        <v/>
      </c>
      <c r="Q39" s="4">
        <f>IF('P&amp;L'!Q38&gt;0,MAX(0,MIN('P&amp;L'!Q37,'P&amp;L'!Q38))*tax_rate,0)</f>
        <v/>
      </c>
      <c r="R39" s="4">
        <f>IF('P&amp;L'!R38&gt;0,MAX(0,MIN('P&amp;L'!R37,'P&amp;L'!R38))*tax_rate,0)</f>
        <v/>
      </c>
      <c r="S39" s="4">
        <f>IF('P&amp;L'!S38&gt;0,MAX(0,MIN('P&amp;L'!S37,'P&amp;L'!S38))*tax_rate,0)</f>
        <v/>
      </c>
      <c r="T39" s="4">
        <f>IF('P&amp;L'!T38&gt;0,MAX(0,MIN('P&amp;L'!T37,'P&amp;L'!T38))*tax_rate,0)</f>
        <v/>
      </c>
      <c r="U39" s="4">
        <f>IF('P&amp;L'!U38&gt;0,MAX(0,MIN('P&amp;L'!U37,'P&amp;L'!U38))*tax_rate,0)</f>
        <v/>
      </c>
      <c r="V39" s="4">
        <f>IF('P&amp;L'!V38&gt;0,MAX(0,MIN('P&amp;L'!V37,'P&amp;L'!V38))*tax_rate,0)</f>
        <v/>
      </c>
      <c r="W39" s="4">
        <f>IF('P&amp;L'!W38&gt;0,MAX(0,MIN('P&amp;L'!W37,'P&amp;L'!W38))*tax_rate,0)</f>
        <v/>
      </c>
      <c r="X39" s="4">
        <f>IF('P&amp;L'!X38&gt;0,MAX(0,MIN('P&amp;L'!X37,'P&amp;L'!X38))*tax_rate,0)</f>
        <v/>
      </c>
      <c r="Y39" s="4">
        <f>IF('P&amp;L'!Y38&gt;0,MAX(0,MIN('P&amp;L'!Y37,'P&amp;L'!Y38))*tax_rate,0)</f>
        <v/>
      </c>
      <c r="Z39" s="4">
        <f>IF('P&amp;L'!Z38&gt;0,MAX(0,MIN('P&amp;L'!Z37,'P&amp;L'!Z38))*tax_rate,0)</f>
        <v/>
      </c>
      <c r="AA39" s="4">
        <f>IF('P&amp;L'!AA38&gt;0,MAX(0,MIN('P&amp;L'!AA37,'P&amp;L'!AA38))*tax_rate,0)</f>
        <v/>
      </c>
      <c r="AB39" s="4">
        <f>IF('P&amp;L'!AB38&gt;0,MAX(0,MIN('P&amp;L'!AB37,'P&amp;L'!AB38))*tax_rate,0)</f>
        <v/>
      </c>
      <c r="AC39" s="4">
        <f>IF('P&amp;L'!AC38&gt;0,MAX(0,MIN('P&amp;L'!AC37,'P&amp;L'!AC38))*tax_rate,0)</f>
        <v/>
      </c>
      <c r="AD39" s="4">
        <f>IF('P&amp;L'!AD38&gt;0,MAX(0,MIN('P&amp;L'!AD37,'P&amp;L'!AD38))*tax_rate,0)</f>
        <v/>
      </c>
      <c r="AE39" s="4">
        <f>IF('P&amp;L'!AE38&gt;0,MAX(0,MIN('P&amp;L'!AE37,'P&amp;L'!AE38))*tax_rate,0)</f>
        <v/>
      </c>
      <c r="AG39" s="4">
        <f>SUMIF($C$3:$AE$3,AG$3,$C39:$AE39)</f>
        <v/>
      </c>
      <c r="AH39" s="4">
        <f>SUMIF($C$3:$AE$3,AH$3,$C39:$AE39)</f>
        <v/>
      </c>
      <c r="AI39" s="4">
        <f>SUMIF($C$3:$AE$3,AI$3,$C39:$AE39)</f>
        <v/>
      </c>
      <c r="AJ39" s="4">
        <f>SUMIF($C$3:$AE$3,AJ$3,$C39:$AE39)</f>
        <v/>
      </c>
      <c r="AK39" s="4">
        <f>SUMIF($C$3:$AE$3,AK$3,$C39:$AE39)</f>
        <v/>
      </c>
      <c r="AL39" s="4">
        <f>SUMIF($C$3:$AE$3,AL$3,$C39:$AE39)</f>
        <v/>
      </c>
    </row>
    <row r="40">
      <c r="A40" s="13" t="inlineStr">
        <is>
          <t>NET INCOME</t>
        </is>
      </c>
      <c r="B40" s="2" t="inlineStr"/>
      <c r="C40" s="24">
        <f>'P&amp;L'!C37-'P&amp;L'!C39</f>
        <v/>
      </c>
      <c r="D40" s="24">
        <f>'P&amp;L'!D37-'P&amp;L'!D39</f>
        <v/>
      </c>
      <c r="E40" s="24">
        <f>'P&amp;L'!E37-'P&amp;L'!E39</f>
        <v/>
      </c>
      <c r="F40" s="24">
        <f>'P&amp;L'!F37-'P&amp;L'!F39</f>
        <v/>
      </c>
      <c r="G40" s="24">
        <f>'P&amp;L'!G37-'P&amp;L'!G39</f>
        <v/>
      </c>
      <c r="H40" s="24">
        <f>'P&amp;L'!H37-'P&amp;L'!H39</f>
        <v/>
      </c>
      <c r="I40" s="24">
        <f>'P&amp;L'!I37-'P&amp;L'!I39</f>
        <v/>
      </c>
      <c r="J40" s="24">
        <f>'P&amp;L'!J37-'P&amp;L'!J39</f>
        <v/>
      </c>
      <c r="K40" s="24">
        <f>'P&amp;L'!K37-'P&amp;L'!K39</f>
        <v/>
      </c>
      <c r="L40" s="24">
        <f>'P&amp;L'!L37-'P&amp;L'!L39</f>
        <v/>
      </c>
      <c r="M40" s="24">
        <f>'P&amp;L'!M37-'P&amp;L'!M39</f>
        <v/>
      </c>
      <c r="N40" s="24">
        <f>'P&amp;L'!N37-'P&amp;L'!N39</f>
        <v/>
      </c>
      <c r="O40" s="24">
        <f>'P&amp;L'!O37-'P&amp;L'!O39</f>
        <v/>
      </c>
      <c r="P40" s="24">
        <f>'P&amp;L'!P37-'P&amp;L'!P39</f>
        <v/>
      </c>
      <c r="Q40" s="24">
        <f>'P&amp;L'!Q37-'P&amp;L'!Q39</f>
        <v/>
      </c>
      <c r="R40" s="24">
        <f>'P&amp;L'!R37-'P&amp;L'!R39</f>
        <v/>
      </c>
      <c r="S40" s="24">
        <f>'P&amp;L'!S37-'P&amp;L'!S39</f>
        <v/>
      </c>
      <c r="T40" s="24">
        <f>'P&amp;L'!T37-'P&amp;L'!T39</f>
        <v/>
      </c>
      <c r="U40" s="24">
        <f>'P&amp;L'!U37-'P&amp;L'!U39</f>
        <v/>
      </c>
      <c r="V40" s="24">
        <f>'P&amp;L'!V37-'P&amp;L'!V39</f>
        <v/>
      </c>
      <c r="W40" s="24">
        <f>'P&amp;L'!W37-'P&amp;L'!W39</f>
        <v/>
      </c>
      <c r="X40" s="24">
        <f>'P&amp;L'!X37-'P&amp;L'!X39</f>
        <v/>
      </c>
      <c r="Y40" s="24">
        <f>'P&amp;L'!Y37-'P&amp;L'!Y39</f>
        <v/>
      </c>
      <c r="Z40" s="24">
        <f>'P&amp;L'!Z37-'P&amp;L'!Z39</f>
        <v/>
      </c>
      <c r="AA40" s="24">
        <f>'P&amp;L'!AA37-'P&amp;L'!AA39</f>
        <v/>
      </c>
      <c r="AB40" s="24">
        <f>'P&amp;L'!AB37-'P&amp;L'!AB39</f>
        <v/>
      </c>
      <c r="AC40" s="24">
        <f>'P&amp;L'!AC37-'P&amp;L'!AC39</f>
        <v/>
      </c>
      <c r="AD40" s="24">
        <f>'P&amp;L'!AD37-'P&amp;L'!AD39</f>
        <v/>
      </c>
      <c r="AE40" s="24">
        <f>'P&amp;L'!AE37-'P&amp;L'!AE39</f>
        <v/>
      </c>
      <c r="AG40" s="24">
        <f>SUMIF($C$3:$AE$3,AG$3,$C40:$AE40)</f>
        <v/>
      </c>
      <c r="AH40" s="24">
        <f>SUMIF($C$3:$AE$3,AH$3,$C40:$AE40)</f>
        <v/>
      </c>
      <c r="AI40" s="24">
        <f>SUMIF($C$3:$AE$3,AI$3,$C40:$AE40)</f>
        <v/>
      </c>
      <c r="AJ40" s="24">
        <f>SUMIF($C$3:$AE$3,AJ$3,$C40:$AE40)</f>
        <v/>
      </c>
      <c r="AK40" s="24">
        <f>SUMIF($C$3:$AE$3,AK$3,$C40:$AE40)</f>
        <v/>
      </c>
      <c r="AL40" s="24">
        <f>SUMIF($C$3:$AE$3,AL$3,$C40:$AE40)</f>
        <v/>
      </c>
    </row>
    <row r="41">
      <c r="A41" t="inlineStr">
        <is>
          <t>memo: count of periods with positive EBITDA</t>
        </is>
      </c>
      <c r="B41" s="2" t="inlineStr"/>
      <c r="C41" s="4">
        <f>COUNTIF($C32:C32,"&gt;0")</f>
        <v/>
      </c>
      <c r="D41" s="4">
        <f>COUNTIF($C32:D32,"&gt;0")</f>
        <v/>
      </c>
      <c r="E41" s="4">
        <f>COUNTIF($C32:E32,"&gt;0")</f>
        <v/>
      </c>
      <c r="F41" s="4">
        <f>COUNTIF($C32:F32,"&gt;0")</f>
        <v/>
      </c>
      <c r="G41" s="4">
        <f>COUNTIF($C32:G32,"&gt;0")</f>
        <v/>
      </c>
      <c r="H41" s="4">
        <f>COUNTIF($C32:H32,"&gt;0")</f>
        <v/>
      </c>
      <c r="I41" s="4">
        <f>COUNTIF($C32:I32,"&gt;0")</f>
        <v/>
      </c>
      <c r="J41" s="4">
        <f>COUNTIF($C32:J32,"&gt;0")</f>
        <v/>
      </c>
      <c r="K41" s="4">
        <f>COUNTIF($C32:K32,"&gt;0")</f>
        <v/>
      </c>
      <c r="L41" s="4">
        <f>COUNTIF($C32:L32,"&gt;0")</f>
        <v/>
      </c>
      <c r="M41" s="4">
        <f>COUNTIF($C32:M32,"&gt;0")</f>
        <v/>
      </c>
      <c r="N41" s="4">
        <f>COUNTIF($C32:N32,"&gt;0")</f>
        <v/>
      </c>
      <c r="O41" s="4">
        <f>COUNTIF($C32:O32,"&gt;0")</f>
        <v/>
      </c>
      <c r="P41" s="4">
        <f>COUNTIF($C32:P32,"&gt;0")</f>
        <v/>
      </c>
      <c r="Q41" s="4">
        <f>COUNTIF($C32:Q32,"&gt;0")</f>
        <v/>
      </c>
      <c r="R41" s="4">
        <f>COUNTIF($C32:R32,"&gt;0")</f>
        <v/>
      </c>
      <c r="S41" s="4">
        <f>COUNTIF($C32:S32,"&gt;0")</f>
        <v/>
      </c>
      <c r="T41" s="4">
        <f>COUNTIF($C32:T32,"&gt;0")</f>
        <v/>
      </c>
      <c r="U41" s="4">
        <f>COUNTIF($C32:U32,"&gt;0")</f>
        <v/>
      </c>
      <c r="V41" s="4">
        <f>COUNTIF($C32:V32,"&gt;0")</f>
        <v/>
      </c>
      <c r="W41" s="4">
        <f>COUNTIF($C32:W32,"&gt;0")</f>
        <v/>
      </c>
      <c r="X41" s="4">
        <f>COUNTIF($C32:X32,"&gt;0")</f>
        <v/>
      </c>
      <c r="Y41" s="4">
        <f>COUNTIF($C32:Y32,"&gt;0")</f>
        <v/>
      </c>
      <c r="Z41" s="4">
        <f>COUNTIF($C32:Z32,"&gt;0")</f>
        <v/>
      </c>
      <c r="AA41" s="4">
        <f>COUNTIF($C32:AA32,"&gt;0")</f>
        <v/>
      </c>
      <c r="AB41" s="4">
        <f>COUNTIF($C32:AB32,"&gt;0")</f>
        <v/>
      </c>
      <c r="AC41" s="4">
        <f>COUNTIF($C32:AC32,"&gt;0")</f>
        <v/>
      </c>
      <c r="AD41" s="4">
        <f>COUNTIF($C32:AD32,"&gt;0")</f>
        <v/>
      </c>
      <c r="AE41" s="4">
        <f>COUNTIF($C32:AE32,"&gt;0")</f>
        <v/>
      </c>
      <c r="AG41" s="4">
        <f>IF(AG32&gt;0,1,0)</f>
        <v/>
      </c>
      <c r="AH41" s="4">
        <f>IF(AG32&gt;0,1,0)+IF(AH32&gt;0,1,0)</f>
        <v/>
      </c>
      <c r="AI41" s="4">
        <f>IF(AG32&gt;0,1,0)+IF(AH32&gt;0,1,0)+IF(AI32&gt;0,1,0)</f>
        <v/>
      </c>
      <c r="AJ41" s="4">
        <f>IF(AG32&gt;0,1,0)+IF(AH32&gt;0,1,0)+IF(AI32&gt;0,1,0)+IF(AJ32&gt;0,1,0)</f>
        <v/>
      </c>
      <c r="AK41" s="4">
        <f>IF(AG32&gt;0,1,0)+IF(AH32&gt;0,1,0)+IF(AI32&gt;0,1,0)+IF(AJ32&gt;0,1,0)+IF(AK32&gt;0,1,0)</f>
        <v/>
      </c>
      <c r="AL41" s="4">
        <f>IF(AG32&gt;0,1,0)+IF(AH32&gt;0,1,0)+IF(AI32&gt;0,1,0)+IF(AJ32&gt;0,1,0)+IF(AK32&gt;0,1,0)+IF(AL32&gt;0,1,0)</f>
        <v/>
      </c>
    </row>
    <row r="43">
      <c r="A43" s="8" t="inlineStr">
        <is>
          <t>Key ratios &amp; memo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</row>
    <row r="44">
      <c r="A44" t="inlineStr">
        <is>
          <t>Hardware gross margin %</t>
        </is>
      </c>
      <c r="B44" s="2" t="inlineStr">
        <is>
          <t>%</t>
        </is>
      </c>
      <c r="C44" s="5">
        <f>'Hardware COGS'!C17</f>
        <v/>
      </c>
      <c r="D44" s="5">
        <f>'Hardware COGS'!D17</f>
        <v/>
      </c>
      <c r="E44" s="5">
        <f>'Hardware COGS'!E17</f>
        <v/>
      </c>
      <c r="F44" s="5">
        <f>'Hardware COGS'!F17</f>
        <v/>
      </c>
      <c r="G44" s="5">
        <f>'Hardware COGS'!G17</f>
        <v/>
      </c>
      <c r="H44" s="5">
        <f>'Hardware COGS'!H17</f>
        <v/>
      </c>
      <c r="I44" s="5">
        <f>'Hardware COGS'!I17</f>
        <v/>
      </c>
      <c r="J44" s="5">
        <f>'Hardware COGS'!J17</f>
        <v/>
      </c>
      <c r="K44" s="5">
        <f>'Hardware COGS'!K17</f>
        <v/>
      </c>
      <c r="L44" s="5">
        <f>'Hardware COGS'!L17</f>
        <v/>
      </c>
      <c r="M44" s="5">
        <f>'Hardware COGS'!M17</f>
        <v/>
      </c>
      <c r="N44" s="5">
        <f>'Hardware COGS'!N17</f>
        <v/>
      </c>
      <c r="O44" s="5">
        <f>'Hardware COGS'!O17</f>
        <v/>
      </c>
      <c r="P44" s="5">
        <f>'Hardware COGS'!P17</f>
        <v/>
      </c>
      <c r="Q44" s="5">
        <f>'Hardware COGS'!Q17</f>
        <v/>
      </c>
      <c r="R44" s="5">
        <f>'Hardware COGS'!R17</f>
        <v/>
      </c>
      <c r="S44" s="5">
        <f>'Hardware COGS'!S17</f>
        <v/>
      </c>
      <c r="T44" s="5">
        <f>'Hardware COGS'!T17</f>
        <v/>
      </c>
      <c r="U44" s="5">
        <f>'Hardware COGS'!U17</f>
        <v/>
      </c>
      <c r="V44" s="5">
        <f>'Hardware COGS'!V17</f>
        <v/>
      </c>
      <c r="W44" s="5">
        <f>'Hardware COGS'!W17</f>
        <v/>
      </c>
      <c r="X44" s="5">
        <f>'Hardware COGS'!X17</f>
        <v/>
      </c>
      <c r="Y44" s="5">
        <f>'Hardware COGS'!Y17</f>
        <v/>
      </c>
      <c r="Z44" s="5">
        <f>'Hardware COGS'!Z17</f>
        <v/>
      </c>
      <c r="AA44" s="5">
        <f>'Hardware COGS'!AA17</f>
        <v/>
      </c>
      <c r="AB44" s="5">
        <f>'Hardware COGS'!AB17</f>
        <v/>
      </c>
      <c r="AC44" s="5">
        <f>'Hardware COGS'!AC17</f>
        <v/>
      </c>
      <c r="AD44" s="5">
        <f>'Hardware COGS'!AD17</f>
        <v/>
      </c>
      <c r="AE44" s="5">
        <f>'Hardware COGS'!AE17</f>
        <v/>
      </c>
      <c r="AG44" s="5">
        <f>'Hardware COGS'!AG17</f>
        <v/>
      </c>
      <c r="AH44" s="5">
        <f>'Hardware COGS'!AH17</f>
        <v/>
      </c>
      <c r="AI44" s="5">
        <f>'Hardware COGS'!AI17</f>
        <v/>
      </c>
      <c r="AJ44" s="5">
        <f>'Hardware COGS'!AJ17</f>
        <v/>
      </c>
      <c r="AK44" s="5">
        <f>'Hardware COGS'!AK17</f>
        <v/>
      </c>
      <c r="AL44" s="5">
        <f>'Hardware COGS'!AL17</f>
        <v/>
      </c>
    </row>
    <row r="45">
      <c r="A45" t="inlineStr">
        <is>
          <t>Units shipped</t>
        </is>
      </c>
      <c r="B45" s="2" t="inlineStr">
        <is>
          <t>units</t>
        </is>
      </c>
      <c r="C45" s="4">
        <f>'Pricing &amp; Mix'!C40</f>
        <v/>
      </c>
      <c r="D45" s="4">
        <f>'Pricing &amp; Mix'!D40</f>
        <v/>
      </c>
      <c r="E45" s="4">
        <f>'Pricing &amp; Mix'!E40</f>
        <v/>
      </c>
      <c r="F45" s="4">
        <f>'Pricing &amp; Mix'!F40</f>
        <v/>
      </c>
      <c r="G45" s="4">
        <f>'Pricing &amp; Mix'!G40</f>
        <v/>
      </c>
      <c r="H45" s="4">
        <f>'Pricing &amp; Mix'!H40</f>
        <v/>
      </c>
      <c r="I45" s="4">
        <f>'Pricing &amp; Mix'!I40</f>
        <v/>
      </c>
      <c r="J45" s="4">
        <f>'Pricing &amp; Mix'!J40</f>
        <v/>
      </c>
      <c r="K45" s="4">
        <f>'Pricing &amp; Mix'!K40</f>
        <v/>
      </c>
      <c r="L45" s="4">
        <f>'Pricing &amp; Mix'!L40</f>
        <v/>
      </c>
      <c r="M45" s="4">
        <f>'Pricing &amp; Mix'!M40</f>
        <v/>
      </c>
      <c r="N45" s="4">
        <f>'Pricing &amp; Mix'!N40</f>
        <v/>
      </c>
      <c r="O45" s="4">
        <f>'Pricing &amp; Mix'!O40</f>
        <v/>
      </c>
      <c r="P45" s="4">
        <f>'Pricing &amp; Mix'!P40</f>
        <v/>
      </c>
      <c r="Q45" s="4">
        <f>'Pricing &amp; Mix'!Q40</f>
        <v/>
      </c>
      <c r="R45" s="4">
        <f>'Pricing &amp; Mix'!R40</f>
        <v/>
      </c>
      <c r="S45" s="4">
        <f>'Pricing &amp; Mix'!S40</f>
        <v/>
      </c>
      <c r="T45" s="4">
        <f>'Pricing &amp; Mix'!T40</f>
        <v/>
      </c>
      <c r="U45" s="4">
        <f>'Pricing &amp; Mix'!U40</f>
        <v/>
      </c>
      <c r="V45" s="4">
        <f>'Pricing &amp; Mix'!V40</f>
        <v/>
      </c>
      <c r="W45" s="4">
        <f>'Pricing &amp; Mix'!W40</f>
        <v/>
      </c>
      <c r="X45" s="4">
        <f>'Pricing &amp; Mix'!X40</f>
        <v/>
      </c>
      <c r="Y45" s="4">
        <f>'Pricing &amp; Mix'!Y40</f>
        <v/>
      </c>
      <c r="Z45" s="4">
        <f>'Pricing &amp; Mix'!Z40</f>
        <v/>
      </c>
      <c r="AA45" s="4">
        <f>'Pricing &amp; Mix'!AA40</f>
        <v/>
      </c>
      <c r="AB45" s="4">
        <f>'Pricing &amp; Mix'!AB40</f>
        <v/>
      </c>
      <c r="AC45" s="4">
        <f>'Pricing &amp; Mix'!AC40</f>
        <v/>
      </c>
      <c r="AD45" s="4">
        <f>'Pricing &amp; Mix'!AD40</f>
        <v/>
      </c>
      <c r="AE45" s="4">
        <f>'Pricing &amp; Mix'!AE40</f>
        <v/>
      </c>
      <c r="AG45" s="4">
        <f>SUMIF($C$3:$AE$3,AG$3,$C45:$AE45)</f>
        <v/>
      </c>
      <c r="AH45" s="4">
        <f>SUMIF($C$3:$AE$3,AH$3,$C45:$AE45)</f>
        <v/>
      </c>
      <c r="AI45" s="4">
        <f>SUMIF($C$3:$AE$3,AI$3,$C45:$AE45)</f>
        <v/>
      </c>
      <c r="AJ45" s="4">
        <f>SUMIF($C$3:$AE$3,AJ$3,$C45:$AE45)</f>
        <v/>
      </c>
      <c r="AK45" s="4">
        <f>SUMIF($C$3:$AE$3,AK$3,$C45:$AE45)</f>
        <v/>
      </c>
      <c r="AL45" s="4">
        <f>SUMIF($C$3:$AE$3,AL$3,$C45:$AE45)</f>
        <v/>
      </c>
    </row>
    <row r="46">
      <c r="A46" t="inlineStr">
        <is>
          <t>Paid subscribers (end)</t>
        </is>
      </c>
      <c r="B46" s="2" t="inlineStr">
        <is>
          <t>subs</t>
        </is>
      </c>
      <c r="C46" s="4">
        <f>'Subscription Cohorts'!C19</f>
        <v/>
      </c>
      <c r="D46" s="4">
        <f>'Subscription Cohorts'!D19</f>
        <v/>
      </c>
      <c r="E46" s="4">
        <f>'Subscription Cohorts'!E19</f>
        <v/>
      </c>
      <c r="F46" s="4">
        <f>'Subscription Cohorts'!F19</f>
        <v/>
      </c>
      <c r="G46" s="4">
        <f>'Subscription Cohorts'!G19</f>
        <v/>
      </c>
      <c r="H46" s="4">
        <f>'Subscription Cohorts'!H19</f>
        <v/>
      </c>
      <c r="I46" s="4">
        <f>'Subscription Cohorts'!I19</f>
        <v/>
      </c>
      <c r="J46" s="4">
        <f>'Subscription Cohorts'!J19</f>
        <v/>
      </c>
      <c r="K46" s="4">
        <f>'Subscription Cohorts'!K19</f>
        <v/>
      </c>
      <c r="L46" s="4">
        <f>'Subscription Cohorts'!L19</f>
        <v/>
      </c>
      <c r="M46" s="4">
        <f>'Subscription Cohorts'!M19</f>
        <v/>
      </c>
      <c r="N46" s="4">
        <f>'Subscription Cohorts'!N19</f>
        <v/>
      </c>
      <c r="O46" s="4">
        <f>'Subscription Cohorts'!O19</f>
        <v/>
      </c>
      <c r="P46" s="4">
        <f>'Subscription Cohorts'!P19</f>
        <v/>
      </c>
      <c r="Q46" s="4">
        <f>'Subscription Cohorts'!Q19</f>
        <v/>
      </c>
      <c r="R46" s="4">
        <f>'Subscription Cohorts'!R19</f>
        <v/>
      </c>
      <c r="S46" s="4">
        <f>'Subscription Cohorts'!S19</f>
        <v/>
      </c>
      <c r="T46" s="4">
        <f>'Subscription Cohorts'!T19</f>
        <v/>
      </c>
      <c r="U46" s="4">
        <f>'Subscription Cohorts'!U19</f>
        <v/>
      </c>
      <c r="V46" s="4">
        <f>'Subscription Cohorts'!V19</f>
        <v/>
      </c>
      <c r="W46" s="4">
        <f>'Subscription Cohorts'!W19</f>
        <v/>
      </c>
      <c r="X46" s="4">
        <f>'Subscription Cohorts'!X19</f>
        <v/>
      </c>
      <c r="Y46" s="4">
        <f>'Subscription Cohorts'!Y19</f>
        <v/>
      </c>
      <c r="Z46" s="4">
        <f>'Subscription Cohorts'!Z19</f>
        <v/>
      </c>
      <c r="AA46" s="4">
        <f>'Subscription Cohorts'!AA19</f>
        <v/>
      </c>
      <c r="AB46" s="4">
        <f>'Subscription Cohorts'!AB19</f>
        <v/>
      </c>
      <c r="AC46" s="4">
        <f>'Subscription Cohorts'!AC19</f>
        <v/>
      </c>
      <c r="AD46" s="4">
        <f>'Subscription Cohorts'!AD19</f>
        <v/>
      </c>
      <c r="AE46" s="4">
        <f>'Subscription Cohorts'!AE19</f>
        <v/>
      </c>
      <c r="AG46" s="4">
        <f>D46</f>
        <v/>
      </c>
      <c r="AH46" s="4">
        <f>P46</f>
        <v/>
      </c>
      <c r="AI46" s="4">
        <f>AB46</f>
        <v/>
      </c>
      <c r="AJ46" s="4">
        <f>AC46</f>
        <v/>
      </c>
      <c r="AK46" s="4">
        <f>AD46</f>
        <v/>
      </c>
      <c r="AL46" s="4">
        <f>AE46</f>
        <v/>
      </c>
    </row>
    <row r="47">
      <c r="A47" t="inlineStr">
        <is>
          <t>Subscription ARR (end)</t>
        </is>
      </c>
      <c r="B47" s="2" t="inlineStr"/>
      <c r="C47" s="4">
        <f>'Subscription Cohorts'!C24</f>
        <v/>
      </c>
      <c r="D47" s="4">
        <f>'Subscription Cohorts'!D24</f>
        <v/>
      </c>
      <c r="E47" s="4">
        <f>'Subscription Cohorts'!E24</f>
        <v/>
      </c>
      <c r="F47" s="4">
        <f>'Subscription Cohorts'!F24</f>
        <v/>
      </c>
      <c r="G47" s="4">
        <f>'Subscription Cohorts'!G24</f>
        <v/>
      </c>
      <c r="H47" s="4">
        <f>'Subscription Cohorts'!H24</f>
        <v/>
      </c>
      <c r="I47" s="4">
        <f>'Subscription Cohorts'!I24</f>
        <v/>
      </c>
      <c r="J47" s="4">
        <f>'Subscription Cohorts'!J24</f>
        <v/>
      </c>
      <c r="K47" s="4">
        <f>'Subscription Cohorts'!K24</f>
        <v/>
      </c>
      <c r="L47" s="4">
        <f>'Subscription Cohorts'!L24</f>
        <v/>
      </c>
      <c r="M47" s="4">
        <f>'Subscription Cohorts'!M24</f>
        <v/>
      </c>
      <c r="N47" s="4">
        <f>'Subscription Cohorts'!N24</f>
        <v/>
      </c>
      <c r="O47" s="4">
        <f>'Subscription Cohorts'!O24</f>
        <v/>
      </c>
      <c r="P47" s="4">
        <f>'Subscription Cohorts'!P24</f>
        <v/>
      </c>
      <c r="Q47" s="4">
        <f>'Subscription Cohorts'!Q24</f>
        <v/>
      </c>
      <c r="R47" s="4">
        <f>'Subscription Cohorts'!R24</f>
        <v/>
      </c>
      <c r="S47" s="4">
        <f>'Subscription Cohorts'!S24</f>
        <v/>
      </c>
      <c r="T47" s="4">
        <f>'Subscription Cohorts'!T24</f>
        <v/>
      </c>
      <c r="U47" s="4">
        <f>'Subscription Cohorts'!U24</f>
        <v/>
      </c>
      <c r="V47" s="4">
        <f>'Subscription Cohorts'!V24</f>
        <v/>
      </c>
      <c r="W47" s="4">
        <f>'Subscription Cohorts'!W24</f>
        <v/>
      </c>
      <c r="X47" s="4">
        <f>'Subscription Cohorts'!X24</f>
        <v/>
      </c>
      <c r="Y47" s="4">
        <f>'Subscription Cohorts'!Y24</f>
        <v/>
      </c>
      <c r="Z47" s="4">
        <f>'Subscription Cohorts'!Z24</f>
        <v/>
      </c>
      <c r="AA47" s="4">
        <f>'Subscription Cohorts'!AA24</f>
        <v/>
      </c>
      <c r="AB47" s="4">
        <f>'Subscription Cohorts'!AB24</f>
        <v/>
      </c>
      <c r="AC47" s="4">
        <f>'Subscription Cohorts'!AC24</f>
        <v/>
      </c>
      <c r="AD47" s="4">
        <f>'Subscription Cohorts'!AD24</f>
        <v/>
      </c>
      <c r="AE47" s="4">
        <f>'Subscription Cohorts'!AE24</f>
        <v/>
      </c>
      <c r="AG47" s="4">
        <f>D47</f>
        <v/>
      </c>
      <c r="AH47" s="4">
        <f>P47</f>
        <v/>
      </c>
      <c r="AI47" s="4">
        <f>AB47</f>
        <v/>
      </c>
      <c r="AJ47" s="4">
        <f>AC47</f>
        <v/>
      </c>
      <c r="AK47" s="4">
        <f>AD47</f>
        <v/>
      </c>
      <c r="AL47" s="4">
        <f>AE47</f>
        <v/>
      </c>
    </row>
    <row r="48">
      <c r="A48" t="inlineStr">
        <is>
          <t>Headcount (end)</t>
        </is>
      </c>
      <c r="B48" s="2" t="inlineStr"/>
      <c r="C48" s="4">
        <f>'Headcount Plan'!C104</f>
        <v/>
      </c>
      <c r="D48" s="4">
        <f>'Headcount Plan'!D104</f>
        <v/>
      </c>
      <c r="E48" s="4">
        <f>'Headcount Plan'!E104</f>
        <v/>
      </c>
      <c r="F48" s="4">
        <f>'Headcount Plan'!F104</f>
        <v/>
      </c>
      <c r="G48" s="4">
        <f>'Headcount Plan'!G104</f>
        <v/>
      </c>
      <c r="H48" s="4">
        <f>'Headcount Plan'!H104</f>
        <v/>
      </c>
      <c r="I48" s="4">
        <f>'Headcount Plan'!I104</f>
        <v/>
      </c>
      <c r="J48" s="4">
        <f>'Headcount Plan'!J104</f>
        <v/>
      </c>
      <c r="K48" s="4">
        <f>'Headcount Plan'!K104</f>
        <v/>
      </c>
      <c r="L48" s="4">
        <f>'Headcount Plan'!L104</f>
        <v/>
      </c>
      <c r="M48" s="4">
        <f>'Headcount Plan'!M104</f>
        <v/>
      </c>
      <c r="N48" s="4">
        <f>'Headcount Plan'!N104</f>
        <v/>
      </c>
      <c r="O48" s="4">
        <f>'Headcount Plan'!O104</f>
        <v/>
      </c>
      <c r="P48" s="4">
        <f>'Headcount Plan'!P104</f>
        <v/>
      </c>
      <c r="Q48" s="4">
        <f>'Headcount Plan'!Q104</f>
        <v/>
      </c>
      <c r="R48" s="4">
        <f>'Headcount Plan'!R104</f>
        <v/>
      </c>
      <c r="S48" s="4">
        <f>'Headcount Plan'!S104</f>
        <v/>
      </c>
      <c r="T48" s="4">
        <f>'Headcount Plan'!T104</f>
        <v/>
      </c>
      <c r="U48" s="4">
        <f>'Headcount Plan'!U104</f>
        <v/>
      </c>
      <c r="V48" s="4">
        <f>'Headcount Plan'!V104</f>
        <v/>
      </c>
      <c r="W48" s="4">
        <f>'Headcount Plan'!W104</f>
        <v/>
      </c>
      <c r="X48" s="4">
        <f>'Headcount Plan'!X104</f>
        <v/>
      </c>
      <c r="Y48" s="4">
        <f>'Headcount Plan'!Y104</f>
        <v/>
      </c>
      <c r="Z48" s="4">
        <f>'Headcount Plan'!Z104</f>
        <v/>
      </c>
      <c r="AA48" s="4">
        <f>'Headcount Plan'!AA104</f>
        <v/>
      </c>
      <c r="AB48" s="4">
        <f>'Headcount Plan'!AB104</f>
        <v/>
      </c>
      <c r="AC48" s="4">
        <f>'Headcount Plan'!AC104</f>
        <v/>
      </c>
      <c r="AD48" s="4">
        <f>'Headcount Plan'!AD104</f>
        <v/>
      </c>
      <c r="AE48" s="4">
        <f>'Headcount Plan'!AE104</f>
        <v/>
      </c>
      <c r="AG48" s="4">
        <f>D48</f>
        <v/>
      </c>
      <c r="AH48" s="4">
        <f>P48</f>
        <v/>
      </c>
      <c r="AI48" s="4">
        <f>AB48</f>
        <v/>
      </c>
      <c r="AJ48" s="4">
        <f>AC48</f>
        <v/>
      </c>
      <c r="AK48" s="4">
        <f>AD48</f>
        <v/>
      </c>
      <c r="AL48" s="4">
        <f>AE48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L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Cash flow statement (indirect)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9">
      <c r="A9" s="8" t="inlineStr">
        <is>
          <t>Operating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t="inlineStr">
        <is>
          <t>Net income</t>
        </is>
      </c>
      <c r="B10" s="2" t="inlineStr"/>
      <c r="C10" s="4">
        <f>'P&amp;L'!C40</f>
        <v/>
      </c>
      <c r="D10" s="4">
        <f>'P&amp;L'!D40</f>
        <v/>
      </c>
      <c r="E10" s="4">
        <f>'P&amp;L'!E40</f>
        <v/>
      </c>
      <c r="F10" s="4">
        <f>'P&amp;L'!F40</f>
        <v/>
      </c>
      <c r="G10" s="4">
        <f>'P&amp;L'!G40</f>
        <v/>
      </c>
      <c r="H10" s="4">
        <f>'P&amp;L'!H40</f>
        <v/>
      </c>
      <c r="I10" s="4">
        <f>'P&amp;L'!I40</f>
        <v/>
      </c>
      <c r="J10" s="4">
        <f>'P&amp;L'!J40</f>
        <v/>
      </c>
      <c r="K10" s="4">
        <f>'P&amp;L'!K40</f>
        <v/>
      </c>
      <c r="L10" s="4">
        <f>'P&amp;L'!L40</f>
        <v/>
      </c>
      <c r="M10" s="4">
        <f>'P&amp;L'!M40</f>
        <v/>
      </c>
      <c r="N10" s="4">
        <f>'P&amp;L'!N40</f>
        <v/>
      </c>
      <c r="O10" s="4">
        <f>'P&amp;L'!O40</f>
        <v/>
      </c>
      <c r="P10" s="4">
        <f>'P&amp;L'!P40</f>
        <v/>
      </c>
      <c r="Q10" s="4">
        <f>'P&amp;L'!Q40</f>
        <v/>
      </c>
      <c r="R10" s="4">
        <f>'P&amp;L'!R40</f>
        <v/>
      </c>
      <c r="S10" s="4">
        <f>'P&amp;L'!S40</f>
        <v/>
      </c>
      <c r="T10" s="4">
        <f>'P&amp;L'!T40</f>
        <v/>
      </c>
      <c r="U10" s="4">
        <f>'P&amp;L'!U40</f>
        <v/>
      </c>
      <c r="V10" s="4">
        <f>'P&amp;L'!V40</f>
        <v/>
      </c>
      <c r="W10" s="4">
        <f>'P&amp;L'!W40</f>
        <v/>
      </c>
      <c r="X10" s="4">
        <f>'P&amp;L'!X40</f>
        <v/>
      </c>
      <c r="Y10" s="4">
        <f>'P&amp;L'!Y40</f>
        <v/>
      </c>
      <c r="Z10" s="4">
        <f>'P&amp;L'!Z40</f>
        <v/>
      </c>
      <c r="AA10" s="4">
        <f>'P&amp;L'!AA40</f>
        <v/>
      </c>
      <c r="AB10" s="4">
        <f>'P&amp;L'!AB40</f>
        <v/>
      </c>
      <c r="AC10" s="4">
        <f>'P&amp;L'!AC40</f>
        <v/>
      </c>
      <c r="AD10" s="4">
        <f>'P&amp;L'!AD40</f>
        <v/>
      </c>
      <c r="AE10" s="4">
        <f>'P&amp;L'!AE40</f>
        <v/>
      </c>
      <c r="AG10" s="4">
        <f>SUMIF($C$3:$AE$3,AG$3,$C10:$AE10)</f>
        <v/>
      </c>
      <c r="AH10" s="4">
        <f>SUMIF($C$3:$AE$3,AH$3,$C10:$AE10)</f>
        <v/>
      </c>
      <c r="AI10" s="4">
        <f>SUMIF($C$3:$AE$3,AI$3,$C10:$AE10)</f>
        <v/>
      </c>
      <c r="AJ10" s="4">
        <f>SUMIF($C$3:$AE$3,AJ$3,$C10:$AE10)</f>
        <v/>
      </c>
      <c r="AK10" s="4">
        <f>SUMIF($C$3:$AE$3,AK$3,$C10:$AE10)</f>
        <v/>
      </c>
      <c r="AL10" s="4">
        <f>SUMIF($C$3:$AE$3,AL$3,$C10:$AE10)</f>
        <v/>
      </c>
    </row>
    <row r="11">
      <c r="A11" t="inlineStr">
        <is>
          <t>Add: depreciation</t>
        </is>
      </c>
      <c r="B11" s="2" t="inlineStr"/>
      <c r="C11" s="4">
        <f>'Working Capital'!C27</f>
        <v/>
      </c>
      <c r="D11" s="4">
        <f>'Working Capital'!D27</f>
        <v/>
      </c>
      <c r="E11" s="4">
        <f>'Working Capital'!E27</f>
        <v/>
      </c>
      <c r="F11" s="4">
        <f>'Working Capital'!F27</f>
        <v/>
      </c>
      <c r="G11" s="4">
        <f>'Working Capital'!G27</f>
        <v/>
      </c>
      <c r="H11" s="4">
        <f>'Working Capital'!H27</f>
        <v/>
      </c>
      <c r="I11" s="4">
        <f>'Working Capital'!I27</f>
        <v/>
      </c>
      <c r="J11" s="4">
        <f>'Working Capital'!J27</f>
        <v/>
      </c>
      <c r="K11" s="4">
        <f>'Working Capital'!K27</f>
        <v/>
      </c>
      <c r="L11" s="4">
        <f>'Working Capital'!L27</f>
        <v/>
      </c>
      <c r="M11" s="4">
        <f>'Working Capital'!M27</f>
        <v/>
      </c>
      <c r="N11" s="4">
        <f>'Working Capital'!N27</f>
        <v/>
      </c>
      <c r="O11" s="4">
        <f>'Working Capital'!O27</f>
        <v/>
      </c>
      <c r="P11" s="4">
        <f>'Working Capital'!P27</f>
        <v/>
      </c>
      <c r="Q11" s="4">
        <f>'Working Capital'!Q27</f>
        <v/>
      </c>
      <c r="R11" s="4">
        <f>'Working Capital'!R27</f>
        <v/>
      </c>
      <c r="S11" s="4">
        <f>'Working Capital'!S27</f>
        <v/>
      </c>
      <c r="T11" s="4">
        <f>'Working Capital'!T27</f>
        <v/>
      </c>
      <c r="U11" s="4">
        <f>'Working Capital'!U27</f>
        <v/>
      </c>
      <c r="V11" s="4">
        <f>'Working Capital'!V27</f>
        <v/>
      </c>
      <c r="W11" s="4">
        <f>'Working Capital'!W27</f>
        <v/>
      </c>
      <c r="X11" s="4">
        <f>'Working Capital'!X27</f>
        <v/>
      </c>
      <c r="Y11" s="4">
        <f>'Working Capital'!Y27</f>
        <v/>
      </c>
      <c r="Z11" s="4">
        <f>'Working Capital'!Z27</f>
        <v/>
      </c>
      <c r="AA11" s="4">
        <f>'Working Capital'!AA27</f>
        <v/>
      </c>
      <c r="AB11" s="4">
        <f>'Working Capital'!AB27</f>
        <v/>
      </c>
      <c r="AC11" s="4">
        <f>'Working Capital'!AC27</f>
        <v/>
      </c>
      <c r="AD11" s="4">
        <f>'Working Capital'!AD27</f>
        <v/>
      </c>
      <c r="AE11" s="4">
        <f>'Working Capital'!AE27</f>
        <v/>
      </c>
      <c r="AG11" s="4">
        <f>SUMIF($C$3:$AE$3,AG$3,$C11:$AE11)</f>
        <v/>
      </c>
      <c r="AH11" s="4">
        <f>SUMIF($C$3:$AE$3,AH$3,$C11:$AE11)</f>
        <v/>
      </c>
      <c r="AI11" s="4">
        <f>SUMIF($C$3:$AE$3,AI$3,$C11:$AE11)</f>
        <v/>
      </c>
      <c r="AJ11" s="4">
        <f>SUMIF($C$3:$AE$3,AJ$3,$C11:$AE11)</f>
        <v/>
      </c>
      <c r="AK11" s="4">
        <f>SUMIF($C$3:$AE$3,AK$3,$C11:$AE11)</f>
        <v/>
      </c>
      <c r="AL11" s="4">
        <f>SUMIF($C$3:$AE$3,AL$3,$C11:$AE11)</f>
        <v/>
      </c>
    </row>
    <row r="12">
      <c r="A12" t="inlineStr">
        <is>
          <t>(Increase)/decrease in receivables</t>
        </is>
      </c>
      <c r="B12" s="2" t="inlineStr"/>
      <c r="C12" s="4">
        <f>0-'Working Capital'!C15</f>
        <v/>
      </c>
      <c r="D12" s="4">
        <f>'Working Capital'!C15-'Working Capital'!D15</f>
        <v/>
      </c>
      <c r="E12" s="4">
        <f>'Working Capital'!D15-'Working Capital'!E15</f>
        <v/>
      </c>
      <c r="F12" s="4">
        <f>'Working Capital'!E15-'Working Capital'!F15</f>
        <v/>
      </c>
      <c r="G12" s="4">
        <f>'Working Capital'!F15-'Working Capital'!G15</f>
        <v/>
      </c>
      <c r="H12" s="4">
        <f>'Working Capital'!G15-'Working Capital'!H15</f>
        <v/>
      </c>
      <c r="I12" s="4">
        <f>'Working Capital'!H15-'Working Capital'!I15</f>
        <v/>
      </c>
      <c r="J12" s="4">
        <f>'Working Capital'!I15-'Working Capital'!J15</f>
        <v/>
      </c>
      <c r="K12" s="4">
        <f>'Working Capital'!J15-'Working Capital'!K15</f>
        <v/>
      </c>
      <c r="L12" s="4">
        <f>'Working Capital'!K15-'Working Capital'!L15</f>
        <v/>
      </c>
      <c r="M12" s="4">
        <f>'Working Capital'!L15-'Working Capital'!M15</f>
        <v/>
      </c>
      <c r="N12" s="4">
        <f>'Working Capital'!M15-'Working Capital'!N15</f>
        <v/>
      </c>
      <c r="O12" s="4">
        <f>'Working Capital'!N15-'Working Capital'!O15</f>
        <v/>
      </c>
      <c r="P12" s="4">
        <f>'Working Capital'!O15-'Working Capital'!P15</f>
        <v/>
      </c>
      <c r="Q12" s="4">
        <f>'Working Capital'!P15-'Working Capital'!Q15</f>
        <v/>
      </c>
      <c r="R12" s="4">
        <f>'Working Capital'!Q15-'Working Capital'!R15</f>
        <v/>
      </c>
      <c r="S12" s="4">
        <f>'Working Capital'!R15-'Working Capital'!S15</f>
        <v/>
      </c>
      <c r="T12" s="4">
        <f>'Working Capital'!S15-'Working Capital'!T15</f>
        <v/>
      </c>
      <c r="U12" s="4">
        <f>'Working Capital'!T15-'Working Capital'!U15</f>
        <v/>
      </c>
      <c r="V12" s="4">
        <f>'Working Capital'!U15-'Working Capital'!V15</f>
        <v/>
      </c>
      <c r="W12" s="4">
        <f>'Working Capital'!V15-'Working Capital'!W15</f>
        <v/>
      </c>
      <c r="X12" s="4">
        <f>'Working Capital'!W15-'Working Capital'!X15</f>
        <v/>
      </c>
      <c r="Y12" s="4">
        <f>'Working Capital'!X15-'Working Capital'!Y15</f>
        <v/>
      </c>
      <c r="Z12" s="4">
        <f>'Working Capital'!Y15-'Working Capital'!Z15</f>
        <v/>
      </c>
      <c r="AA12" s="4">
        <f>'Working Capital'!Z15-'Working Capital'!AA15</f>
        <v/>
      </c>
      <c r="AB12" s="4">
        <f>'Working Capital'!AA15-'Working Capital'!AB15</f>
        <v/>
      </c>
      <c r="AC12" s="4">
        <f>'Working Capital'!AB15-'Working Capital'!AC15</f>
        <v/>
      </c>
      <c r="AD12" s="4">
        <f>'Working Capital'!AC15-'Working Capital'!AD15</f>
        <v/>
      </c>
      <c r="AE12" s="4">
        <f>'Working Capital'!AD15-'Working Capital'!AE15</f>
        <v/>
      </c>
      <c r="AG12" s="4">
        <f>SUMIF($C$3:$AE$3,AG$3,$C12:$AE12)</f>
        <v/>
      </c>
      <c r="AH12" s="4">
        <f>SUMIF($C$3:$AE$3,AH$3,$C12:$AE12)</f>
        <v/>
      </c>
      <c r="AI12" s="4">
        <f>SUMIF($C$3:$AE$3,AI$3,$C12:$AE12)</f>
        <v/>
      </c>
      <c r="AJ12" s="4">
        <f>SUMIF($C$3:$AE$3,AJ$3,$C12:$AE12)</f>
        <v/>
      </c>
      <c r="AK12" s="4">
        <f>SUMIF($C$3:$AE$3,AK$3,$C12:$AE12)</f>
        <v/>
      </c>
      <c r="AL12" s="4">
        <f>SUMIF($C$3:$AE$3,AL$3,$C12:$AE12)</f>
        <v/>
      </c>
    </row>
    <row r="13">
      <c r="A13" t="inlineStr">
        <is>
          <t>(Increase)/decrease in inventory &amp; ODM deposits</t>
        </is>
      </c>
      <c r="B13" s="2" t="inlineStr"/>
      <c r="C13" s="4">
        <f>0-'Working Capital'!C12</f>
        <v/>
      </c>
      <c r="D13" s="4">
        <f>'Working Capital'!C12-'Working Capital'!D12</f>
        <v/>
      </c>
      <c r="E13" s="4">
        <f>'Working Capital'!D12-'Working Capital'!E12</f>
        <v/>
      </c>
      <c r="F13" s="4">
        <f>'Working Capital'!E12-'Working Capital'!F12</f>
        <v/>
      </c>
      <c r="G13" s="4">
        <f>'Working Capital'!F12-'Working Capital'!G12</f>
        <v/>
      </c>
      <c r="H13" s="4">
        <f>'Working Capital'!G12-'Working Capital'!H12</f>
        <v/>
      </c>
      <c r="I13" s="4">
        <f>'Working Capital'!H12-'Working Capital'!I12</f>
        <v/>
      </c>
      <c r="J13" s="4">
        <f>'Working Capital'!I12-'Working Capital'!J12</f>
        <v/>
      </c>
      <c r="K13" s="4">
        <f>'Working Capital'!J12-'Working Capital'!K12</f>
        <v/>
      </c>
      <c r="L13" s="4">
        <f>'Working Capital'!K12-'Working Capital'!L12</f>
        <v/>
      </c>
      <c r="M13" s="4">
        <f>'Working Capital'!L12-'Working Capital'!M12</f>
        <v/>
      </c>
      <c r="N13" s="4">
        <f>'Working Capital'!M12-'Working Capital'!N12</f>
        <v/>
      </c>
      <c r="O13" s="4">
        <f>'Working Capital'!N12-'Working Capital'!O12</f>
        <v/>
      </c>
      <c r="P13" s="4">
        <f>'Working Capital'!O12-'Working Capital'!P12</f>
        <v/>
      </c>
      <c r="Q13" s="4">
        <f>'Working Capital'!P12-'Working Capital'!Q12</f>
        <v/>
      </c>
      <c r="R13" s="4">
        <f>'Working Capital'!Q12-'Working Capital'!R12</f>
        <v/>
      </c>
      <c r="S13" s="4">
        <f>'Working Capital'!R12-'Working Capital'!S12</f>
        <v/>
      </c>
      <c r="T13" s="4">
        <f>'Working Capital'!S12-'Working Capital'!T12</f>
        <v/>
      </c>
      <c r="U13" s="4">
        <f>'Working Capital'!T12-'Working Capital'!U12</f>
        <v/>
      </c>
      <c r="V13" s="4">
        <f>'Working Capital'!U12-'Working Capital'!V12</f>
        <v/>
      </c>
      <c r="W13" s="4">
        <f>'Working Capital'!V12-'Working Capital'!W12</f>
        <v/>
      </c>
      <c r="X13" s="4">
        <f>'Working Capital'!W12-'Working Capital'!X12</f>
        <v/>
      </c>
      <c r="Y13" s="4">
        <f>'Working Capital'!X12-'Working Capital'!Y12</f>
        <v/>
      </c>
      <c r="Z13" s="4">
        <f>'Working Capital'!Y12-'Working Capital'!Z12</f>
        <v/>
      </c>
      <c r="AA13" s="4">
        <f>'Working Capital'!Z12-'Working Capital'!AA12</f>
        <v/>
      </c>
      <c r="AB13" s="4">
        <f>'Working Capital'!AA12-'Working Capital'!AB12</f>
        <v/>
      </c>
      <c r="AC13" s="4">
        <f>'Working Capital'!AB12-'Working Capital'!AC12</f>
        <v/>
      </c>
      <c r="AD13" s="4">
        <f>'Working Capital'!AC12-'Working Capital'!AD12</f>
        <v/>
      </c>
      <c r="AE13" s="4">
        <f>'Working Capital'!AD12-'Working Capital'!AE12</f>
        <v/>
      </c>
      <c r="AG13" s="4">
        <f>SUMIF($C$3:$AE$3,AG$3,$C13:$AE13)</f>
        <v/>
      </c>
      <c r="AH13" s="4">
        <f>SUMIF($C$3:$AE$3,AH$3,$C13:$AE13)</f>
        <v/>
      </c>
      <c r="AI13" s="4">
        <f>SUMIF($C$3:$AE$3,AI$3,$C13:$AE13)</f>
        <v/>
      </c>
      <c r="AJ13" s="4">
        <f>SUMIF($C$3:$AE$3,AJ$3,$C13:$AE13)</f>
        <v/>
      </c>
      <c r="AK13" s="4">
        <f>SUMIF($C$3:$AE$3,AK$3,$C13:$AE13)</f>
        <v/>
      </c>
      <c r="AL13" s="4">
        <f>SUMIF($C$3:$AE$3,AL$3,$C13:$AE13)</f>
        <v/>
      </c>
    </row>
    <row r="14">
      <c r="A14" t="inlineStr">
        <is>
          <t>Increase/(decrease) in pre-order deferred revenue</t>
        </is>
      </c>
      <c r="B14" s="2" t="inlineStr"/>
      <c r="C14" s="4">
        <f>'Working Capital'!C20-0</f>
        <v/>
      </c>
      <c r="D14" s="4">
        <f>'Working Capital'!D20-'Working Capital'!C20</f>
        <v/>
      </c>
      <c r="E14" s="4">
        <f>'Working Capital'!E20-'Working Capital'!D20</f>
        <v/>
      </c>
      <c r="F14" s="4">
        <f>'Working Capital'!F20-'Working Capital'!E20</f>
        <v/>
      </c>
      <c r="G14" s="4">
        <f>'Working Capital'!G20-'Working Capital'!F20</f>
        <v/>
      </c>
      <c r="H14" s="4">
        <f>'Working Capital'!H20-'Working Capital'!G20</f>
        <v/>
      </c>
      <c r="I14" s="4">
        <f>'Working Capital'!I20-'Working Capital'!H20</f>
        <v/>
      </c>
      <c r="J14" s="4">
        <f>'Working Capital'!J20-'Working Capital'!I20</f>
        <v/>
      </c>
      <c r="K14" s="4">
        <f>'Working Capital'!K20-'Working Capital'!J20</f>
        <v/>
      </c>
      <c r="L14" s="4">
        <f>'Working Capital'!L20-'Working Capital'!K20</f>
        <v/>
      </c>
      <c r="M14" s="4">
        <f>'Working Capital'!M20-'Working Capital'!L20</f>
        <v/>
      </c>
      <c r="N14" s="4">
        <f>'Working Capital'!N20-'Working Capital'!M20</f>
        <v/>
      </c>
      <c r="O14" s="4">
        <f>'Working Capital'!O20-'Working Capital'!N20</f>
        <v/>
      </c>
      <c r="P14" s="4">
        <f>'Working Capital'!P20-'Working Capital'!O20</f>
        <v/>
      </c>
      <c r="Q14" s="4">
        <f>'Working Capital'!Q20-'Working Capital'!P20</f>
        <v/>
      </c>
      <c r="R14" s="4">
        <f>'Working Capital'!R20-'Working Capital'!Q20</f>
        <v/>
      </c>
      <c r="S14" s="4">
        <f>'Working Capital'!S20-'Working Capital'!R20</f>
        <v/>
      </c>
      <c r="T14" s="4">
        <f>'Working Capital'!T20-'Working Capital'!S20</f>
        <v/>
      </c>
      <c r="U14" s="4">
        <f>'Working Capital'!U20-'Working Capital'!T20</f>
        <v/>
      </c>
      <c r="V14" s="4">
        <f>'Working Capital'!V20-'Working Capital'!U20</f>
        <v/>
      </c>
      <c r="W14" s="4">
        <f>'Working Capital'!W20-'Working Capital'!V20</f>
        <v/>
      </c>
      <c r="X14" s="4">
        <f>'Working Capital'!X20-'Working Capital'!W20</f>
        <v/>
      </c>
      <c r="Y14" s="4">
        <f>'Working Capital'!Y20-'Working Capital'!X20</f>
        <v/>
      </c>
      <c r="Z14" s="4">
        <f>'Working Capital'!Z20-'Working Capital'!Y20</f>
        <v/>
      </c>
      <c r="AA14" s="4">
        <f>'Working Capital'!AA20-'Working Capital'!Z20</f>
        <v/>
      </c>
      <c r="AB14" s="4">
        <f>'Working Capital'!AB20-'Working Capital'!AA20</f>
        <v/>
      </c>
      <c r="AC14" s="4">
        <f>'Working Capital'!AC20-'Working Capital'!AB20</f>
        <v/>
      </c>
      <c r="AD14" s="4">
        <f>'Working Capital'!AD20-'Working Capital'!AC20</f>
        <v/>
      </c>
      <c r="AE14" s="4">
        <f>'Working Capital'!AE20-'Working Capital'!AD20</f>
        <v/>
      </c>
      <c r="AG14" s="4">
        <f>SUMIF($C$3:$AE$3,AG$3,$C14:$AE14)</f>
        <v/>
      </c>
      <c r="AH14" s="4">
        <f>SUMIF($C$3:$AE$3,AH$3,$C14:$AE14)</f>
        <v/>
      </c>
      <c r="AI14" s="4">
        <f>SUMIF($C$3:$AE$3,AI$3,$C14:$AE14)</f>
        <v/>
      </c>
      <c r="AJ14" s="4">
        <f>SUMIF($C$3:$AE$3,AJ$3,$C14:$AE14)</f>
        <v/>
      </c>
      <c r="AK14" s="4">
        <f>SUMIF($C$3:$AE$3,AK$3,$C14:$AE14)</f>
        <v/>
      </c>
      <c r="AL14" s="4">
        <f>SUMIF($C$3:$AE$3,AL$3,$C14:$AE14)</f>
        <v/>
      </c>
    </row>
    <row r="15">
      <c r="A15" s="13" t="inlineStr">
        <is>
          <t>CASH FROM OPERATIONS</t>
        </is>
      </c>
      <c r="B15" s="2" t="inlineStr"/>
      <c r="C15" s="24">
        <f>SUM(C10:C14)</f>
        <v/>
      </c>
      <c r="D15" s="24">
        <f>SUM(D10:D14)</f>
        <v/>
      </c>
      <c r="E15" s="24">
        <f>SUM(E10:E14)</f>
        <v/>
      </c>
      <c r="F15" s="24">
        <f>SUM(F10:F14)</f>
        <v/>
      </c>
      <c r="G15" s="24">
        <f>SUM(G10:G14)</f>
        <v/>
      </c>
      <c r="H15" s="24">
        <f>SUM(H10:H14)</f>
        <v/>
      </c>
      <c r="I15" s="24">
        <f>SUM(I10:I14)</f>
        <v/>
      </c>
      <c r="J15" s="24">
        <f>SUM(J10:J14)</f>
        <v/>
      </c>
      <c r="K15" s="24">
        <f>SUM(K10:K14)</f>
        <v/>
      </c>
      <c r="L15" s="24">
        <f>SUM(L10:L14)</f>
        <v/>
      </c>
      <c r="M15" s="24">
        <f>SUM(M10:M14)</f>
        <v/>
      </c>
      <c r="N15" s="24">
        <f>SUM(N10:N14)</f>
        <v/>
      </c>
      <c r="O15" s="24">
        <f>SUM(O10:O14)</f>
        <v/>
      </c>
      <c r="P15" s="24">
        <f>SUM(P10:P14)</f>
        <v/>
      </c>
      <c r="Q15" s="24">
        <f>SUM(Q10:Q14)</f>
        <v/>
      </c>
      <c r="R15" s="24">
        <f>SUM(R10:R14)</f>
        <v/>
      </c>
      <c r="S15" s="24">
        <f>SUM(S10:S14)</f>
        <v/>
      </c>
      <c r="T15" s="24">
        <f>SUM(T10:T14)</f>
        <v/>
      </c>
      <c r="U15" s="24">
        <f>SUM(U10:U14)</f>
        <v/>
      </c>
      <c r="V15" s="24">
        <f>SUM(V10:V14)</f>
        <v/>
      </c>
      <c r="W15" s="24">
        <f>SUM(W10:W14)</f>
        <v/>
      </c>
      <c r="X15" s="24">
        <f>SUM(X10:X14)</f>
        <v/>
      </c>
      <c r="Y15" s="24">
        <f>SUM(Y10:Y14)</f>
        <v/>
      </c>
      <c r="Z15" s="24">
        <f>SUM(Z10:Z14)</f>
        <v/>
      </c>
      <c r="AA15" s="24">
        <f>SUM(AA10:AA14)</f>
        <v/>
      </c>
      <c r="AB15" s="24">
        <f>SUM(AB10:AB14)</f>
        <v/>
      </c>
      <c r="AC15" s="24">
        <f>SUM(AC10:AC14)</f>
        <v/>
      </c>
      <c r="AD15" s="24">
        <f>SUM(AD10:AD14)</f>
        <v/>
      </c>
      <c r="AE15" s="24">
        <f>SUM(AE10:AE14)</f>
        <v/>
      </c>
      <c r="AG15" s="24">
        <f>SUMIF($C$3:$AE$3,AG$3,$C15:$AE15)</f>
        <v/>
      </c>
      <c r="AH15" s="24">
        <f>SUMIF($C$3:$AE$3,AH$3,$C15:$AE15)</f>
        <v/>
      </c>
      <c r="AI15" s="24">
        <f>SUMIF($C$3:$AE$3,AI$3,$C15:$AE15)</f>
        <v/>
      </c>
      <c r="AJ15" s="24">
        <f>SUMIF($C$3:$AE$3,AJ$3,$C15:$AE15)</f>
        <v/>
      </c>
      <c r="AK15" s="24">
        <f>SUMIF($C$3:$AE$3,AK$3,$C15:$AE15)</f>
        <v/>
      </c>
      <c r="AL15" s="24">
        <f>SUMIF($C$3:$AE$3,AL$3,$C15:$AE15)</f>
        <v/>
      </c>
    </row>
    <row r="17">
      <c r="A17" s="8" t="inlineStr">
        <is>
          <t>Investing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t="inlineStr">
        <is>
          <t>Capex (tooling + fleet devices)</t>
        </is>
      </c>
      <c r="B18" s="2" t="inlineStr"/>
      <c r="C18" s="4">
        <f>-'Working Capital'!C26</f>
        <v/>
      </c>
      <c r="D18" s="4">
        <f>-'Working Capital'!D26</f>
        <v/>
      </c>
      <c r="E18" s="4">
        <f>-'Working Capital'!E26</f>
        <v/>
      </c>
      <c r="F18" s="4">
        <f>-'Working Capital'!F26</f>
        <v/>
      </c>
      <c r="G18" s="4">
        <f>-'Working Capital'!G26</f>
        <v/>
      </c>
      <c r="H18" s="4">
        <f>-'Working Capital'!H26</f>
        <v/>
      </c>
      <c r="I18" s="4">
        <f>-'Working Capital'!I26</f>
        <v/>
      </c>
      <c r="J18" s="4">
        <f>-'Working Capital'!J26</f>
        <v/>
      </c>
      <c r="K18" s="4">
        <f>-'Working Capital'!K26</f>
        <v/>
      </c>
      <c r="L18" s="4">
        <f>-'Working Capital'!L26</f>
        <v/>
      </c>
      <c r="M18" s="4">
        <f>-'Working Capital'!M26</f>
        <v/>
      </c>
      <c r="N18" s="4">
        <f>-'Working Capital'!N26</f>
        <v/>
      </c>
      <c r="O18" s="4">
        <f>-'Working Capital'!O26</f>
        <v/>
      </c>
      <c r="P18" s="4">
        <f>-'Working Capital'!P26</f>
        <v/>
      </c>
      <c r="Q18" s="4">
        <f>-'Working Capital'!Q26</f>
        <v/>
      </c>
      <c r="R18" s="4">
        <f>-'Working Capital'!R26</f>
        <v/>
      </c>
      <c r="S18" s="4">
        <f>-'Working Capital'!S26</f>
        <v/>
      </c>
      <c r="T18" s="4">
        <f>-'Working Capital'!T26</f>
        <v/>
      </c>
      <c r="U18" s="4">
        <f>-'Working Capital'!U26</f>
        <v/>
      </c>
      <c r="V18" s="4">
        <f>-'Working Capital'!V26</f>
        <v/>
      </c>
      <c r="W18" s="4">
        <f>-'Working Capital'!W26</f>
        <v/>
      </c>
      <c r="X18" s="4">
        <f>-'Working Capital'!X26</f>
        <v/>
      </c>
      <c r="Y18" s="4">
        <f>-'Working Capital'!Y26</f>
        <v/>
      </c>
      <c r="Z18" s="4">
        <f>-'Working Capital'!Z26</f>
        <v/>
      </c>
      <c r="AA18" s="4">
        <f>-'Working Capital'!AA26</f>
        <v/>
      </c>
      <c r="AB18" s="4">
        <f>-'Working Capital'!AB26</f>
        <v/>
      </c>
      <c r="AC18" s="4">
        <f>-'Working Capital'!AC26</f>
        <v/>
      </c>
      <c r="AD18" s="4">
        <f>-'Working Capital'!AD26</f>
        <v/>
      </c>
      <c r="AE18" s="4">
        <f>-'Working Capital'!AE26</f>
        <v/>
      </c>
      <c r="AG18" s="4">
        <f>SUMIF($C$3:$AE$3,AG$3,$C18:$AE18)</f>
        <v/>
      </c>
      <c r="AH18" s="4">
        <f>SUMIF($C$3:$AE$3,AH$3,$C18:$AE18)</f>
        <v/>
      </c>
      <c r="AI18" s="4">
        <f>SUMIF($C$3:$AE$3,AI$3,$C18:$AE18)</f>
        <v/>
      </c>
      <c r="AJ18" s="4">
        <f>SUMIF($C$3:$AE$3,AJ$3,$C18:$AE18)</f>
        <v/>
      </c>
      <c r="AK18" s="4">
        <f>SUMIF($C$3:$AE$3,AK$3,$C18:$AE18)</f>
        <v/>
      </c>
      <c r="AL18" s="4">
        <f>SUMIF($C$3:$AE$3,AL$3,$C18:$AE18)</f>
        <v/>
      </c>
    </row>
    <row r="19">
      <c r="A19" s="13" t="inlineStr">
        <is>
          <t>CASH FROM INVESTING</t>
        </is>
      </c>
      <c r="B19" s="2" t="inlineStr"/>
      <c r="C19" s="24">
        <f>'Cash Flow'!C18</f>
        <v/>
      </c>
      <c r="D19" s="24">
        <f>'Cash Flow'!D18</f>
        <v/>
      </c>
      <c r="E19" s="24">
        <f>'Cash Flow'!E18</f>
        <v/>
      </c>
      <c r="F19" s="24">
        <f>'Cash Flow'!F18</f>
        <v/>
      </c>
      <c r="G19" s="24">
        <f>'Cash Flow'!G18</f>
        <v/>
      </c>
      <c r="H19" s="24">
        <f>'Cash Flow'!H18</f>
        <v/>
      </c>
      <c r="I19" s="24">
        <f>'Cash Flow'!I18</f>
        <v/>
      </c>
      <c r="J19" s="24">
        <f>'Cash Flow'!J18</f>
        <v/>
      </c>
      <c r="K19" s="24">
        <f>'Cash Flow'!K18</f>
        <v/>
      </c>
      <c r="L19" s="24">
        <f>'Cash Flow'!L18</f>
        <v/>
      </c>
      <c r="M19" s="24">
        <f>'Cash Flow'!M18</f>
        <v/>
      </c>
      <c r="N19" s="24">
        <f>'Cash Flow'!N18</f>
        <v/>
      </c>
      <c r="O19" s="24">
        <f>'Cash Flow'!O18</f>
        <v/>
      </c>
      <c r="P19" s="24">
        <f>'Cash Flow'!P18</f>
        <v/>
      </c>
      <c r="Q19" s="24">
        <f>'Cash Flow'!Q18</f>
        <v/>
      </c>
      <c r="R19" s="24">
        <f>'Cash Flow'!R18</f>
        <v/>
      </c>
      <c r="S19" s="24">
        <f>'Cash Flow'!S18</f>
        <v/>
      </c>
      <c r="T19" s="24">
        <f>'Cash Flow'!T18</f>
        <v/>
      </c>
      <c r="U19" s="24">
        <f>'Cash Flow'!U18</f>
        <v/>
      </c>
      <c r="V19" s="24">
        <f>'Cash Flow'!V18</f>
        <v/>
      </c>
      <c r="W19" s="24">
        <f>'Cash Flow'!W18</f>
        <v/>
      </c>
      <c r="X19" s="24">
        <f>'Cash Flow'!X18</f>
        <v/>
      </c>
      <c r="Y19" s="24">
        <f>'Cash Flow'!Y18</f>
        <v/>
      </c>
      <c r="Z19" s="24">
        <f>'Cash Flow'!Z18</f>
        <v/>
      </c>
      <c r="AA19" s="24">
        <f>'Cash Flow'!AA18</f>
        <v/>
      </c>
      <c r="AB19" s="24">
        <f>'Cash Flow'!AB18</f>
        <v/>
      </c>
      <c r="AC19" s="24">
        <f>'Cash Flow'!AC18</f>
        <v/>
      </c>
      <c r="AD19" s="24">
        <f>'Cash Flow'!AD18</f>
        <v/>
      </c>
      <c r="AE19" s="24">
        <f>'Cash Flow'!AE18</f>
        <v/>
      </c>
      <c r="AG19" s="24">
        <f>SUMIF($C$3:$AE$3,AG$3,$C19:$AE19)</f>
        <v/>
      </c>
      <c r="AH19" s="24">
        <f>SUMIF($C$3:$AE$3,AH$3,$C19:$AE19)</f>
        <v/>
      </c>
      <c r="AI19" s="24">
        <f>SUMIF($C$3:$AE$3,AI$3,$C19:$AE19)</f>
        <v/>
      </c>
      <c r="AJ19" s="24">
        <f>SUMIF($C$3:$AE$3,AJ$3,$C19:$AE19)</f>
        <v/>
      </c>
      <c r="AK19" s="24">
        <f>SUMIF($C$3:$AE$3,AK$3,$C19:$AE19)</f>
        <v/>
      </c>
      <c r="AL19" s="24">
        <f>SUMIF($C$3:$AE$3,AL$3,$C19:$AE19)</f>
        <v/>
      </c>
    </row>
    <row r="21">
      <c r="A21" s="8" t="inlineStr">
        <is>
          <t>Financing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</row>
    <row r="22">
      <c r="A22" t="inlineStr">
        <is>
          <t>Equity / SAFE proceeds</t>
        </is>
      </c>
      <c r="B22" s="2" t="inlineStr"/>
      <c r="C22" s="4">
        <f>SUMIF('Funding &amp; Runway'!$C$4:$C$7,Timeline!C6,'Funding &amp; Runway'!$D$4:$D$7)</f>
        <v/>
      </c>
      <c r="D22" s="4">
        <f>SUMIF('Funding &amp; Runway'!$C$4:$C$7,Timeline!D6,'Funding &amp; Runway'!$D$4:$D$7)</f>
        <v/>
      </c>
      <c r="E22" s="4">
        <f>SUMIF('Funding &amp; Runway'!$C$4:$C$7,Timeline!E6,'Funding &amp; Runway'!$D$4:$D$7)</f>
        <v/>
      </c>
      <c r="F22" s="4">
        <f>SUMIF('Funding &amp; Runway'!$C$4:$C$7,Timeline!F6,'Funding &amp; Runway'!$D$4:$D$7)</f>
        <v/>
      </c>
      <c r="G22" s="4">
        <f>SUMIF('Funding &amp; Runway'!$C$4:$C$7,Timeline!G6,'Funding &amp; Runway'!$D$4:$D$7)</f>
        <v/>
      </c>
      <c r="H22" s="4">
        <f>SUMIF('Funding &amp; Runway'!$C$4:$C$7,Timeline!H6,'Funding &amp; Runway'!$D$4:$D$7)</f>
        <v/>
      </c>
      <c r="I22" s="4">
        <f>SUMIF('Funding &amp; Runway'!$C$4:$C$7,Timeline!I6,'Funding &amp; Runway'!$D$4:$D$7)</f>
        <v/>
      </c>
      <c r="J22" s="4">
        <f>SUMIF('Funding &amp; Runway'!$C$4:$C$7,Timeline!J6,'Funding &amp; Runway'!$D$4:$D$7)</f>
        <v/>
      </c>
      <c r="K22" s="4">
        <f>SUMIF('Funding &amp; Runway'!$C$4:$C$7,Timeline!K6,'Funding &amp; Runway'!$D$4:$D$7)</f>
        <v/>
      </c>
      <c r="L22" s="4">
        <f>SUMIF('Funding &amp; Runway'!$C$4:$C$7,Timeline!L6,'Funding &amp; Runway'!$D$4:$D$7)</f>
        <v/>
      </c>
      <c r="M22" s="4">
        <f>SUMIF('Funding &amp; Runway'!$C$4:$C$7,Timeline!M6,'Funding &amp; Runway'!$D$4:$D$7)</f>
        <v/>
      </c>
      <c r="N22" s="4">
        <f>SUMIF('Funding &amp; Runway'!$C$4:$C$7,Timeline!N6,'Funding &amp; Runway'!$D$4:$D$7)</f>
        <v/>
      </c>
      <c r="O22" s="4">
        <f>SUMIF('Funding &amp; Runway'!$C$4:$C$7,Timeline!O6,'Funding &amp; Runway'!$D$4:$D$7)</f>
        <v/>
      </c>
      <c r="P22" s="4">
        <f>SUMIF('Funding &amp; Runway'!$C$4:$C$7,Timeline!P6,'Funding &amp; Runway'!$D$4:$D$7)</f>
        <v/>
      </c>
      <c r="Q22" s="4">
        <f>SUMIF('Funding &amp; Runway'!$C$4:$C$7,Timeline!Q6,'Funding &amp; Runway'!$D$4:$D$7)</f>
        <v/>
      </c>
      <c r="R22" s="4">
        <f>SUMIF('Funding &amp; Runway'!$C$4:$C$7,Timeline!R6,'Funding &amp; Runway'!$D$4:$D$7)</f>
        <v/>
      </c>
      <c r="S22" s="4">
        <f>SUMIF('Funding &amp; Runway'!$C$4:$C$7,Timeline!S6,'Funding &amp; Runway'!$D$4:$D$7)</f>
        <v/>
      </c>
      <c r="T22" s="4">
        <f>SUMIF('Funding &amp; Runway'!$C$4:$C$7,Timeline!T6,'Funding &amp; Runway'!$D$4:$D$7)</f>
        <v/>
      </c>
      <c r="U22" s="4">
        <f>SUMIF('Funding &amp; Runway'!$C$4:$C$7,Timeline!U6,'Funding &amp; Runway'!$D$4:$D$7)</f>
        <v/>
      </c>
      <c r="V22" s="4">
        <f>SUMIF('Funding &amp; Runway'!$C$4:$C$7,Timeline!V6,'Funding &amp; Runway'!$D$4:$D$7)</f>
        <v/>
      </c>
      <c r="W22" s="4">
        <f>SUMIF('Funding &amp; Runway'!$C$4:$C$7,Timeline!W6,'Funding &amp; Runway'!$D$4:$D$7)</f>
        <v/>
      </c>
      <c r="X22" s="4">
        <f>SUMIF('Funding &amp; Runway'!$C$4:$C$7,Timeline!X6,'Funding &amp; Runway'!$D$4:$D$7)</f>
        <v/>
      </c>
      <c r="Y22" s="4">
        <f>SUMIF('Funding &amp; Runway'!$C$4:$C$7,Timeline!Y6,'Funding &amp; Runway'!$D$4:$D$7)</f>
        <v/>
      </c>
      <c r="Z22" s="4">
        <f>SUMIF('Funding &amp; Runway'!$C$4:$C$7,Timeline!Z6,'Funding &amp; Runway'!$D$4:$D$7)</f>
        <v/>
      </c>
      <c r="AA22" s="4">
        <f>SUMIF('Funding &amp; Runway'!$C$4:$C$7,Timeline!AA6,'Funding &amp; Runway'!$D$4:$D$7)</f>
        <v/>
      </c>
      <c r="AB22" s="4">
        <f>SUMIF('Funding &amp; Runway'!$C$4:$C$7,Timeline!AB6,'Funding &amp; Runway'!$D$4:$D$7)</f>
        <v/>
      </c>
      <c r="AC22" s="4">
        <f>SUMIF('Funding &amp; Runway'!$C$4:$C$7,Timeline!AC6,'Funding &amp; Runway'!$D$4:$D$7)</f>
        <v/>
      </c>
      <c r="AD22" s="4">
        <f>SUMIF('Funding &amp; Runway'!$C$4:$C$7,Timeline!AD6,'Funding &amp; Runway'!$D$4:$D$7)</f>
        <v/>
      </c>
      <c r="AE22" s="4">
        <f>SUMIF('Funding &amp; Runway'!$C$4:$C$7,Timeline!AE6,'Funding &amp; Runway'!$D$4:$D$7)</f>
        <v/>
      </c>
      <c r="AG22" s="4">
        <f>SUMIF($C$3:$AE$3,AG$3,$C22:$AE22)</f>
        <v/>
      </c>
      <c r="AH22" s="4">
        <f>SUMIF($C$3:$AE$3,AH$3,$C22:$AE22)</f>
        <v/>
      </c>
      <c r="AI22" s="4">
        <f>SUMIF($C$3:$AE$3,AI$3,$C22:$AE22)</f>
        <v/>
      </c>
      <c r="AJ22" s="4">
        <f>SUMIF($C$3:$AE$3,AJ$3,$C22:$AE22)</f>
        <v/>
      </c>
      <c r="AK22" s="4">
        <f>SUMIF($C$3:$AE$3,AK$3,$C22:$AE22)</f>
        <v/>
      </c>
      <c r="AL22" s="4">
        <f>SUMIF($C$3:$AE$3,AL$3,$C22:$AE22)</f>
        <v/>
      </c>
    </row>
    <row r="23">
      <c r="A23" s="13" t="inlineStr">
        <is>
          <t>CASH FROM FINANCING</t>
        </is>
      </c>
      <c r="B23" s="2" t="inlineStr"/>
      <c r="C23" s="24">
        <f>'Cash Flow'!C22</f>
        <v/>
      </c>
      <c r="D23" s="24">
        <f>'Cash Flow'!D22</f>
        <v/>
      </c>
      <c r="E23" s="24">
        <f>'Cash Flow'!E22</f>
        <v/>
      </c>
      <c r="F23" s="24">
        <f>'Cash Flow'!F22</f>
        <v/>
      </c>
      <c r="G23" s="24">
        <f>'Cash Flow'!G22</f>
        <v/>
      </c>
      <c r="H23" s="24">
        <f>'Cash Flow'!H22</f>
        <v/>
      </c>
      <c r="I23" s="24">
        <f>'Cash Flow'!I22</f>
        <v/>
      </c>
      <c r="J23" s="24">
        <f>'Cash Flow'!J22</f>
        <v/>
      </c>
      <c r="K23" s="24">
        <f>'Cash Flow'!K22</f>
        <v/>
      </c>
      <c r="L23" s="24">
        <f>'Cash Flow'!L22</f>
        <v/>
      </c>
      <c r="M23" s="24">
        <f>'Cash Flow'!M22</f>
        <v/>
      </c>
      <c r="N23" s="24">
        <f>'Cash Flow'!N22</f>
        <v/>
      </c>
      <c r="O23" s="24">
        <f>'Cash Flow'!O22</f>
        <v/>
      </c>
      <c r="P23" s="24">
        <f>'Cash Flow'!P22</f>
        <v/>
      </c>
      <c r="Q23" s="24">
        <f>'Cash Flow'!Q22</f>
        <v/>
      </c>
      <c r="R23" s="24">
        <f>'Cash Flow'!R22</f>
        <v/>
      </c>
      <c r="S23" s="24">
        <f>'Cash Flow'!S22</f>
        <v/>
      </c>
      <c r="T23" s="24">
        <f>'Cash Flow'!T22</f>
        <v/>
      </c>
      <c r="U23" s="24">
        <f>'Cash Flow'!U22</f>
        <v/>
      </c>
      <c r="V23" s="24">
        <f>'Cash Flow'!V22</f>
        <v/>
      </c>
      <c r="W23" s="24">
        <f>'Cash Flow'!W22</f>
        <v/>
      </c>
      <c r="X23" s="24">
        <f>'Cash Flow'!X22</f>
        <v/>
      </c>
      <c r="Y23" s="24">
        <f>'Cash Flow'!Y22</f>
        <v/>
      </c>
      <c r="Z23" s="24">
        <f>'Cash Flow'!Z22</f>
        <v/>
      </c>
      <c r="AA23" s="24">
        <f>'Cash Flow'!AA22</f>
        <v/>
      </c>
      <c r="AB23" s="24">
        <f>'Cash Flow'!AB22</f>
        <v/>
      </c>
      <c r="AC23" s="24">
        <f>'Cash Flow'!AC22</f>
        <v/>
      </c>
      <c r="AD23" s="24">
        <f>'Cash Flow'!AD22</f>
        <v/>
      </c>
      <c r="AE23" s="24">
        <f>'Cash Flow'!AE22</f>
        <v/>
      </c>
      <c r="AG23" s="24">
        <f>SUMIF($C$3:$AE$3,AG$3,$C23:$AE23)</f>
        <v/>
      </c>
      <c r="AH23" s="24">
        <f>SUMIF($C$3:$AE$3,AH$3,$C23:$AE23)</f>
        <v/>
      </c>
      <c r="AI23" s="24">
        <f>SUMIF($C$3:$AE$3,AI$3,$C23:$AE23)</f>
        <v/>
      </c>
      <c r="AJ23" s="24">
        <f>SUMIF($C$3:$AE$3,AJ$3,$C23:$AE23)</f>
        <v/>
      </c>
      <c r="AK23" s="24">
        <f>SUMIF($C$3:$AE$3,AK$3,$C23:$AE23)</f>
        <v/>
      </c>
      <c r="AL23" s="24">
        <f>SUMIF($C$3:$AE$3,AL$3,$C23:$AE23)</f>
        <v/>
      </c>
    </row>
    <row r="25">
      <c r="A25" s="8" t="inlineStr">
        <is>
          <t>Cash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</row>
    <row r="26">
      <c r="A26" s="13" t="inlineStr">
        <is>
          <t>Net change in cash</t>
        </is>
      </c>
      <c r="B26" s="2" t="inlineStr"/>
      <c r="C26" s="24">
        <f>'Cash Flow'!C15+'Cash Flow'!C19+'Cash Flow'!C23</f>
        <v/>
      </c>
      <c r="D26" s="24">
        <f>'Cash Flow'!D15+'Cash Flow'!D19+'Cash Flow'!D23</f>
        <v/>
      </c>
      <c r="E26" s="24">
        <f>'Cash Flow'!E15+'Cash Flow'!E19+'Cash Flow'!E23</f>
        <v/>
      </c>
      <c r="F26" s="24">
        <f>'Cash Flow'!F15+'Cash Flow'!F19+'Cash Flow'!F23</f>
        <v/>
      </c>
      <c r="G26" s="24">
        <f>'Cash Flow'!G15+'Cash Flow'!G19+'Cash Flow'!G23</f>
        <v/>
      </c>
      <c r="H26" s="24">
        <f>'Cash Flow'!H15+'Cash Flow'!H19+'Cash Flow'!H23</f>
        <v/>
      </c>
      <c r="I26" s="24">
        <f>'Cash Flow'!I15+'Cash Flow'!I19+'Cash Flow'!I23</f>
        <v/>
      </c>
      <c r="J26" s="24">
        <f>'Cash Flow'!J15+'Cash Flow'!J19+'Cash Flow'!J23</f>
        <v/>
      </c>
      <c r="K26" s="24">
        <f>'Cash Flow'!K15+'Cash Flow'!K19+'Cash Flow'!K23</f>
        <v/>
      </c>
      <c r="L26" s="24">
        <f>'Cash Flow'!L15+'Cash Flow'!L19+'Cash Flow'!L23</f>
        <v/>
      </c>
      <c r="M26" s="24">
        <f>'Cash Flow'!M15+'Cash Flow'!M19+'Cash Flow'!M23</f>
        <v/>
      </c>
      <c r="N26" s="24">
        <f>'Cash Flow'!N15+'Cash Flow'!N19+'Cash Flow'!N23</f>
        <v/>
      </c>
      <c r="O26" s="24">
        <f>'Cash Flow'!O15+'Cash Flow'!O19+'Cash Flow'!O23</f>
        <v/>
      </c>
      <c r="P26" s="24">
        <f>'Cash Flow'!P15+'Cash Flow'!P19+'Cash Flow'!P23</f>
        <v/>
      </c>
      <c r="Q26" s="24">
        <f>'Cash Flow'!Q15+'Cash Flow'!Q19+'Cash Flow'!Q23</f>
        <v/>
      </c>
      <c r="R26" s="24">
        <f>'Cash Flow'!R15+'Cash Flow'!R19+'Cash Flow'!R23</f>
        <v/>
      </c>
      <c r="S26" s="24">
        <f>'Cash Flow'!S15+'Cash Flow'!S19+'Cash Flow'!S23</f>
        <v/>
      </c>
      <c r="T26" s="24">
        <f>'Cash Flow'!T15+'Cash Flow'!T19+'Cash Flow'!T23</f>
        <v/>
      </c>
      <c r="U26" s="24">
        <f>'Cash Flow'!U15+'Cash Flow'!U19+'Cash Flow'!U23</f>
        <v/>
      </c>
      <c r="V26" s="24">
        <f>'Cash Flow'!V15+'Cash Flow'!V19+'Cash Flow'!V23</f>
        <v/>
      </c>
      <c r="W26" s="24">
        <f>'Cash Flow'!W15+'Cash Flow'!W19+'Cash Flow'!W23</f>
        <v/>
      </c>
      <c r="X26" s="24">
        <f>'Cash Flow'!X15+'Cash Flow'!X19+'Cash Flow'!X23</f>
        <v/>
      </c>
      <c r="Y26" s="24">
        <f>'Cash Flow'!Y15+'Cash Flow'!Y19+'Cash Flow'!Y23</f>
        <v/>
      </c>
      <c r="Z26" s="24">
        <f>'Cash Flow'!Z15+'Cash Flow'!Z19+'Cash Flow'!Z23</f>
        <v/>
      </c>
      <c r="AA26" s="24">
        <f>'Cash Flow'!AA15+'Cash Flow'!AA19+'Cash Flow'!AA23</f>
        <v/>
      </c>
      <c r="AB26" s="24">
        <f>'Cash Flow'!AB15+'Cash Flow'!AB19+'Cash Flow'!AB23</f>
        <v/>
      </c>
      <c r="AC26" s="24">
        <f>'Cash Flow'!AC15+'Cash Flow'!AC19+'Cash Flow'!AC23</f>
        <v/>
      </c>
      <c r="AD26" s="24">
        <f>'Cash Flow'!AD15+'Cash Flow'!AD19+'Cash Flow'!AD23</f>
        <v/>
      </c>
      <c r="AE26" s="24">
        <f>'Cash Flow'!AE15+'Cash Flow'!AE19+'Cash Flow'!AE23</f>
        <v/>
      </c>
      <c r="AG26" s="24">
        <f>SUMIF($C$3:$AE$3,AG$3,$C26:$AE26)</f>
        <v/>
      </c>
      <c r="AH26" s="24">
        <f>SUMIF($C$3:$AE$3,AH$3,$C26:$AE26)</f>
        <v/>
      </c>
      <c r="AI26" s="24">
        <f>SUMIF($C$3:$AE$3,AI$3,$C26:$AE26)</f>
        <v/>
      </c>
      <c r="AJ26" s="24">
        <f>SUMIF($C$3:$AE$3,AJ$3,$C26:$AE26)</f>
        <v/>
      </c>
      <c r="AK26" s="24">
        <f>SUMIF($C$3:$AE$3,AK$3,$C26:$AE26)</f>
        <v/>
      </c>
      <c r="AL26" s="24">
        <f>SUMIF($C$3:$AE$3,AL$3,$C26:$AE26)</f>
        <v/>
      </c>
    </row>
    <row r="27">
      <c r="A27" t="inlineStr">
        <is>
          <t>Beginning cash</t>
        </is>
      </c>
      <c r="B27" s="2" t="inlineStr"/>
      <c r="C27" s="4">
        <f>opening_cash</f>
        <v/>
      </c>
      <c r="D27" s="4">
        <f>C28</f>
        <v/>
      </c>
      <c r="E27" s="4">
        <f>D28</f>
        <v/>
      </c>
      <c r="F27" s="4">
        <f>E28</f>
        <v/>
      </c>
      <c r="G27" s="4">
        <f>F28</f>
        <v/>
      </c>
      <c r="H27" s="4">
        <f>G28</f>
        <v/>
      </c>
      <c r="I27" s="4">
        <f>H28</f>
        <v/>
      </c>
      <c r="J27" s="4">
        <f>I28</f>
        <v/>
      </c>
      <c r="K27" s="4">
        <f>J28</f>
        <v/>
      </c>
      <c r="L27" s="4">
        <f>K28</f>
        <v/>
      </c>
      <c r="M27" s="4">
        <f>L28</f>
        <v/>
      </c>
      <c r="N27" s="4">
        <f>M28</f>
        <v/>
      </c>
      <c r="O27" s="4">
        <f>N28</f>
        <v/>
      </c>
      <c r="P27" s="4">
        <f>O28</f>
        <v/>
      </c>
      <c r="Q27" s="4">
        <f>P28</f>
        <v/>
      </c>
      <c r="R27" s="4">
        <f>Q28</f>
        <v/>
      </c>
      <c r="S27" s="4">
        <f>R28</f>
        <v/>
      </c>
      <c r="T27" s="4">
        <f>S28</f>
        <v/>
      </c>
      <c r="U27" s="4">
        <f>T28</f>
        <v/>
      </c>
      <c r="V27" s="4">
        <f>U28</f>
        <v/>
      </c>
      <c r="W27" s="4">
        <f>V28</f>
        <v/>
      </c>
      <c r="X27" s="4">
        <f>W28</f>
        <v/>
      </c>
      <c r="Y27" s="4">
        <f>X28</f>
        <v/>
      </c>
      <c r="Z27" s="4">
        <f>Y28</f>
        <v/>
      </c>
      <c r="AA27" s="4">
        <f>Z28</f>
        <v/>
      </c>
      <c r="AB27" s="4">
        <f>AA28</f>
        <v/>
      </c>
      <c r="AC27" s="4">
        <f>AB28</f>
        <v/>
      </c>
      <c r="AD27" s="4">
        <f>AC28</f>
        <v/>
      </c>
      <c r="AE27" s="4">
        <f>AD28</f>
        <v/>
      </c>
      <c r="AG27" s="4">
        <f>C27</f>
        <v/>
      </c>
      <c r="AH27" s="4">
        <f>E27</f>
        <v/>
      </c>
      <c r="AI27" s="4">
        <f>Q27</f>
        <v/>
      </c>
      <c r="AJ27" s="4">
        <f>AC27</f>
        <v/>
      </c>
      <c r="AK27" s="4">
        <f>AD27</f>
        <v/>
      </c>
      <c r="AL27" s="4">
        <f>AE27</f>
        <v/>
      </c>
    </row>
    <row r="28">
      <c r="A28" s="13" t="inlineStr">
        <is>
          <t>ENDING CASH</t>
        </is>
      </c>
      <c r="B28" s="2" t="inlineStr"/>
      <c r="C28" s="24">
        <f>'Cash Flow'!C27+'Cash Flow'!C26</f>
        <v/>
      </c>
      <c r="D28" s="24">
        <f>'Cash Flow'!D27+'Cash Flow'!D26</f>
        <v/>
      </c>
      <c r="E28" s="24">
        <f>'Cash Flow'!E27+'Cash Flow'!E26</f>
        <v/>
      </c>
      <c r="F28" s="24">
        <f>'Cash Flow'!F27+'Cash Flow'!F26</f>
        <v/>
      </c>
      <c r="G28" s="24">
        <f>'Cash Flow'!G27+'Cash Flow'!G26</f>
        <v/>
      </c>
      <c r="H28" s="24">
        <f>'Cash Flow'!H27+'Cash Flow'!H26</f>
        <v/>
      </c>
      <c r="I28" s="24">
        <f>'Cash Flow'!I27+'Cash Flow'!I26</f>
        <v/>
      </c>
      <c r="J28" s="24">
        <f>'Cash Flow'!J27+'Cash Flow'!J26</f>
        <v/>
      </c>
      <c r="K28" s="24">
        <f>'Cash Flow'!K27+'Cash Flow'!K26</f>
        <v/>
      </c>
      <c r="L28" s="24">
        <f>'Cash Flow'!L27+'Cash Flow'!L26</f>
        <v/>
      </c>
      <c r="M28" s="24">
        <f>'Cash Flow'!M27+'Cash Flow'!M26</f>
        <v/>
      </c>
      <c r="N28" s="24">
        <f>'Cash Flow'!N27+'Cash Flow'!N26</f>
        <v/>
      </c>
      <c r="O28" s="24">
        <f>'Cash Flow'!O27+'Cash Flow'!O26</f>
        <v/>
      </c>
      <c r="P28" s="24">
        <f>'Cash Flow'!P27+'Cash Flow'!P26</f>
        <v/>
      </c>
      <c r="Q28" s="24">
        <f>'Cash Flow'!Q27+'Cash Flow'!Q26</f>
        <v/>
      </c>
      <c r="R28" s="24">
        <f>'Cash Flow'!R27+'Cash Flow'!R26</f>
        <v/>
      </c>
      <c r="S28" s="24">
        <f>'Cash Flow'!S27+'Cash Flow'!S26</f>
        <v/>
      </c>
      <c r="T28" s="24">
        <f>'Cash Flow'!T27+'Cash Flow'!T26</f>
        <v/>
      </c>
      <c r="U28" s="24">
        <f>'Cash Flow'!U27+'Cash Flow'!U26</f>
        <v/>
      </c>
      <c r="V28" s="24">
        <f>'Cash Flow'!V27+'Cash Flow'!V26</f>
        <v/>
      </c>
      <c r="W28" s="24">
        <f>'Cash Flow'!W27+'Cash Flow'!W26</f>
        <v/>
      </c>
      <c r="X28" s="24">
        <f>'Cash Flow'!X27+'Cash Flow'!X26</f>
        <v/>
      </c>
      <c r="Y28" s="24">
        <f>'Cash Flow'!Y27+'Cash Flow'!Y26</f>
        <v/>
      </c>
      <c r="Z28" s="24">
        <f>'Cash Flow'!Z27+'Cash Flow'!Z26</f>
        <v/>
      </c>
      <c r="AA28" s="24">
        <f>'Cash Flow'!AA27+'Cash Flow'!AA26</f>
        <v/>
      </c>
      <c r="AB28" s="24">
        <f>'Cash Flow'!AB27+'Cash Flow'!AB26</f>
        <v/>
      </c>
      <c r="AC28" s="24">
        <f>'Cash Flow'!AC27+'Cash Flow'!AC26</f>
        <v/>
      </c>
      <c r="AD28" s="24">
        <f>'Cash Flow'!AD27+'Cash Flow'!AD26</f>
        <v/>
      </c>
      <c r="AE28" s="24">
        <f>'Cash Flow'!AE27+'Cash Flow'!AE26</f>
        <v/>
      </c>
      <c r="AG28" s="24">
        <f>D28</f>
        <v/>
      </c>
      <c r="AH28" s="24">
        <f>P28</f>
        <v/>
      </c>
      <c r="AI28" s="24">
        <f>AB28</f>
        <v/>
      </c>
      <c r="AJ28" s="24">
        <f>AC28</f>
        <v/>
      </c>
      <c r="AK28" s="24">
        <f>AD28</f>
        <v/>
      </c>
      <c r="AL28" s="24">
        <f>AE28</f>
        <v/>
      </c>
    </row>
    <row r="29">
      <c r="A29" t="inlineStr">
        <is>
          <t>Net burn (operating + investing; positive = burning)</t>
        </is>
      </c>
      <c r="B29" s="2" t="inlineStr"/>
      <c r="C29" s="4">
        <f>-('Cash Flow'!C15+'Cash Flow'!C19)</f>
        <v/>
      </c>
      <c r="D29" s="4">
        <f>-('Cash Flow'!D15+'Cash Flow'!D19)</f>
        <v/>
      </c>
      <c r="E29" s="4">
        <f>-('Cash Flow'!E15+'Cash Flow'!E19)</f>
        <v/>
      </c>
      <c r="F29" s="4">
        <f>-('Cash Flow'!F15+'Cash Flow'!F19)</f>
        <v/>
      </c>
      <c r="G29" s="4">
        <f>-('Cash Flow'!G15+'Cash Flow'!G19)</f>
        <v/>
      </c>
      <c r="H29" s="4">
        <f>-('Cash Flow'!H15+'Cash Flow'!H19)</f>
        <v/>
      </c>
      <c r="I29" s="4">
        <f>-('Cash Flow'!I15+'Cash Flow'!I19)</f>
        <v/>
      </c>
      <c r="J29" s="4">
        <f>-('Cash Flow'!J15+'Cash Flow'!J19)</f>
        <v/>
      </c>
      <c r="K29" s="4">
        <f>-('Cash Flow'!K15+'Cash Flow'!K19)</f>
        <v/>
      </c>
      <c r="L29" s="4">
        <f>-('Cash Flow'!L15+'Cash Flow'!L19)</f>
        <v/>
      </c>
      <c r="M29" s="4">
        <f>-('Cash Flow'!M15+'Cash Flow'!M19)</f>
        <v/>
      </c>
      <c r="N29" s="4">
        <f>-('Cash Flow'!N15+'Cash Flow'!N19)</f>
        <v/>
      </c>
      <c r="O29" s="4">
        <f>-('Cash Flow'!O15+'Cash Flow'!O19)</f>
        <v/>
      </c>
      <c r="P29" s="4">
        <f>-('Cash Flow'!P15+'Cash Flow'!P19)</f>
        <v/>
      </c>
      <c r="Q29" s="4">
        <f>-('Cash Flow'!Q15+'Cash Flow'!Q19)</f>
        <v/>
      </c>
      <c r="R29" s="4">
        <f>-('Cash Flow'!R15+'Cash Flow'!R19)</f>
        <v/>
      </c>
      <c r="S29" s="4">
        <f>-('Cash Flow'!S15+'Cash Flow'!S19)</f>
        <v/>
      </c>
      <c r="T29" s="4">
        <f>-('Cash Flow'!T15+'Cash Flow'!T19)</f>
        <v/>
      </c>
      <c r="U29" s="4">
        <f>-('Cash Flow'!U15+'Cash Flow'!U19)</f>
        <v/>
      </c>
      <c r="V29" s="4">
        <f>-('Cash Flow'!V15+'Cash Flow'!V19)</f>
        <v/>
      </c>
      <c r="W29" s="4">
        <f>-('Cash Flow'!W15+'Cash Flow'!W19)</f>
        <v/>
      </c>
      <c r="X29" s="4">
        <f>-('Cash Flow'!X15+'Cash Flow'!X19)</f>
        <v/>
      </c>
      <c r="Y29" s="4">
        <f>-('Cash Flow'!Y15+'Cash Flow'!Y19)</f>
        <v/>
      </c>
      <c r="Z29" s="4">
        <f>-('Cash Flow'!Z15+'Cash Flow'!Z19)</f>
        <v/>
      </c>
      <c r="AA29" s="4">
        <f>-('Cash Flow'!AA15+'Cash Flow'!AA19)</f>
        <v/>
      </c>
      <c r="AB29" s="4">
        <f>-('Cash Flow'!AB15+'Cash Flow'!AB19)</f>
        <v/>
      </c>
      <c r="AC29" s="4">
        <f>-('Cash Flow'!AC15+'Cash Flow'!AC19)</f>
        <v/>
      </c>
      <c r="AD29" s="4">
        <f>-('Cash Flow'!AD15+'Cash Flow'!AD19)</f>
        <v/>
      </c>
      <c r="AE29" s="4">
        <f>-('Cash Flow'!AE15+'Cash Flow'!AE19)</f>
        <v/>
      </c>
      <c r="AG29" s="4">
        <f>SUMIF($C$3:$AE$3,AG$3,$C29:$AE29)</f>
        <v/>
      </c>
      <c r="AH29" s="4">
        <f>SUMIF($C$3:$AE$3,AH$3,$C29:$AE29)</f>
        <v/>
      </c>
      <c r="AI29" s="4">
        <f>SUMIF($C$3:$AE$3,AI$3,$C29:$AE29)</f>
        <v/>
      </c>
      <c r="AJ29" s="4">
        <f>SUMIF($C$3:$AE$3,AJ$3,$C29:$AE29)</f>
        <v/>
      </c>
      <c r="AK29" s="4">
        <f>SUMIF($C$3:$AE$3,AK$3,$C29:$AE29)</f>
        <v/>
      </c>
      <c r="AL29" s="4">
        <f>SUMIF($C$3:$AE$3,AL$3,$C29:$AE29)</f>
        <v/>
      </c>
    </row>
    <row r="30">
      <c r="A30" t="inlineStr">
        <is>
          <t>Cumulative operating + investing cash flow</t>
        </is>
      </c>
      <c r="B30" s="2" t="inlineStr"/>
      <c r="C30" s="4">
        <f>SUM($C15:C15)+SUM($C19:C19)</f>
        <v/>
      </c>
      <c r="D30" s="4">
        <f>SUM($C15:D15)+SUM($C19:D19)</f>
        <v/>
      </c>
      <c r="E30" s="4">
        <f>SUM($C15:E15)+SUM($C19:E19)</f>
        <v/>
      </c>
      <c r="F30" s="4">
        <f>SUM($C15:F15)+SUM($C19:F19)</f>
        <v/>
      </c>
      <c r="G30" s="4">
        <f>SUM($C15:G15)+SUM($C19:G19)</f>
        <v/>
      </c>
      <c r="H30" s="4">
        <f>SUM($C15:H15)+SUM($C19:H19)</f>
        <v/>
      </c>
      <c r="I30" s="4">
        <f>SUM($C15:I15)+SUM($C19:I19)</f>
        <v/>
      </c>
      <c r="J30" s="4">
        <f>SUM($C15:J15)+SUM($C19:J19)</f>
        <v/>
      </c>
      <c r="K30" s="4">
        <f>SUM($C15:K15)+SUM($C19:K19)</f>
        <v/>
      </c>
      <c r="L30" s="4">
        <f>SUM($C15:L15)+SUM($C19:L19)</f>
        <v/>
      </c>
      <c r="M30" s="4">
        <f>SUM($C15:M15)+SUM($C19:M19)</f>
        <v/>
      </c>
      <c r="N30" s="4">
        <f>SUM($C15:N15)+SUM($C19:N19)</f>
        <v/>
      </c>
      <c r="O30" s="4">
        <f>SUM($C15:O15)+SUM($C19:O19)</f>
        <v/>
      </c>
      <c r="P30" s="4">
        <f>SUM($C15:P15)+SUM($C19:P19)</f>
        <v/>
      </c>
      <c r="Q30" s="4">
        <f>SUM($C15:Q15)+SUM($C19:Q19)</f>
        <v/>
      </c>
      <c r="R30" s="4">
        <f>SUM($C15:R15)+SUM($C19:R19)</f>
        <v/>
      </c>
      <c r="S30" s="4">
        <f>SUM($C15:S15)+SUM($C19:S19)</f>
        <v/>
      </c>
      <c r="T30" s="4">
        <f>SUM($C15:T15)+SUM($C19:T19)</f>
        <v/>
      </c>
      <c r="U30" s="4">
        <f>SUM($C15:U15)+SUM($C19:U19)</f>
        <v/>
      </c>
      <c r="V30" s="4">
        <f>SUM($C15:V15)+SUM($C19:V19)</f>
        <v/>
      </c>
      <c r="W30" s="4">
        <f>SUM($C15:W15)+SUM($C19:W19)</f>
        <v/>
      </c>
      <c r="X30" s="4">
        <f>SUM($C15:X15)+SUM($C19:X19)</f>
        <v/>
      </c>
      <c r="Y30" s="4">
        <f>SUM($C15:Y15)+SUM($C19:Y19)</f>
        <v/>
      </c>
      <c r="Z30" s="4">
        <f>SUM($C15:Z15)+SUM($C19:Z19)</f>
        <v/>
      </c>
      <c r="AA30" s="4">
        <f>SUM($C15:AA15)+SUM($C19:AA19)</f>
        <v/>
      </c>
      <c r="AB30" s="4">
        <f>SUM($C15:AB15)+SUM($C19:AB19)</f>
        <v/>
      </c>
      <c r="AC30" s="4">
        <f>SUM($C15:AC15)+SUM($C19:AC19)</f>
        <v/>
      </c>
      <c r="AD30" s="4">
        <f>SUM($C15:AD15)+SUM($C19:AD19)</f>
        <v/>
      </c>
      <c r="AE30" s="4">
        <f>SUM($C15:AE15)+SUM($C19:AE19)</f>
        <v/>
      </c>
      <c r="AG30" s="4">
        <f>D30</f>
        <v/>
      </c>
      <c r="AH30" s="4">
        <f>P30</f>
        <v/>
      </c>
      <c r="AI30" s="4">
        <f>AB30</f>
        <v/>
      </c>
      <c r="AJ30" s="4">
        <f>AC30</f>
        <v/>
      </c>
      <c r="AK30" s="4">
        <f>AD30</f>
        <v/>
      </c>
      <c r="AL30" s="4">
        <f>AE30</f>
        <v/>
      </c>
    </row>
    <row r="31">
      <c r="A31" t="inlineStr">
        <is>
          <t>memo: count of periods with positive op+inv cash flow</t>
        </is>
      </c>
      <c r="B31" s="2" t="inlineStr"/>
      <c r="C31" s="4">
        <f>COUNTIF($C29:C29,"&lt;0")</f>
        <v/>
      </c>
      <c r="D31" s="4">
        <f>COUNTIF($C29:D29,"&lt;0")</f>
        <v/>
      </c>
      <c r="E31" s="4">
        <f>COUNTIF($C29:E29,"&lt;0")</f>
        <v/>
      </c>
      <c r="F31" s="4">
        <f>COUNTIF($C29:F29,"&lt;0")</f>
        <v/>
      </c>
      <c r="G31" s="4">
        <f>COUNTIF($C29:G29,"&lt;0")</f>
        <v/>
      </c>
      <c r="H31" s="4">
        <f>COUNTIF($C29:H29,"&lt;0")</f>
        <v/>
      </c>
      <c r="I31" s="4">
        <f>COUNTIF($C29:I29,"&lt;0")</f>
        <v/>
      </c>
      <c r="J31" s="4">
        <f>COUNTIF($C29:J29,"&lt;0")</f>
        <v/>
      </c>
      <c r="K31" s="4">
        <f>COUNTIF($C29:K29,"&lt;0")</f>
        <v/>
      </c>
      <c r="L31" s="4">
        <f>COUNTIF($C29:L29,"&lt;0")</f>
        <v/>
      </c>
      <c r="M31" s="4">
        <f>COUNTIF($C29:M29,"&lt;0")</f>
        <v/>
      </c>
      <c r="N31" s="4">
        <f>COUNTIF($C29:N29,"&lt;0")</f>
        <v/>
      </c>
      <c r="O31" s="4">
        <f>COUNTIF($C29:O29,"&lt;0")</f>
        <v/>
      </c>
      <c r="P31" s="4">
        <f>COUNTIF($C29:P29,"&lt;0")</f>
        <v/>
      </c>
      <c r="Q31" s="4">
        <f>COUNTIF($C29:Q29,"&lt;0")</f>
        <v/>
      </c>
      <c r="R31" s="4">
        <f>COUNTIF($C29:R29,"&lt;0")</f>
        <v/>
      </c>
      <c r="S31" s="4">
        <f>COUNTIF($C29:S29,"&lt;0")</f>
        <v/>
      </c>
      <c r="T31" s="4">
        <f>COUNTIF($C29:T29,"&lt;0")</f>
        <v/>
      </c>
      <c r="U31" s="4">
        <f>COUNTIF($C29:U29,"&lt;0")</f>
        <v/>
      </c>
      <c r="V31" s="4">
        <f>COUNTIF($C29:V29,"&lt;0")</f>
        <v/>
      </c>
      <c r="W31" s="4">
        <f>COUNTIF($C29:W29,"&lt;0")</f>
        <v/>
      </c>
      <c r="X31" s="4">
        <f>COUNTIF($C29:X29,"&lt;0")</f>
        <v/>
      </c>
      <c r="Y31" s="4">
        <f>COUNTIF($C29:Y29,"&lt;0")</f>
        <v/>
      </c>
      <c r="Z31" s="4">
        <f>COUNTIF($C29:Z29,"&lt;0")</f>
        <v/>
      </c>
      <c r="AA31" s="4">
        <f>COUNTIF($C29:AA29,"&lt;0")</f>
        <v/>
      </c>
      <c r="AB31" s="4">
        <f>COUNTIF($C29:AB29,"&lt;0")</f>
        <v/>
      </c>
      <c r="AC31" s="4">
        <f>COUNTIF($C29:AC29,"&lt;0")</f>
        <v/>
      </c>
      <c r="AD31" s="4">
        <f>COUNTIF($C29:AD29,"&lt;0")</f>
        <v/>
      </c>
      <c r="AE31" s="4">
        <f>COUNTIF($C29:AE29,"&lt;0")</f>
        <v/>
      </c>
      <c r="AG31" s="4">
        <f>IF(AG29&lt;0,1,0)</f>
        <v/>
      </c>
      <c r="AH31" s="4">
        <f>IF(AG29&lt;0,1,0)+IF(AH29&lt;0,1,0)</f>
        <v/>
      </c>
      <c r="AI31" s="4">
        <f>IF(AG29&lt;0,1,0)+IF(AH29&lt;0,1,0)+IF(AI29&lt;0,1,0)</f>
        <v/>
      </c>
      <c r="AJ31" s="4">
        <f>IF(AG29&lt;0,1,0)+IF(AH29&lt;0,1,0)+IF(AI29&lt;0,1,0)+IF(AJ29&lt;0,1,0)</f>
        <v/>
      </c>
      <c r="AK31" s="4">
        <f>IF(AG29&lt;0,1,0)+IF(AH29&lt;0,1,0)+IF(AI29&lt;0,1,0)+IF(AJ29&lt;0,1,0)+IF(AK29&lt;0,1,0)</f>
        <v/>
      </c>
      <c r="AL31" s="4">
        <f>IF(AG29&lt;0,1,0)+IF(AH29&lt;0,1,0)+IF(AI29&lt;0,1,0)+IF(AJ29&lt;0,1,0)+IF(AK29&lt;0,1,0)+IF(AL29&lt;0,1,0)</f>
        <v/>
      </c>
    </row>
    <row r="32">
      <c r="A32" t="inlineStr">
        <is>
          <t>Average monthly net burn in period</t>
        </is>
      </c>
      <c r="B32" s="2" t="inlineStr"/>
      <c r="C32" s="4">
        <f>'Cash Flow'!C29/Timeline!C4</f>
        <v/>
      </c>
      <c r="D32" s="4">
        <f>'Cash Flow'!D29/Timeline!D4</f>
        <v/>
      </c>
      <c r="E32" s="4">
        <f>'Cash Flow'!E29/Timeline!E4</f>
        <v/>
      </c>
      <c r="F32" s="4">
        <f>'Cash Flow'!F29/Timeline!F4</f>
        <v/>
      </c>
      <c r="G32" s="4">
        <f>'Cash Flow'!G29/Timeline!G4</f>
        <v/>
      </c>
      <c r="H32" s="4">
        <f>'Cash Flow'!H29/Timeline!H4</f>
        <v/>
      </c>
      <c r="I32" s="4">
        <f>'Cash Flow'!I29/Timeline!I4</f>
        <v/>
      </c>
      <c r="J32" s="4">
        <f>'Cash Flow'!J29/Timeline!J4</f>
        <v/>
      </c>
      <c r="K32" s="4">
        <f>'Cash Flow'!K29/Timeline!K4</f>
        <v/>
      </c>
      <c r="L32" s="4">
        <f>'Cash Flow'!L29/Timeline!L4</f>
        <v/>
      </c>
      <c r="M32" s="4">
        <f>'Cash Flow'!M29/Timeline!M4</f>
        <v/>
      </c>
      <c r="N32" s="4">
        <f>'Cash Flow'!N29/Timeline!N4</f>
        <v/>
      </c>
      <c r="O32" s="4">
        <f>'Cash Flow'!O29/Timeline!O4</f>
        <v/>
      </c>
      <c r="P32" s="4">
        <f>'Cash Flow'!P29/Timeline!P4</f>
        <v/>
      </c>
      <c r="Q32" s="4">
        <f>'Cash Flow'!Q29/Timeline!Q4</f>
        <v/>
      </c>
      <c r="R32" s="4">
        <f>'Cash Flow'!R29/Timeline!R4</f>
        <v/>
      </c>
      <c r="S32" s="4">
        <f>'Cash Flow'!S29/Timeline!S4</f>
        <v/>
      </c>
      <c r="T32" s="4">
        <f>'Cash Flow'!T29/Timeline!T4</f>
        <v/>
      </c>
      <c r="U32" s="4">
        <f>'Cash Flow'!U29/Timeline!U4</f>
        <v/>
      </c>
      <c r="V32" s="4">
        <f>'Cash Flow'!V29/Timeline!V4</f>
        <v/>
      </c>
      <c r="W32" s="4">
        <f>'Cash Flow'!W29/Timeline!W4</f>
        <v/>
      </c>
      <c r="X32" s="4">
        <f>'Cash Flow'!X29/Timeline!X4</f>
        <v/>
      </c>
      <c r="Y32" s="4">
        <f>'Cash Flow'!Y29/Timeline!Y4</f>
        <v/>
      </c>
      <c r="Z32" s="4">
        <f>'Cash Flow'!Z29/Timeline!Z4</f>
        <v/>
      </c>
      <c r="AA32" s="4">
        <f>'Cash Flow'!AA29/Timeline!AA4</f>
        <v/>
      </c>
      <c r="AB32" s="4">
        <f>'Cash Flow'!AB29/Timeline!AB4</f>
        <v/>
      </c>
      <c r="AC32" s="4">
        <f>'Cash Flow'!AC29/Timeline!AC4</f>
        <v/>
      </c>
      <c r="AD32" s="4">
        <f>'Cash Flow'!AD29/Timeline!AD4</f>
        <v/>
      </c>
      <c r="AE32" s="4">
        <f>'Cash Flow'!AE29/Timeline!AE4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6" t="inlineStr">
        <is>
          <t>Balance sheet (light)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  <c r="AG2" s="21" t="inlineStr">
        <is>
          <t>FY2026 (Nov-Dec)</t>
        </is>
      </c>
      <c r="AH2" s="21" t="inlineStr">
        <is>
          <t>FY2027</t>
        </is>
      </c>
      <c r="AI2" s="21" t="inlineStr">
        <is>
          <t>FY2028</t>
        </is>
      </c>
      <c r="AJ2" s="21" t="inlineStr">
        <is>
          <t>FY2029</t>
        </is>
      </c>
      <c r="AK2" s="21" t="inlineStr">
        <is>
          <t>FY2030</t>
        </is>
      </c>
      <c r="AL2" s="21" t="inlineStr">
        <is>
          <t>FY2031</t>
        </is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  <c r="AG3" t="n">
        <v>2026</v>
      </c>
      <c r="AH3" t="n">
        <v>2027</v>
      </c>
      <c r="AI3" t="n">
        <v>2028</v>
      </c>
      <c r="AJ3" t="n">
        <v>2029</v>
      </c>
      <c r="AK3" t="n">
        <v>2030</v>
      </c>
      <c r="AL3" t="n">
        <v>2031</v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8">
      <c r="A8" t="inlineStr">
        <is>
          <t>Cash</t>
        </is>
      </c>
      <c r="B8" s="2" t="inlineStr"/>
      <c r="C8" s="4">
        <f>'Cash Flow'!C28</f>
        <v/>
      </c>
      <c r="D8" s="4">
        <f>'Cash Flow'!D28</f>
        <v/>
      </c>
      <c r="E8" s="4">
        <f>'Cash Flow'!E28</f>
        <v/>
      </c>
      <c r="F8" s="4">
        <f>'Cash Flow'!F28</f>
        <v/>
      </c>
      <c r="G8" s="4">
        <f>'Cash Flow'!G28</f>
        <v/>
      </c>
      <c r="H8" s="4">
        <f>'Cash Flow'!H28</f>
        <v/>
      </c>
      <c r="I8" s="4">
        <f>'Cash Flow'!I28</f>
        <v/>
      </c>
      <c r="J8" s="4">
        <f>'Cash Flow'!J28</f>
        <v/>
      </c>
      <c r="K8" s="4">
        <f>'Cash Flow'!K28</f>
        <v/>
      </c>
      <c r="L8" s="4">
        <f>'Cash Flow'!L28</f>
        <v/>
      </c>
      <c r="M8" s="4">
        <f>'Cash Flow'!M28</f>
        <v/>
      </c>
      <c r="N8" s="4">
        <f>'Cash Flow'!N28</f>
        <v/>
      </c>
      <c r="O8" s="4">
        <f>'Cash Flow'!O28</f>
        <v/>
      </c>
      <c r="P8" s="4">
        <f>'Cash Flow'!P28</f>
        <v/>
      </c>
      <c r="Q8" s="4">
        <f>'Cash Flow'!Q28</f>
        <v/>
      </c>
      <c r="R8" s="4">
        <f>'Cash Flow'!R28</f>
        <v/>
      </c>
      <c r="S8" s="4">
        <f>'Cash Flow'!S28</f>
        <v/>
      </c>
      <c r="T8" s="4">
        <f>'Cash Flow'!T28</f>
        <v/>
      </c>
      <c r="U8" s="4">
        <f>'Cash Flow'!U28</f>
        <v/>
      </c>
      <c r="V8" s="4">
        <f>'Cash Flow'!V28</f>
        <v/>
      </c>
      <c r="W8" s="4">
        <f>'Cash Flow'!W28</f>
        <v/>
      </c>
      <c r="X8" s="4">
        <f>'Cash Flow'!X28</f>
        <v/>
      </c>
      <c r="Y8" s="4">
        <f>'Cash Flow'!Y28</f>
        <v/>
      </c>
      <c r="Z8" s="4">
        <f>'Cash Flow'!Z28</f>
        <v/>
      </c>
      <c r="AA8" s="4">
        <f>'Cash Flow'!AA28</f>
        <v/>
      </c>
      <c r="AB8" s="4">
        <f>'Cash Flow'!AB28</f>
        <v/>
      </c>
      <c r="AC8" s="4">
        <f>'Cash Flow'!AC28</f>
        <v/>
      </c>
      <c r="AD8" s="4">
        <f>'Cash Flow'!AD28</f>
        <v/>
      </c>
      <c r="AE8" s="4">
        <f>'Cash Flow'!AE28</f>
        <v/>
      </c>
      <c r="AG8" s="4">
        <f>D8</f>
        <v/>
      </c>
      <c r="AH8" s="4">
        <f>P8</f>
        <v/>
      </c>
      <c r="AI8" s="4">
        <f>AB8</f>
        <v/>
      </c>
      <c r="AJ8" s="4">
        <f>AC8</f>
        <v/>
      </c>
      <c r="AK8" s="4">
        <f>AD8</f>
        <v/>
      </c>
      <c r="AL8" s="4">
        <f>AE8</f>
        <v/>
      </c>
    </row>
    <row r="9">
      <c r="A9" t="inlineStr">
        <is>
          <t>Accounts receivable</t>
        </is>
      </c>
      <c r="B9" s="2" t="inlineStr"/>
      <c r="C9" s="4">
        <f>'Working Capital'!C15</f>
        <v/>
      </c>
      <c r="D9" s="4">
        <f>'Working Capital'!D15</f>
        <v/>
      </c>
      <c r="E9" s="4">
        <f>'Working Capital'!E15</f>
        <v/>
      </c>
      <c r="F9" s="4">
        <f>'Working Capital'!F15</f>
        <v/>
      </c>
      <c r="G9" s="4">
        <f>'Working Capital'!G15</f>
        <v/>
      </c>
      <c r="H9" s="4">
        <f>'Working Capital'!H15</f>
        <v/>
      </c>
      <c r="I9" s="4">
        <f>'Working Capital'!I15</f>
        <v/>
      </c>
      <c r="J9" s="4">
        <f>'Working Capital'!J15</f>
        <v/>
      </c>
      <c r="K9" s="4">
        <f>'Working Capital'!K15</f>
        <v/>
      </c>
      <c r="L9" s="4">
        <f>'Working Capital'!L15</f>
        <v/>
      </c>
      <c r="M9" s="4">
        <f>'Working Capital'!M15</f>
        <v/>
      </c>
      <c r="N9" s="4">
        <f>'Working Capital'!N15</f>
        <v/>
      </c>
      <c r="O9" s="4">
        <f>'Working Capital'!O15</f>
        <v/>
      </c>
      <c r="P9" s="4">
        <f>'Working Capital'!P15</f>
        <v/>
      </c>
      <c r="Q9" s="4">
        <f>'Working Capital'!Q15</f>
        <v/>
      </c>
      <c r="R9" s="4">
        <f>'Working Capital'!R15</f>
        <v/>
      </c>
      <c r="S9" s="4">
        <f>'Working Capital'!S15</f>
        <v/>
      </c>
      <c r="T9" s="4">
        <f>'Working Capital'!T15</f>
        <v/>
      </c>
      <c r="U9" s="4">
        <f>'Working Capital'!U15</f>
        <v/>
      </c>
      <c r="V9" s="4">
        <f>'Working Capital'!V15</f>
        <v/>
      </c>
      <c r="W9" s="4">
        <f>'Working Capital'!W15</f>
        <v/>
      </c>
      <c r="X9" s="4">
        <f>'Working Capital'!X15</f>
        <v/>
      </c>
      <c r="Y9" s="4">
        <f>'Working Capital'!Y15</f>
        <v/>
      </c>
      <c r="Z9" s="4">
        <f>'Working Capital'!Z15</f>
        <v/>
      </c>
      <c r="AA9" s="4">
        <f>'Working Capital'!AA15</f>
        <v/>
      </c>
      <c r="AB9" s="4">
        <f>'Working Capital'!AB15</f>
        <v/>
      </c>
      <c r="AC9" s="4">
        <f>'Working Capital'!AC15</f>
        <v/>
      </c>
      <c r="AD9" s="4">
        <f>'Working Capital'!AD15</f>
        <v/>
      </c>
      <c r="AE9" s="4">
        <f>'Working Capital'!AE15</f>
        <v/>
      </c>
      <c r="AG9" s="4">
        <f>D9</f>
        <v/>
      </c>
      <c r="AH9" s="4">
        <f>P9</f>
        <v/>
      </c>
      <c r="AI9" s="4">
        <f>AB9</f>
        <v/>
      </c>
      <c r="AJ9" s="4">
        <f>AC9</f>
        <v/>
      </c>
      <c r="AK9" s="4">
        <f>AD9</f>
        <v/>
      </c>
      <c r="AL9" s="4">
        <f>AE9</f>
        <v/>
      </c>
    </row>
    <row r="10">
      <c r="A10" t="inlineStr">
        <is>
          <t>Inventory &amp; ODM prepayments</t>
        </is>
      </c>
      <c r="B10" s="2" t="inlineStr"/>
      <c r="C10" s="4">
        <f>'Working Capital'!C12</f>
        <v/>
      </c>
      <c r="D10" s="4">
        <f>'Working Capital'!D12</f>
        <v/>
      </c>
      <c r="E10" s="4">
        <f>'Working Capital'!E12</f>
        <v/>
      </c>
      <c r="F10" s="4">
        <f>'Working Capital'!F12</f>
        <v/>
      </c>
      <c r="G10" s="4">
        <f>'Working Capital'!G12</f>
        <v/>
      </c>
      <c r="H10" s="4">
        <f>'Working Capital'!H12</f>
        <v/>
      </c>
      <c r="I10" s="4">
        <f>'Working Capital'!I12</f>
        <v/>
      </c>
      <c r="J10" s="4">
        <f>'Working Capital'!J12</f>
        <v/>
      </c>
      <c r="K10" s="4">
        <f>'Working Capital'!K12</f>
        <v/>
      </c>
      <c r="L10" s="4">
        <f>'Working Capital'!L12</f>
        <v/>
      </c>
      <c r="M10" s="4">
        <f>'Working Capital'!M12</f>
        <v/>
      </c>
      <c r="N10" s="4">
        <f>'Working Capital'!N12</f>
        <v/>
      </c>
      <c r="O10" s="4">
        <f>'Working Capital'!O12</f>
        <v/>
      </c>
      <c r="P10" s="4">
        <f>'Working Capital'!P12</f>
        <v/>
      </c>
      <c r="Q10" s="4">
        <f>'Working Capital'!Q12</f>
        <v/>
      </c>
      <c r="R10" s="4">
        <f>'Working Capital'!R12</f>
        <v/>
      </c>
      <c r="S10" s="4">
        <f>'Working Capital'!S12</f>
        <v/>
      </c>
      <c r="T10" s="4">
        <f>'Working Capital'!T12</f>
        <v/>
      </c>
      <c r="U10" s="4">
        <f>'Working Capital'!U12</f>
        <v/>
      </c>
      <c r="V10" s="4">
        <f>'Working Capital'!V12</f>
        <v/>
      </c>
      <c r="W10" s="4">
        <f>'Working Capital'!W12</f>
        <v/>
      </c>
      <c r="X10" s="4">
        <f>'Working Capital'!X12</f>
        <v/>
      </c>
      <c r="Y10" s="4">
        <f>'Working Capital'!Y12</f>
        <v/>
      </c>
      <c r="Z10" s="4">
        <f>'Working Capital'!Z12</f>
        <v/>
      </c>
      <c r="AA10" s="4">
        <f>'Working Capital'!AA12</f>
        <v/>
      </c>
      <c r="AB10" s="4">
        <f>'Working Capital'!AB12</f>
        <v/>
      </c>
      <c r="AC10" s="4">
        <f>'Working Capital'!AC12</f>
        <v/>
      </c>
      <c r="AD10" s="4">
        <f>'Working Capital'!AD12</f>
        <v/>
      </c>
      <c r="AE10" s="4">
        <f>'Working Capital'!AE12</f>
        <v/>
      </c>
      <c r="AG10" s="4">
        <f>D10</f>
        <v/>
      </c>
      <c r="AH10" s="4">
        <f>P10</f>
        <v/>
      </c>
      <c r="AI10" s="4">
        <f>AB10</f>
        <v/>
      </c>
      <c r="AJ10" s="4">
        <f>AC10</f>
        <v/>
      </c>
      <c r="AK10" s="4">
        <f>AD10</f>
        <v/>
      </c>
      <c r="AL10" s="4">
        <f>AE10</f>
        <v/>
      </c>
    </row>
    <row r="11">
      <c r="A11" t="inlineStr">
        <is>
          <t>PP&amp;E, net (tooling, fleet)</t>
        </is>
      </c>
      <c r="B11" s="2" t="inlineStr"/>
      <c r="C11" s="4">
        <f>'Working Capital'!C28</f>
        <v/>
      </c>
      <c r="D11" s="4">
        <f>'Working Capital'!D28</f>
        <v/>
      </c>
      <c r="E11" s="4">
        <f>'Working Capital'!E28</f>
        <v/>
      </c>
      <c r="F11" s="4">
        <f>'Working Capital'!F28</f>
        <v/>
      </c>
      <c r="G11" s="4">
        <f>'Working Capital'!G28</f>
        <v/>
      </c>
      <c r="H11" s="4">
        <f>'Working Capital'!H28</f>
        <v/>
      </c>
      <c r="I11" s="4">
        <f>'Working Capital'!I28</f>
        <v/>
      </c>
      <c r="J11" s="4">
        <f>'Working Capital'!J28</f>
        <v/>
      </c>
      <c r="K11" s="4">
        <f>'Working Capital'!K28</f>
        <v/>
      </c>
      <c r="L11" s="4">
        <f>'Working Capital'!L28</f>
        <v/>
      </c>
      <c r="M11" s="4">
        <f>'Working Capital'!M28</f>
        <v/>
      </c>
      <c r="N11" s="4">
        <f>'Working Capital'!N28</f>
        <v/>
      </c>
      <c r="O11" s="4">
        <f>'Working Capital'!O28</f>
        <v/>
      </c>
      <c r="P11" s="4">
        <f>'Working Capital'!P28</f>
        <v/>
      </c>
      <c r="Q11" s="4">
        <f>'Working Capital'!Q28</f>
        <v/>
      </c>
      <c r="R11" s="4">
        <f>'Working Capital'!R28</f>
        <v/>
      </c>
      <c r="S11" s="4">
        <f>'Working Capital'!S28</f>
        <v/>
      </c>
      <c r="T11" s="4">
        <f>'Working Capital'!T28</f>
        <v/>
      </c>
      <c r="U11" s="4">
        <f>'Working Capital'!U28</f>
        <v/>
      </c>
      <c r="V11" s="4">
        <f>'Working Capital'!V28</f>
        <v/>
      </c>
      <c r="W11" s="4">
        <f>'Working Capital'!W28</f>
        <v/>
      </c>
      <c r="X11" s="4">
        <f>'Working Capital'!X28</f>
        <v/>
      </c>
      <c r="Y11" s="4">
        <f>'Working Capital'!Y28</f>
        <v/>
      </c>
      <c r="Z11" s="4">
        <f>'Working Capital'!Z28</f>
        <v/>
      </c>
      <c r="AA11" s="4">
        <f>'Working Capital'!AA28</f>
        <v/>
      </c>
      <c r="AB11" s="4">
        <f>'Working Capital'!AB28</f>
        <v/>
      </c>
      <c r="AC11" s="4">
        <f>'Working Capital'!AC28</f>
        <v/>
      </c>
      <c r="AD11" s="4">
        <f>'Working Capital'!AD28</f>
        <v/>
      </c>
      <c r="AE11" s="4">
        <f>'Working Capital'!AE28</f>
        <v/>
      </c>
      <c r="AG11" s="4">
        <f>D11</f>
        <v/>
      </c>
      <c r="AH11" s="4">
        <f>P11</f>
        <v/>
      </c>
      <c r="AI11" s="4">
        <f>AB11</f>
        <v/>
      </c>
      <c r="AJ11" s="4">
        <f>AC11</f>
        <v/>
      </c>
      <c r="AK11" s="4">
        <f>AD11</f>
        <v/>
      </c>
      <c r="AL11" s="4">
        <f>AE11</f>
        <v/>
      </c>
    </row>
    <row r="12">
      <c r="A12" s="13" t="inlineStr">
        <is>
          <t>TOTAL ASSETS</t>
        </is>
      </c>
      <c r="B12" s="2" t="inlineStr"/>
      <c r="C12" s="24">
        <f>'Balance Sheet'!C8+'Balance Sheet'!C9+'Balance Sheet'!C10+'Balance Sheet'!C11</f>
        <v/>
      </c>
      <c r="D12" s="24">
        <f>'Balance Sheet'!D8+'Balance Sheet'!D9+'Balance Sheet'!D10+'Balance Sheet'!D11</f>
        <v/>
      </c>
      <c r="E12" s="24">
        <f>'Balance Sheet'!E8+'Balance Sheet'!E9+'Balance Sheet'!E10+'Balance Sheet'!E11</f>
        <v/>
      </c>
      <c r="F12" s="24">
        <f>'Balance Sheet'!F8+'Balance Sheet'!F9+'Balance Sheet'!F10+'Balance Sheet'!F11</f>
        <v/>
      </c>
      <c r="G12" s="24">
        <f>'Balance Sheet'!G8+'Balance Sheet'!G9+'Balance Sheet'!G10+'Balance Sheet'!G11</f>
        <v/>
      </c>
      <c r="H12" s="24">
        <f>'Balance Sheet'!H8+'Balance Sheet'!H9+'Balance Sheet'!H10+'Balance Sheet'!H11</f>
        <v/>
      </c>
      <c r="I12" s="24">
        <f>'Balance Sheet'!I8+'Balance Sheet'!I9+'Balance Sheet'!I10+'Balance Sheet'!I11</f>
        <v/>
      </c>
      <c r="J12" s="24">
        <f>'Balance Sheet'!J8+'Balance Sheet'!J9+'Balance Sheet'!J10+'Balance Sheet'!J11</f>
        <v/>
      </c>
      <c r="K12" s="24">
        <f>'Balance Sheet'!K8+'Balance Sheet'!K9+'Balance Sheet'!K10+'Balance Sheet'!K11</f>
        <v/>
      </c>
      <c r="L12" s="24">
        <f>'Balance Sheet'!L8+'Balance Sheet'!L9+'Balance Sheet'!L10+'Balance Sheet'!L11</f>
        <v/>
      </c>
      <c r="M12" s="24">
        <f>'Balance Sheet'!M8+'Balance Sheet'!M9+'Balance Sheet'!M10+'Balance Sheet'!M11</f>
        <v/>
      </c>
      <c r="N12" s="24">
        <f>'Balance Sheet'!N8+'Balance Sheet'!N9+'Balance Sheet'!N10+'Balance Sheet'!N11</f>
        <v/>
      </c>
      <c r="O12" s="24">
        <f>'Balance Sheet'!O8+'Balance Sheet'!O9+'Balance Sheet'!O10+'Balance Sheet'!O11</f>
        <v/>
      </c>
      <c r="P12" s="24">
        <f>'Balance Sheet'!P8+'Balance Sheet'!P9+'Balance Sheet'!P10+'Balance Sheet'!P11</f>
        <v/>
      </c>
      <c r="Q12" s="24">
        <f>'Balance Sheet'!Q8+'Balance Sheet'!Q9+'Balance Sheet'!Q10+'Balance Sheet'!Q11</f>
        <v/>
      </c>
      <c r="R12" s="24">
        <f>'Balance Sheet'!R8+'Balance Sheet'!R9+'Balance Sheet'!R10+'Balance Sheet'!R11</f>
        <v/>
      </c>
      <c r="S12" s="24">
        <f>'Balance Sheet'!S8+'Balance Sheet'!S9+'Balance Sheet'!S10+'Balance Sheet'!S11</f>
        <v/>
      </c>
      <c r="T12" s="24">
        <f>'Balance Sheet'!T8+'Balance Sheet'!T9+'Balance Sheet'!T10+'Balance Sheet'!T11</f>
        <v/>
      </c>
      <c r="U12" s="24">
        <f>'Balance Sheet'!U8+'Balance Sheet'!U9+'Balance Sheet'!U10+'Balance Sheet'!U11</f>
        <v/>
      </c>
      <c r="V12" s="24">
        <f>'Balance Sheet'!V8+'Balance Sheet'!V9+'Balance Sheet'!V10+'Balance Sheet'!V11</f>
        <v/>
      </c>
      <c r="W12" s="24">
        <f>'Balance Sheet'!W8+'Balance Sheet'!W9+'Balance Sheet'!W10+'Balance Sheet'!W11</f>
        <v/>
      </c>
      <c r="X12" s="24">
        <f>'Balance Sheet'!X8+'Balance Sheet'!X9+'Balance Sheet'!X10+'Balance Sheet'!X11</f>
        <v/>
      </c>
      <c r="Y12" s="24">
        <f>'Balance Sheet'!Y8+'Balance Sheet'!Y9+'Balance Sheet'!Y10+'Balance Sheet'!Y11</f>
        <v/>
      </c>
      <c r="Z12" s="24">
        <f>'Balance Sheet'!Z8+'Balance Sheet'!Z9+'Balance Sheet'!Z10+'Balance Sheet'!Z11</f>
        <v/>
      </c>
      <c r="AA12" s="24">
        <f>'Balance Sheet'!AA8+'Balance Sheet'!AA9+'Balance Sheet'!AA10+'Balance Sheet'!AA11</f>
        <v/>
      </c>
      <c r="AB12" s="24">
        <f>'Balance Sheet'!AB8+'Balance Sheet'!AB9+'Balance Sheet'!AB10+'Balance Sheet'!AB11</f>
        <v/>
      </c>
      <c r="AC12" s="24">
        <f>'Balance Sheet'!AC8+'Balance Sheet'!AC9+'Balance Sheet'!AC10+'Balance Sheet'!AC11</f>
        <v/>
      </c>
      <c r="AD12" s="24">
        <f>'Balance Sheet'!AD8+'Balance Sheet'!AD9+'Balance Sheet'!AD10+'Balance Sheet'!AD11</f>
        <v/>
      </c>
      <c r="AE12" s="24">
        <f>'Balance Sheet'!AE8+'Balance Sheet'!AE9+'Balance Sheet'!AE10+'Balance Sheet'!AE11</f>
        <v/>
      </c>
      <c r="AG12" s="24">
        <f>D12</f>
        <v/>
      </c>
      <c r="AH12" s="24">
        <f>P12</f>
        <v/>
      </c>
      <c r="AI12" s="24">
        <f>AB12</f>
        <v/>
      </c>
      <c r="AJ12" s="24">
        <f>AC12</f>
        <v/>
      </c>
      <c r="AK12" s="24">
        <f>AD12</f>
        <v/>
      </c>
      <c r="AL12" s="24">
        <f>AE12</f>
        <v/>
      </c>
    </row>
    <row r="13">
      <c r="A13" t="inlineStr">
        <is>
          <t>Deferred revenue (pre-orders)</t>
        </is>
      </c>
      <c r="B13" s="2" t="inlineStr"/>
      <c r="C13" s="4">
        <f>'Working Capital'!C20</f>
        <v/>
      </c>
      <c r="D13" s="4">
        <f>'Working Capital'!D20</f>
        <v/>
      </c>
      <c r="E13" s="4">
        <f>'Working Capital'!E20</f>
        <v/>
      </c>
      <c r="F13" s="4">
        <f>'Working Capital'!F20</f>
        <v/>
      </c>
      <c r="G13" s="4">
        <f>'Working Capital'!G20</f>
        <v/>
      </c>
      <c r="H13" s="4">
        <f>'Working Capital'!H20</f>
        <v/>
      </c>
      <c r="I13" s="4">
        <f>'Working Capital'!I20</f>
        <v/>
      </c>
      <c r="J13" s="4">
        <f>'Working Capital'!J20</f>
        <v/>
      </c>
      <c r="K13" s="4">
        <f>'Working Capital'!K20</f>
        <v/>
      </c>
      <c r="L13" s="4">
        <f>'Working Capital'!L20</f>
        <v/>
      </c>
      <c r="M13" s="4">
        <f>'Working Capital'!M20</f>
        <v/>
      </c>
      <c r="N13" s="4">
        <f>'Working Capital'!N20</f>
        <v/>
      </c>
      <c r="O13" s="4">
        <f>'Working Capital'!O20</f>
        <v/>
      </c>
      <c r="P13" s="4">
        <f>'Working Capital'!P20</f>
        <v/>
      </c>
      <c r="Q13" s="4">
        <f>'Working Capital'!Q20</f>
        <v/>
      </c>
      <c r="R13" s="4">
        <f>'Working Capital'!R20</f>
        <v/>
      </c>
      <c r="S13" s="4">
        <f>'Working Capital'!S20</f>
        <v/>
      </c>
      <c r="T13" s="4">
        <f>'Working Capital'!T20</f>
        <v/>
      </c>
      <c r="U13" s="4">
        <f>'Working Capital'!U20</f>
        <v/>
      </c>
      <c r="V13" s="4">
        <f>'Working Capital'!V20</f>
        <v/>
      </c>
      <c r="W13" s="4">
        <f>'Working Capital'!W20</f>
        <v/>
      </c>
      <c r="X13" s="4">
        <f>'Working Capital'!X20</f>
        <v/>
      </c>
      <c r="Y13" s="4">
        <f>'Working Capital'!Y20</f>
        <v/>
      </c>
      <c r="Z13" s="4">
        <f>'Working Capital'!Z20</f>
        <v/>
      </c>
      <c r="AA13" s="4">
        <f>'Working Capital'!AA20</f>
        <v/>
      </c>
      <c r="AB13" s="4">
        <f>'Working Capital'!AB20</f>
        <v/>
      </c>
      <c r="AC13" s="4">
        <f>'Working Capital'!AC20</f>
        <v/>
      </c>
      <c r="AD13" s="4">
        <f>'Working Capital'!AD20</f>
        <v/>
      </c>
      <c r="AE13" s="4">
        <f>'Working Capital'!AE20</f>
        <v/>
      </c>
      <c r="AG13" s="4">
        <f>D13</f>
        <v/>
      </c>
      <c r="AH13" s="4">
        <f>P13</f>
        <v/>
      </c>
      <c r="AI13" s="4">
        <f>AB13</f>
        <v/>
      </c>
      <c r="AJ13" s="4">
        <f>AC13</f>
        <v/>
      </c>
      <c r="AK13" s="4">
        <f>AD13</f>
        <v/>
      </c>
      <c r="AL13" s="4">
        <f>AE13</f>
        <v/>
      </c>
    </row>
    <row r="14">
      <c r="A14" s="13" t="inlineStr">
        <is>
          <t>TOTAL LIABILITIES</t>
        </is>
      </c>
      <c r="B14" s="2" t="inlineStr"/>
      <c r="C14" s="24">
        <f>'Balance Sheet'!C13</f>
        <v/>
      </c>
      <c r="D14" s="24">
        <f>'Balance Sheet'!D13</f>
        <v/>
      </c>
      <c r="E14" s="24">
        <f>'Balance Sheet'!E13</f>
        <v/>
      </c>
      <c r="F14" s="24">
        <f>'Balance Sheet'!F13</f>
        <v/>
      </c>
      <c r="G14" s="24">
        <f>'Balance Sheet'!G13</f>
        <v/>
      </c>
      <c r="H14" s="24">
        <f>'Balance Sheet'!H13</f>
        <v/>
      </c>
      <c r="I14" s="24">
        <f>'Balance Sheet'!I13</f>
        <v/>
      </c>
      <c r="J14" s="24">
        <f>'Balance Sheet'!J13</f>
        <v/>
      </c>
      <c r="K14" s="24">
        <f>'Balance Sheet'!K13</f>
        <v/>
      </c>
      <c r="L14" s="24">
        <f>'Balance Sheet'!L13</f>
        <v/>
      </c>
      <c r="M14" s="24">
        <f>'Balance Sheet'!M13</f>
        <v/>
      </c>
      <c r="N14" s="24">
        <f>'Balance Sheet'!N13</f>
        <v/>
      </c>
      <c r="O14" s="24">
        <f>'Balance Sheet'!O13</f>
        <v/>
      </c>
      <c r="P14" s="24">
        <f>'Balance Sheet'!P13</f>
        <v/>
      </c>
      <c r="Q14" s="24">
        <f>'Balance Sheet'!Q13</f>
        <v/>
      </c>
      <c r="R14" s="24">
        <f>'Balance Sheet'!R13</f>
        <v/>
      </c>
      <c r="S14" s="24">
        <f>'Balance Sheet'!S13</f>
        <v/>
      </c>
      <c r="T14" s="24">
        <f>'Balance Sheet'!T13</f>
        <v/>
      </c>
      <c r="U14" s="24">
        <f>'Balance Sheet'!U13</f>
        <v/>
      </c>
      <c r="V14" s="24">
        <f>'Balance Sheet'!V13</f>
        <v/>
      </c>
      <c r="W14" s="24">
        <f>'Balance Sheet'!W13</f>
        <v/>
      </c>
      <c r="X14" s="24">
        <f>'Balance Sheet'!X13</f>
        <v/>
      </c>
      <c r="Y14" s="24">
        <f>'Balance Sheet'!Y13</f>
        <v/>
      </c>
      <c r="Z14" s="24">
        <f>'Balance Sheet'!Z13</f>
        <v/>
      </c>
      <c r="AA14" s="24">
        <f>'Balance Sheet'!AA13</f>
        <v/>
      </c>
      <c r="AB14" s="24">
        <f>'Balance Sheet'!AB13</f>
        <v/>
      </c>
      <c r="AC14" s="24">
        <f>'Balance Sheet'!AC13</f>
        <v/>
      </c>
      <c r="AD14" s="24">
        <f>'Balance Sheet'!AD13</f>
        <v/>
      </c>
      <c r="AE14" s="24">
        <f>'Balance Sheet'!AE13</f>
        <v/>
      </c>
      <c r="AG14" s="24">
        <f>D14</f>
        <v/>
      </c>
      <c r="AH14" s="24">
        <f>P14</f>
        <v/>
      </c>
      <c r="AI14" s="24">
        <f>AB14</f>
        <v/>
      </c>
      <c r="AJ14" s="24">
        <f>AC14</f>
        <v/>
      </c>
      <c r="AK14" s="24">
        <f>AD14</f>
        <v/>
      </c>
      <c r="AL14" s="24">
        <f>AE14</f>
        <v/>
      </c>
    </row>
    <row r="15">
      <c r="A15" t="inlineStr">
        <is>
          <t>Paid-in capital (SAFE + preferred)</t>
        </is>
      </c>
      <c r="B15" s="2" t="inlineStr"/>
      <c r="C15" s="4">
        <f>opening_cash+SUM('Cash Flow'!$C22:C22)</f>
        <v/>
      </c>
      <c r="D15" s="4">
        <f>opening_cash+SUM('Cash Flow'!$C22:D22)</f>
        <v/>
      </c>
      <c r="E15" s="4">
        <f>opening_cash+SUM('Cash Flow'!$C22:E22)</f>
        <v/>
      </c>
      <c r="F15" s="4">
        <f>opening_cash+SUM('Cash Flow'!$C22:F22)</f>
        <v/>
      </c>
      <c r="G15" s="4">
        <f>opening_cash+SUM('Cash Flow'!$C22:G22)</f>
        <v/>
      </c>
      <c r="H15" s="4">
        <f>opening_cash+SUM('Cash Flow'!$C22:H22)</f>
        <v/>
      </c>
      <c r="I15" s="4">
        <f>opening_cash+SUM('Cash Flow'!$C22:I22)</f>
        <v/>
      </c>
      <c r="J15" s="4">
        <f>opening_cash+SUM('Cash Flow'!$C22:J22)</f>
        <v/>
      </c>
      <c r="K15" s="4">
        <f>opening_cash+SUM('Cash Flow'!$C22:K22)</f>
        <v/>
      </c>
      <c r="L15" s="4">
        <f>opening_cash+SUM('Cash Flow'!$C22:L22)</f>
        <v/>
      </c>
      <c r="M15" s="4">
        <f>opening_cash+SUM('Cash Flow'!$C22:M22)</f>
        <v/>
      </c>
      <c r="N15" s="4">
        <f>opening_cash+SUM('Cash Flow'!$C22:N22)</f>
        <v/>
      </c>
      <c r="O15" s="4">
        <f>opening_cash+SUM('Cash Flow'!$C22:O22)</f>
        <v/>
      </c>
      <c r="P15" s="4">
        <f>opening_cash+SUM('Cash Flow'!$C22:P22)</f>
        <v/>
      </c>
      <c r="Q15" s="4">
        <f>opening_cash+SUM('Cash Flow'!$C22:Q22)</f>
        <v/>
      </c>
      <c r="R15" s="4">
        <f>opening_cash+SUM('Cash Flow'!$C22:R22)</f>
        <v/>
      </c>
      <c r="S15" s="4">
        <f>opening_cash+SUM('Cash Flow'!$C22:S22)</f>
        <v/>
      </c>
      <c r="T15" s="4">
        <f>opening_cash+SUM('Cash Flow'!$C22:T22)</f>
        <v/>
      </c>
      <c r="U15" s="4">
        <f>opening_cash+SUM('Cash Flow'!$C22:U22)</f>
        <v/>
      </c>
      <c r="V15" s="4">
        <f>opening_cash+SUM('Cash Flow'!$C22:V22)</f>
        <v/>
      </c>
      <c r="W15" s="4">
        <f>opening_cash+SUM('Cash Flow'!$C22:W22)</f>
        <v/>
      </c>
      <c r="X15" s="4">
        <f>opening_cash+SUM('Cash Flow'!$C22:X22)</f>
        <v/>
      </c>
      <c r="Y15" s="4">
        <f>opening_cash+SUM('Cash Flow'!$C22:Y22)</f>
        <v/>
      </c>
      <c r="Z15" s="4">
        <f>opening_cash+SUM('Cash Flow'!$C22:Z22)</f>
        <v/>
      </c>
      <c r="AA15" s="4">
        <f>opening_cash+SUM('Cash Flow'!$C22:AA22)</f>
        <v/>
      </c>
      <c r="AB15" s="4">
        <f>opening_cash+SUM('Cash Flow'!$C22:AB22)</f>
        <v/>
      </c>
      <c r="AC15" s="4">
        <f>opening_cash+SUM('Cash Flow'!$C22:AC22)</f>
        <v/>
      </c>
      <c r="AD15" s="4">
        <f>opening_cash+SUM('Cash Flow'!$C22:AD22)</f>
        <v/>
      </c>
      <c r="AE15" s="4">
        <f>opening_cash+SUM('Cash Flow'!$C22:AE22)</f>
        <v/>
      </c>
      <c r="AG15" s="4">
        <f>D15</f>
        <v/>
      </c>
      <c r="AH15" s="4">
        <f>P15</f>
        <v/>
      </c>
      <c r="AI15" s="4">
        <f>AB15</f>
        <v/>
      </c>
      <c r="AJ15" s="4">
        <f>AC15</f>
        <v/>
      </c>
      <c r="AK15" s="4">
        <f>AD15</f>
        <v/>
      </c>
      <c r="AL15" s="4">
        <f>AE15</f>
        <v/>
      </c>
    </row>
    <row r="16">
      <c r="A16" t="inlineStr">
        <is>
          <t>Retained earnings / (deficit)</t>
        </is>
      </c>
      <c r="B16" s="2" t="inlineStr"/>
      <c r="C16" s="4">
        <f>SUM('P&amp;L'!$C40:C40)</f>
        <v/>
      </c>
      <c r="D16" s="4">
        <f>SUM('P&amp;L'!$C40:D40)</f>
        <v/>
      </c>
      <c r="E16" s="4">
        <f>SUM('P&amp;L'!$C40:E40)</f>
        <v/>
      </c>
      <c r="F16" s="4">
        <f>SUM('P&amp;L'!$C40:F40)</f>
        <v/>
      </c>
      <c r="G16" s="4">
        <f>SUM('P&amp;L'!$C40:G40)</f>
        <v/>
      </c>
      <c r="H16" s="4">
        <f>SUM('P&amp;L'!$C40:H40)</f>
        <v/>
      </c>
      <c r="I16" s="4">
        <f>SUM('P&amp;L'!$C40:I40)</f>
        <v/>
      </c>
      <c r="J16" s="4">
        <f>SUM('P&amp;L'!$C40:J40)</f>
        <v/>
      </c>
      <c r="K16" s="4">
        <f>SUM('P&amp;L'!$C40:K40)</f>
        <v/>
      </c>
      <c r="L16" s="4">
        <f>SUM('P&amp;L'!$C40:L40)</f>
        <v/>
      </c>
      <c r="M16" s="4">
        <f>SUM('P&amp;L'!$C40:M40)</f>
        <v/>
      </c>
      <c r="N16" s="4">
        <f>SUM('P&amp;L'!$C40:N40)</f>
        <v/>
      </c>
      <c r="O16" s="4">
        <f>SUM('P&amp;L'!$C40:O40)</f>
        <v/>
      </c>
      <c r="P16" s="4">
        <f>SUM('P&amp;L'!$C40:P40)</f>
        <v/>
      </c>
      <c r="Q16" s="4">
        <f>SUM('P&amp;L'!$C40:Q40)</f>
        <v/>
      </c>
      <c r="R16" s="4">
        <f>SUM('P&amp;L'!$C40:R40)</f>
        <v/>
      </c>
      <c r="S16" s="4">
        <f>SUM('P&amp;L'!$C40:S40)</f>
        <v/>
      </c>
      <c r="T16" s="4">
        <f>SUM('P&amp;L'!$C40:T40)</f>
        <v/>
      </c>
      <c r="U16" s="4">
        <f>SUM('P&amp;L'!$C40:U40)</f>
        <v/>
      </c>
      <c r="V16" s="4">
        <f>SUM('P&amp;L'!$C40:V40)</f>
        <v/>
      </c>
      <c r="W16" s="4">
        <f>SUM('P&amp;L'!$C40:W40)</f>
        <v/>
      </c>
      <c r="X16" s="4">
        <f>SUM('P&amp;L'!$C40:X40)</f>
        <v/>
      </c>
      <c r="Y16" s="4">
        <f>SUM('P&amp;L'!$C40:Y40)</f>
        <v/>
      </c>
      <c r="Z16" s="4">
        <f>SUM('P&amp;L'!$C40:Z40)</f>
        <v/>
      </c>
      <c r="AA16" s="4">
        <f>SUM('P&amp;L'!$C40:AA40)</f>
        <v/>
      </c>
      <c r="AB16" s="4">
        <f>SUM('P&amp;L'!$C40:AB40)</f>
        <v/>
      </c>
      <c r="AC16" s="4">
        <f>SUM('P&amp;L'!$C40:AC40)</f>
        <v/>
      </c>
      <c r="AD16" s="4">
        <f>SUM('P&amp;L'!$C40:AD40)</f>
        <v/>
      </c>
      <c r="AE16" s="4">
        <f>SUM('P&amp;L'!$C40:AE40)</f>
        <v/>
      </c>
      <c r="AG16" s="4">
        <f>D16</f>
        <v/>
      </c>
      <c r="AH16" s="4">
        <f>P16</f>
        <v/>
      </c>
      <c r="AI16" s="4">
        <f>AB16</f>
        <v/>
      </c>
      <c r="AJ16" s="4">
        <f>AC16</f>
        <v/>
      </c>
      <c r="AK16" s="4">
        <f>AD16</f>
        <v/>
      </c>
      <c r="AL16" s="4">
        <f>AE16</f>
        <v/>
      </c>
    </row>
    <row r="17">
      <c r="A17" s="13" t="inlineStr">
        <is>
          <t>TOTAL EQUITY</t>
        </is>
      </c>
      <c r="B17" s="2" t="inlineStr"/>
      <c r="C17" s="24">
        <f>'Balance Sheet'!C15+'Balance Sheet'!C16</f>
        <v/>
      </c>
      <c r="D17" s="24">
        <f>'Balance Sheet'!D15+'Balance Sheet'!D16</f>
        <v/>
      </c>
      <c r="E17" s="24">
        <f>'Balance Sheet'!E15+'Balance Sheet'!E16</f>
        <v/>
      </c>
      <c r="F17" s="24">
        <f>'Balance Sheet'!F15+'Balance Sheet'!F16</f>
        <v/>
      </c>
      <c r="G17" s="24">
        <f>'Balance Sheet'!G15+'Balance Sheet'!G16</f>
        <v/>
      </c>
      <c r="H17" s="24">
        <f>'Balance Sheet'!H15+'Balance Sheet'!H16</f>
        <v/>
      </c>
      <c r="I17" s="24">
        <f>'Balance Sheet'!I15+'Balance Sheet'!I16</f>
        <v/>
      </c>
      <c r="J17" s="24">
        <f>'Balance Sheet'!J15+'Balance Sheet'!J16</f>
        <v/>
      </c>
      <c r="K17" s="24">
        <f>'Balance Sheet'!K15+'Balance Sheet'!K16</f>
        <v/>
      </c>
      <c r="L17" s="24">
        <f>'Balance Sheet'!L15+'Balance Sheet'!L16</f>
        <v/>
      </c>
      <c r="M17" s="24">
        <f>'Balance Sheet'!M15+'Balance Sheet'!M16</f>
        <v/>
      </c>
      <c r="N17" s="24">
        <f>'Balance Sheet'!N15+'Balance Sheet'!N16</f>
        <v/>
      </c>
      <c r="O17" s="24">
        <f>'Balance Sheet'!O15+'Balance Sheet'!O16</f>
        <v/>
      </c>
      <c r="P17" s="24">
        <f>'Balance Sheet'!P15+'Balance Sheet'!P16</f>
        <v/>
      </c>
      <c r="Q17" s="24">
        <f>'Balance Sheet'!Q15+'Balance Sheet'!Q16</f>
        <v/>
      </c>
      <c r="R17" s="24">
        <f>'Balance Sheet'!R15+'Balance Sheet'!R16</f>
        <v/>
      </c>
      <c r="S17" s="24">
        <f>'Balance Sheet'!S15+'Balance Sheet'!S16</f>
        <v/>
      </c>
      <c r="T17" s="24">
        <f>'Balance Sheet'!T15+'Balance Sheet'!T16</f>
        <v/>
      </c>
      <c r="U17" s="24">
        <f>'Balance Sheet'!U15+'Balance Sheet'!U16</f>
        <v/>
      </c>
      <c r="V17" s="24">
        <f>'Balance Sheet'!V15+'Balance Sheet'!V16</f>
        <v/>
      </c>
      <c r="W17" s="24">
        <f>'Balance Sheet'!W15+'Balance Sheet'!W16</f>
        <v/>
      </c>
      <c r="X17" s="24">
        <f>'Balance Sheet'!X15+'Balance Sheet'!X16</f>
        <v/>
      </c>
      <c r="Y17" s="24">
        <f>'Balance Sheet'!Y15+'Balance Sheet'!Y16</f>
        <v/>
      </c>
      <c r="Z17" s="24">
        <f>'Balance Sheet'!Z15+'Balance Sheet'!Z16</f>
        <v/>
      </c>
      <c r="AA17" s="24">
        <f>'Balance Sheet'!AA15+'Balance Sheet'!AA16</f>
        <v/>
      </c>
      <c r="AB17" s="24">
        <f>'Balance Sheet'!AB15+'Balance Sheet'!AB16</f>
        <v/>
      </c>
      <c r="AC17" s="24">
        <f>'Balance Sheet'!AC15+'Balance Sheet'!AC16</f>
        <v/>
      </c>
      <c r="AD17" s="24">
        <f>'Balance Sheet'!AD15+'Balance Sheet'!AD16</f>
        <v/>
      </c>
      <c r="AE17" s="24">
        <f>'Balance Sheet'!AE15+'Balance Sheet'!AE16</f>
        <v/>
      </c>
      <c r="AG17" s="24">
        <f>D17</f>
        <v/>
      </c>
      <c r="AH17" s="24">
        <f>P17</f>
        <v/>
      </c>
      <c r="AI17" s="24">
        <f>AB17</f>
        <v/>
      </c>
      <c r="AJ17" s="24">
        <f>AC17</f>
        <v/>
      </c>
      <c r="AK17" s="24">
        <f>AD17</f>
        <v/>
      </c>
      <c r="AL17" s="24">
        <f>AE17</f>
        <v/>
      </c>
    </row>
    <row r="18">
      <c r="A18" s="13" t="inlineStr">
        <is>
          <t>TOTAL LIABILITIES + EQUITY</t>
        </is>
      </c>
      <c r="B18" s="2" t="inlineStr"/>
      <c r="C18" s="24">
        <f>'Balance Sheet'!C14+'Balance Sheet'!C17</f>
        <v/>
      </c>
      <c r="D18" s="24">
        <f>'Balance Sheet'!D14+'Balance Sheet'!D17</f>
        <v/>
      </c>
      <c r="E18" s="24">
        <f>'Balance Sheet'!E14+'Balance Sheet'!E17</f>
        <v/>
      </c>
      <c r="F18" s="24">
        <f>'Balance Sheet'!F14+'Balance Sheet'!F17</f>
        <v/>
      </c>
      <c r="G18" s="24">
        <f>'Balance Sheet'!G14+'Balance Sheet'!G17</f>
        <v/>
      </c>
      <c r="H18" s="24">
        <f>'Balance Sheet'!H14+'Balance Sheet'!H17</f>
        <v/>
      </c>
      <c r="I18" s="24">
        <f>'Balance Sheet'!I14+'Balance Sheet'!I17</f>
        <v/>
      </c>
      <c r="J18" s="24">
        <f>'Balance Sheet'!J14+'Balance Sheet'!J17</f>
        <v/>
      </c>
      <c r="K18" s="24">
        <f>'Balance Sheet'!K14+'Balance Sheet'!K17</f>
        <v/>
      </c>
      <c r="L18" s="24">
        <f>'Balance Sheet'!L14+'Balance Sheet'!L17</f>
        <v/>
      </c>
      <c r="M18" s="24">
        <f>'Balance Sheet'!M14+'Balance Sheet'!M17</f>
        <v/>
      </c>
      <c r="N18" s="24">
        <f>'Balance Sheet'!N14+'Balance Sheet'!N17</f>
        <v/>
      </c>
      <c r="O18" s="24">
        <f>'Balance Sheet'!O14+'Balance Sheet'!O17</f>
        <v/>
      </c>
      <c r="P18" s="24">
        <f>'Balance Sheet'!P14+'Balance Sheet'!P17</f>
        <v/>
      </c>
      <c r="Q18" s="24">
        <f>'Balance Sheet'!Q14+'Balance Sheet'!Q17</f>
        <v/>
      </c>
      <c r="R18" s="24">
        <f>'Balance Sheet'!R14+'Balance Sheet'!R17</f>
        <v/>
      </c>
      <c r="S18" s="24">
        <f>'Balance Sheet'!S14+'Balance Sheet'!S17</f>
        <v/>
      </c>
      <c r="T18" s="24">
        <f>'Balance Sheet'!T14+'Balance Sheet'!T17</f>
        <v/>
      </c>
      <c r="U18" s="24">
        <f>'Balance Sheet'!U14+'Balance Sheet'!U17</f>
        <v/>
      </c>
      <c r="V18" s="24">
        <f>'Balance Sheet'!V14+'Balance Sheet'!V17</f>
        <v/>
      </c>
      <c r="W18" s="24">
        <f>'Balance Sheet'!W14+'Balance Sheet'!W17</f>
        <v/>
      </c>
      <c r="X18" s="24">
        <f>'Balance Sheet'!X14+'Balance Sheet'!X17</f>
        <v/>
      </c>
      <c r="Y18" s="24">
        <f>'Balance Sheet'!Y14+'Balance Sheet'!Y17</f>
        <v/>
      </c>
      <c r="Z18" s="24">
        <f>'Balance Sheet'!Z14+'Balance Sheet'!Z17</f>
        <v/>
      </c>
      <c r="AA18" s="24">
        <f>'Balance Sheet'!AA14+'Balance Sheet'!AA17</f>
        <v/>
      </c>
      <c r="AB18" s="24">
        <f>'Balance Sheet'!AB14+'Balance Sheet'!AB17</f>
        <v/>
      </c>
      <c r="AC18" s="24">
        <f>'Balance Sheet'!AC14+'Balance Sheet'!AC17</f>
        <v/>
      </c>
      <c r="AD18" s="24">
        <f>'Balance Sheet'!AD14+'Balance Sheet'!AD17</f>
        <v/>
      </c>
      <c r="AE18" s="24">
        <f>'Balance Sheet'!AE14+'Balance Sheet'!AE17</f>
        <v/>
      </c>
      <c r="AG18" s="24">
        <f>D18</f>
        <v/>
      </c>
      <c r="AH18" s="24">
        <f>P18</f>
        <v/>
      </c>
      <c r="AI18" s="24">
        <f>AB18</f>
        <v/>
      </c>
      <c r="AJ18" s="24">
        <f>AC18</f>
        <v/>
      </c>
      <c r="AK18" s="24">
        <f>AD18</f>
        <v/>
      </c>
      <c r="AL18" s="24">
        <f>AE18</f>
        <v/>
      </c>
    </row>
    <row r="19">
      <c r="A19" t="inlineStr">
        <is>
          <t>CHECK (assets - L&amp;E), must be 0</t>
        </is>
      </c>
      <c r="B19" s="2" t="inlineStr"/>
      <c r="C19" s="23">
        <f>ROUND('Balance Sheet'!C12-'Balance Sheet'!C18,2)</f>
        <v/>
      </c>
      <c r="D19" s="23">
        <f>ROUND('Balance Sheet'!D12-'Balance Sheet'!D18,2)</f>
        <v/>
      </c>
      <c r="E19" s="23">
        <f>ROUND('Balance Sheet'!E12-'Balance Sheet'!E18,2)</f>
        <v/>
      </c>
      <c r="F19" s="23">
        <f>ROUND('Balance Sheet'!F12-'Balance Sheet'!F18,2)</f>
        <v/>
      </c>
      <c r="G19" s="23">
        <f>ROUND('Balance Sheet'!G12-'Balance Sheet'!G18,2)</f>
        <v/>
      </c>
      <c r="H19" s="23">
        <f>ROUND('Balance Sheet'!H12-'Balance Sheet'!H18,2)</f>
        <v/>
      </c>
      <c r="I19" s="23">
        <f>ROUND('Balance Sheet'!I12-'Balance Sheet'!I18,2)</f>
        <v/>
      </c>
      <c r="J19" s="23">
        <f>ROUND('Balance Sheet'!J12-'Balance Sheet'!J18,2)</f>
        <v/>
      </c>
      <c r="K19" s="23">
        <f>ROUND('Balance Sheet'!K12-'Balance Sheet'!K18,2)</f>
        <v/>
      </c>
      <c r="L19" s="23">
        <f>ROUND('Balance Sheet'!L12-'Balance Sheet'!L18,2)</f>
        <v/>
      </c>
      <c r="M19" s="23">
        <f>ROUND('Balance Sheet'!M12-'Balance Sheet'!M18,2)</f>
        <v/>
      </c>
      <c r="N19" s="23">
        <f>ROUND('Balance Sheet'!N12-'Balance Sheet'!N18,2)</f>
        <v/>
      </c>
      <c r="O19" s="23">
        <f>ROUND('Balance Sheet'!O12-'Balance Sheet'!O18,2)</f>
        <v/>
      </c>
      <c r="P19" s="23">
        <f>ROUND('Balance Sheet'!P12-'Balance Sheet'!P18,2)</f>
        <v/>
      </c>
      <c r="Q19" s="23">
        <f>ROUND('Balance Sheet'!Q12-'Balance Sheet'!Q18,2)</f>
        <v/>
      </c>
      <c r="R19" s="23">
        <f>ROUND('Balance Sheet'!R12-'Balance Sheet'!R18,2)</f>
        <v/>
      </c>
      <c r="S19" s="23">
        <f>ROUND('Balance Sheet'!S12-'Balance Sheet'!S18,2)</f>
        <v/>
      </c>
      <c r="T19" s="23">
        <f>ROUND('Balance Sheet'!T12-'Balance Sheet'!T18,2)</f>
        <v/>
      </c>
      <c r="U19" s="23">
        <f>ROUND('Balance Sheet'!U12-'Balance Sheet'!U18,2)</f>
        <v/>
      </c>
      <c r="V19" s="23">
        <f>ROUND('Balance Sheet'!V12-'Balance Sheet'!V18,2)</f>
        <v/>
      </c>
      <c r="W19" s="23">
        <f>ROUND('Balance Sheet'!W12-'Balance Sheet'!W18,2)</f>
        <v/>
      </c>
      <c r="X19" s="23">
        <f>ROUND('Balance Sheet'!X12-'Balance Sheet'!X18,2)</f>
        <v/>
      </c>
      <c r="Y19" s="23">
        <f>ROUND('Balance Sheet'!Y12-'Balance Sheet'!Y18,2)</f>
        <v/>
      </c>
      <c r="Z19" s="23">
        <f>ROUND('Balance Sheet'!Z12-'Balance Sheet'!Z18,2)</f>
        <v/>
      </c>
      <c r="AA19" s="23">
        <f>ROUND('Balance Sheet'!AA12-'Balance Sheet'!AA18,2)</f>
        <v/>
      </c>
      <c r="AB19" s="23">
        <f>ROUND('Balance Sheet'!AB12-'Balance Sheet'!AB18,2)</f>
        <v/>
      </c>
      <c r="AC19" s="23">
        <f>ROUND('Balance Sheet'!AC12-'Balance Sheet'!AC18,2)</f>
        <v/>
      </c>
      <c r="AD19" s="23">
        <f>ROUND('Balance Sheet'!AD12-'Balance Sheet'!AD18,2)</f>
        <v/>
      </c>
      <c r="AE19" s="23">
        <f>ROUND('Balance Sheet'!AE12-'Balance Sheet'!AE18,2)</f>
        <v/>
      </c>
      <c r="AG19" s="23">
        <f>D19</f>
        <v/>
      </c>
      <c r="AH19" s="23">
        <f>P19</f>
        <v/>
      </c>
      <c r="AI19" s="23">
        <f>AB19</f>
        <v/>
      </c>
      <c r="AJ19" s="23">
        <f>AC19</f>
        <v/>
      </c>
      <c r="AK19" s="23">
        <f>AD19</f>
        <v/>
      </c>
      <c r="AL19" s="23">
        <f>AE19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2" customWidth="1" min="1" max="1"/>
    <col width="30" customWidth="1" min="2" max="2"/>
    <col width="12" customWidth="1" min="3" max="3"/>
    <col width="14" customWidth="1" min="4" max="4"/>
    <col width="15" customWidth="1" min="5" max="5"/>
    <col width="15" customWidth="1" min="6" max="6"/>
    <col width="90" customWidth="1" min="7" max="7"/>
  </cols>
  <sheetData>
    <row r="1">
      <c r="A1" s="6" t="inlineStr">
        <is>
          <t>Funding rounds &amp; runway (blue = input). Period key = YYYYMM for monthly, YYYY for FY2029+.</t>
        </is>
      </c>
    </row>
    <row r="3">
      <c r="A3" s="3" t="inlineStr">
        <is>
          <t>Round</t>
        </is>
      </c>
      <c r="B3" s="3" t="inlineStr">
        <is>
          <t>Instrument</t>
        </is>
      </c>
      <c r="C3" s="3" t="inlineStr">
        <is>
          <t>Period key</t>
        </is>
      </c>
      <c r="D3" s="3" t="inlineStr">
        <is>
          <t>Amount ($)</t>
        </is>
      </c>
      <c r="E3" s="3" t="inlineStr">
        <is>
          <t>Pre-money ($)</t>
        </is>
      </c>
      <c r="F3" s="3" t="inlineStr">
        <is>
          <t>Post-money ($)</t>
        </is>
      </c>
      <c r="G3" s="3" t="inlineStr">
        <is>
          <t>Notes</t>
        </is>
      </c>
    </row>
    <row r="4">
      <c r="A4" s="13" t="inlineStr">
        <is>
          <t>Pre-seed</t>
        </is>
      </c>
      <c r="B4" t="inlineStr">
        <is>
          <t>Post-money SAFE</t>
        </is>
      </c>
      <c r="C4" s="33" t="n">
        <v>202611</v>
      </c>
      <c r="D4" s="10" t="n">
        <v>1500000</v>
      </c>
      <c r="E4" s="36">
        <f>F4-D4</f>
        <v/>
      </c>
      <c r="F4" s="10" t="n">
        <v>12000000</v>
      </c>
      <c r="G4" s="2" t="inlineStr">
        <is>
          <t>COMPANY.md: $1.5M SAFE at $12M post-money cap.</t>
        </is>
      </c>
    </row>
    <row r="5">
      <c r="A5" s="13" t="inlineStr">
        <is>
          <t>Seed</t>
        </is>
      </c>
      <c r="B5" t="inlineStr">
        <is>
          <t>Priced (Series Seed Preferred)</t>
        </is>
      </c>
      <c r="C5" s="33" t="n">
        <v>202708</v>
      </c>
      <c r="D5" s="10" t="n">
        <v>6000000</v>
      </c>
      <c r="E5" s="10" t="n">
        <v>22000000</v>
      </c>
      <c r="F5" s="36">
        <f>E5+D5</f>
        <v/>
      </c>
      <c r="G5" s="2" t="inlineStr">
        <is>
          <t>After Kickstarter (COMPANY.md: $6M). Pre-money is a CFO estimate.</t>
        </is>
      </c>
    </row>
    <row r="6">
      <c r="A6" s="13" t="inlineStr">
        <is>
          <t>Series A</t>
        </is>
      </c>
      <c r="B6" t="inlineStr">
        <is>
          <t>Priced preferred</t>
        </is>
      </c>
      <c r="C6" s="33" t="n">
        <v>202811</v>
      </c>
      <c r="D6" s="10" t="n">
        <v>20000000</v>
      </c>
      <c r="E6" s="10" t="n">
        <v>80000000</v>
      </c>
      <c r="F6" s="36">
        <f>E6+D6</f>
        <v/>
      </c>
      <c r="G6" s="2" t="inlineStr">
        <is>
          <t>Post-holiday 2028 traction; $100M post-money is the target (see valuation.md).</t>
        </is>
      </c>
    </row>
    <row r="7">
      <c r="A7" s="13" t="inlineStr">
        <is>
          <t>Series B</t>
        </is>
      </c>
      <c r="B7" t="inlineStr">
        <is>
          <t>Priced preferred</t>
        </is>
      </c>
      <c r="C7" s="33" t="n">
        <v>2030</v>
      </c>
      <c r="D7" s="10" t="n">
        <v>40000000</v>
      </c>
      <c r="E7" s="10" t="n">
        <v>260000000</v>
      </c>
      <c r="F7" s="36">
        <f>E7+D7</f>
        <v/>
      </c>
      <c r="G7" s="2" t="inlineStr">
        <is>
          <t>Growth / inventory for retail scale; sized to keep min cash &gt; ~6 months of burn.</t>
        </is>
      </c>
    </row>
    <row r="10">
      <c r="A10" s="6" t="inlineStr">
        <is>
          <t>RUNWAY METRICS</t>
        </is>
      </c>
    </row>
    <row r="11">
      <c r="A11" t="inlineStr">
        <is>
          <t>Total equity raised through FY2031</t>
        </is>
      </c>
      <c r="D11" s="7">
        <f>SUM(D4:D7)</f>
        <v/>
      </c>
    </row>
    <row r="12">
      <c r="A12" t="inlineStr">
        <is>
          <t>Minimum month-end cash, Nov-26..Dec-28</t>
        </is>
      </c>
      <c r="D12" s="7">
        <f>MIN('Cash Flow'!$C$28:$AB$28)</f>
        <v/>
      </c>
    </row>
    <row r="13">
      <c r="A13" t="inlineStr">
        <is>
          <t>Month of minimum cash</t>
        </is>
      </c>
      <c r="D13" s="13">
        <f>INDEX(Timeline!$C$2:$AB$2,MATCH(MIN('Cash Flow'!$C$28:$AB$28),'Cash Flow'!$C$28:$AB$28,0))</f>
        <v/>
      </c>
    </row>
    <row r="14">
      <c r="A14" t="inlineStr">
        <is>
          <t>Minimum period-end cash incl. FY29-31</t>
        </is>
      </c>
      <c r="D14" s="7">
        <f>MIN('Cash Flow'!$C$28:$AE$28)</f>
        <v/>
      </c>
    </row>
    <row r="15">
      <c r="A15" t="inlineStr">
        <is>
          <t>Peak monthly net burn (monthly periods)</t>
        </is>
      </c>
      <c r="D15" s="7">
        <f>MAX('Cash Flow'!$C$29:$AB$29)</f>
        <v/>
      </c>
    </row>
    <row r="16">
      <c r="A16" t="inlineStr">
        <is>
          <t>Month of peak burn</t>
        </is>
      </c>
      <c r="D16" s="13">
        <f>INDEX(Timeline!$C$2:$AB$2,MATCH(MAX('Cash Flow'!$C$29:$AB$29),'Cash Flow'!$C$29:$AB$29,0))</f>
        <v/>
      </c>
    </row>
    <row r="17">
      <c r="A17" t="inlineStr">
        <is>
          <t>Peak average monthly burn (any period incl. FY29-31)</t>
        </is>
      </c>
      <c r="D17" s="7">
        <f>MAX('Cash Flow'!$C$32:$AE$32)</f>
        <v/>
      </c>
    </row>
    <row r="18">
      <c r="A18" t="inlineStr">
        <is>
          <t>Peak cumulative op+inv cash outflow (= minimum equity need before buffer)</t>
        </is>
      </c>
      <c r="D18" s="7">
        <f>-MIN(0,MIN('Cash Flow'!$C$30:$AE$30))</f>
        <v/>
      </c>
    </row>
    <row r="19">
      <c r="A19" t="inlineStr">
        <is>
          <t>First monthly period with positive EBITDA (monthly cols)</t>
        </is>
      </c>
      <c r="D19" s="13">
        <f>IFERROR(INDEX(Timeline!$C$2:$AB$2,MATCH(1,'P&amp;L'!$C$41:$AB$41,0)),"after Dec-28")</f>
        <v/>
      </c>
    </row>
    <row r="20">
      <c r="A20" t="inlineStr">
        <is>
          <t>First fiscal year with positive EBITDA</t>
        </is>
      </c>
      <c r="D20" s="13">
        <f>IFERROR(INDEX('P&amp;L'!$AG$3:$AL$3,MATCH(1,'P&amp;L'!$AG$41:$AL$41,0)),"after FY31")</f>
        <v/>
      </c>
    </row>
    <row r="21">
      <c r="A21" t="inlineStr">
        <is>
          <t>First fiscal year with positive operating+investing cash flow</t>
        </is>
      </c>
      <c r="D21" s="13">
        <f>IFERROR(INDEX('Cash Flow'!$AG$3:$AL$3,MATCH(1,'Cash Flow'!$AG$31:$AL$31,0)),"after FY31")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</cols>
  <sheetData>
    <row r="1">
      <c r="A1" s="6" t="inlineStr">
        <is>
          <t>Cash runway by period</t>
        </is>
      </c>
    </row>
    <row r="2">
      <c r="A2" s="13" t="inlineStr">
        <is>
          <t>Period</t>
        </is>
      </c>
      <c r="C2" s="20">
        <f>Timeline!C2</f>
        <v/>
      </c>
      <c r="D2" s="20">
        <f>Timeline!D2</f>
        <v/>
      </c>
      <c r="E2" s="20">
        <f>Timeline!E2</f>
        <v/>
      </c>
      <c r="F2" s="20">
        <f>Timeline!F2</f>
        <v/>
      </c>
      <c r="G2" s="20">
        <f>Timeline!G2</f>
        <v/>
      </c>
      <c r="H2" s="20">
        <f>Timeline!H2</f>
        <v/>
      </c>
      <c r="I2" s="20">
        <f>Timeline!I2</f>
        <v/>
      </c>
      <c r="J2" s="20">
        <f>Timeline!J2</f>
        <v/>
      </c>
      <c r="K2" s="20">
        <f>Timeline!K2</f>
        <v/>
      </c>
      <c r="L2" s="20">
        <f>Timeline!L2</f>
        <v/>
      </c>
      <c r="M2" s="20">
        <f>Timeline!M2</f>
        <v/>
      </c>
      <c r="N2" s="20">
        <f>Timeline!N2</f>
        <v/>
      </c>
      <c r="O2" s="20">
        <f>Timeline!O2</f>
        <v/>
      </c>
      <c r="P2" s="20">
        <f>Timeline!P2</f>
        <v/>
      </c>
      <c r="Q2" s="20">
        <f>Timeline!Q2</f>
        <v/>
      </c>
      <c r="R2" s="20">
        <f>Timeline!R2</f>
        <v/>
      </c>
      <c r="S2" s="20">
        <f>Timeline!S2</f>
        <v/>
      </c>
      <c r="T2" s="20">
        <f>Timeline!T2</f>
        <v/>
      </c>
      <c r="U2" s="20">
        <f>Timeline!U2</f>
        <v/>
      </c>
      <c r="V2" s="20">
        <f>Timeline!V2</f>
        <v/>
      </c>
      <c r="W2" s="20">
        <f>Timeline!W2</f>
        <v/>
      </c>
      <c r="X2" s="20">
        <f>Timeline!X2</f>
        <v/>
      </c>
      <c r="Y2" s="20">
        <f>Timeline!Y2</f>
        <v/>
      </c>
      <c r="Z2" s="20">
        <f>Timeline!Z2</f>
        <v/>
      </c>
      <c r="AA2" s="20">
        <f>Timeline!AA2</f>
        <v/>
      </c>
      <c r="AB2" s="20">
        <f>Timeline!AB2</f>
        <v/>
      </c>
      <c r="AC2" s="20">
        <f>Timeline!AC2</f>
        <v/>
      </c>
      <c r="AD2" s="20">
        <f>Timeline!AD2</f>
        <v/>
      </c>
      <c r="AE2" s="20">
        <f>Timeline!AE2</f>
        <v/>
      </c>
    </row>
    <row r="3">
      <c r="A3" s="13" t="inlineStr">
        <is>
          <t>Year</t>
        </is>
      </c>
      <c r="C3">
        <f>Timeline!C3</f>
        <v/>
      </c>
      <c r="D3">
        <f>Timeline!D3</f>
        <v/>
      </c>
      <c r="E3">
        <f>Timeline!E3</f>
        <v/>
      </c>
      <c r="F3">
        <f>Timeline!F3</f>
        <v/>
      </c>
      <c r="G3">
        <f>Timeline!G3</f>
        <v/>
      </c>
      <c r="H3">
        <f>Timeline!H3</f>
        <v/>
      </c>
      <c r="I3">
        <f>Timeline!I3</f>
        <v/>
      </c>
      <c r="J3">
        <f>Timeline!J3</f>
        <v/>
      </c>
      <c r="K3">
        <f>Timeline!K3</f>
        <v/>
      </c>
      <c r="L3">
        <f>Timeline!L3</f>
        <v/>
      </c>
      <c r="M3">
        <f>Timeline!M3</f>
        <v/>
      </c>
      <c r="N3">
        <f>Timeline!N3</f>
        <v/>
      </c>
      <c r="O3">
        <f>Timeline!O3</f>
        <v/>
      </c>
      <c r="P3">
        <f>Timeline!P3</f>
        <v/>
      </c>
      <c r="Q3">
        <f>Timeline!Q3</f>
        <v/>
      </c>
      <c r="R3">
        <f>Timeline!R3</f>
        <v/>
      </c>
      <c r="S3">
        <f>Timeline!S3</f>
        <v/>
      </c>
      <c r="T3">
        <f>Timeline!T3</f>
        <v/>
      </c>
      <c r="U3">
        <f>Timeline!U3</f>
        <v/>
      </c>
      <c r="V3">
        <f>Timeline!V3</f>
        <v/>
      </c>
      <c r="W3">
        <f>Timeline!W3</f>
        <v/>
      </c>
      <c r="X3">
        <f>Timeline!X3</f>
        <v/>
      </c>
      <c r="Y3">
        <f>Timeline!Y3</f>
        <v/>
      </c>
      <c r="Z3">
        <f>Timeline!Z3</f>
        <v/>
      </c>
      <c r="AA3">
        <f>Timeline!AA3</f>
        <v/>
      </c>
      <c r="AB3">
        <f>Timeline!AB3</f>
        <v/>
      </c>
      <c r="AC3">
        <f>Timeline!AC3</f>
        <v/>
      </c>
      <c r="AD3">
        <f>Timeline!AD3</f>
        <v/>
      </c>
      <c r="AE3">
        <f>Timeline!AE3</f>
        <v/>
      </c>
    </row>
    <row r="4">
      <c r="A4" s="13" t="inlineStr">
        <is>
          <t>Months in period</t>
        </is>
      </c>
      <c r="C4">
        <f>Timeline!C4</f>
        <v/>
      </c>
      <c r="D4">
        <f>Timeline!D4</f>
        <v/>
      </c>
      <c r="E4">
        <f>Timeline!E4</f>
        <v/>
      </c>
      <c r="F4">
        <f>Timeline!F4</f>
        <v/>
      </c>
      <c r="G4">
        <f>Timeline!G4</f>
        <v/>
      </c>
      <c r="H4">
        <f>Timeline!H4</f>
        <v/>
      </c>
      <c r="I4">
        <f>Timeline!I4</f>
        <v/>
      </c>
      <c r="J4">
        <f>Timeline!J4</f>
        <v/>
      </c>
      <c r="K4">
        <f>Timeline!K4</f>
        <v/>
      </c>
      <c r="L4">
        <f>Timeline!L4</f>
        <v/>
      </c>
      <c r="M4">
        <f>Timeline!M4</f>
        <v/>
      </c>
      <c r="N4">
        <f>Timeline!N4</f>
        <v/>
      </c>
      <c r="O4">
        <f>Timeline!O4</f>
        <v/>
      </c>
      <c r="P4">
        <f>Timeline!P4</f>
        <v/>
      </c>
      <c r="Q4">
        <f>Timeline!Q4</f>
        <v/>
      </c>
      <c r="R4">
        <f>Timeline!R4</f>
        <v/>
      </c>
      <c r="S4">
        <f>Timeline!S4</f>
        <v/>
      </c>
      <c r="T4">
        <f>Timeline!T4</f>
        <v/>
      </c>
      <c r="U4">
        <f>Timeline!U4</f>
        <v/>
      </c>
      <c r="V4">
        <f>Timeline!V4</f>
        <v/>
      </c>
      <c r="W4">
        <f>Timeline!W4</f>
        <v/>
      </c>
      <c r="X4">
        <f>Timeline!X4</f>
        <v/>
      </c>
      <c r="Y4">
        <f>Timeline!Y4</f>
        <v/>
      </c>
      <c r="Z4">
        <f>Timeline!Z4</f>
        <v/>
      </c>
      <c r="AA4">
        <f>Timeline!AA4</f>
        <v/>
      </c>
      <c r="AB4">
        <f>Timeline!AB4</f>
        <v/>
      </c>
      <c r="AC4">
        <f>Timeline!AC4</f>
        <v/>
      </c>
      <c r="AD4">
        <f>Timeline!AD4</f>
        <v/>
      </c>
      <c r="AE4">
        <f>Timeline!AE4</f>
        <v/>
      </c>
    </row>
    <row r="5">
      <c r="A5" s="13" t="inlineStr">
        <is>
          <t>Period start</t>
        </is>
      </c>
      <c r="C5" s="22">
        <f>Timeline!C5</f>
        <v/>
      </c>
      <c r="D5" s="22">
        <f>Timeline!D5</f>
        <v/>
      </c>
      <c r="E5" s="22">
        <f>Timeline!E5</f>
        <v/>
      </c>
      <c r="F5" s="22">
        <f>Timeline!F5</f>
        <v/>
      </c>
      <c r="G5" s="22">
        <f>Timeline!G5</f>
        <v/>
      </c>
      <c r="H5" s="22">
        <f>Timeline!H5</f>
        <v/>
      </c>
      <c r="I5" s="22">
        <f>Timeline!I5</f>
        <v/>
      </c>
      <c r="J5" s="22">
        <f>Timeline!J5</f>
        <v/>
      </c>
      <c r="K5" s="22">
        <f>Timeline!K5</f>
        <v/>
      </c>
      <c r="L5" s="22">
        <f>Timeline!L5</f>
        <v/>
      </c>
      <c r="M5" s="22">
        <f>Timeline!M5</f>
        <v/>
      </c>
      <c r="N5" s="22">
        <f>Timeline!N5</f>
        <v/>
      </c>
      <c r="O5" s="22">
        <f>Timeline!O5</f>
        <v/>
      </c>
      <c r="P5" s="22">
        <f>Timeline!P5</f>
        <v/>
      </c>
      <c r="Q5" s="22">
        <f>Timeline!Q5</f>
        <v/>
      </c>
      <c r="R5" s="22">
        <f>Timeline!R5</f>
        <v/>
      </c>
      <c r="S5" s="22">
        <f>Timeline!S5</f>
        <v/>
      </c>
      <c r="T5" s="22">
        <f>Timeline!T5</f>
        <v/>
      </c>
      <c r="U5" s="22">
        <f>Timeline!U5</f>
        <v/>
      </c>
      <c r="V5" s="22">
        <f>Timeline!V5</f>
        <v/>
      </c>
      <c r="W5" s="22">
        <f>Timeline!W5</f>
        <v/>
      </c>
      <c r="X5" s="22">
        <f>Timeline!X5</f>
        <v/>
      </c>
      <c r="Y5" s="22">
        <f>Timeline!Y5</f>
        <v/>
      </c>
      <c r="Z5" s="22">
        <f>Timeline!Z5</f>
        <v/>
      </c>
      <c r="AA5" s="22">
        <f>Timeline!AA5</f>
        <v/>
      </c>
      <c r="AB5" s="22">
        <f>Timeline!AB5</f>
        <v/>
      </c>
      <c r="AC5" s="22">
        <f>Timeline!AC5</f>
        <v/>
      </c>
      <c r="AD5" s="22">
        <f>Timeline!AD5</f>
        <v/>
      </c>
      <c r="AE5" s="22">
        <f>Timeline!AE5</f>
        <v/>
      </c>
    </row>
    <row r="6">
      <c r="A6" s="13" t="inlineStr">
        <is>
          <t>Period key</t>
        </is>
      </c>
      <c r="C6">
        <f>Timeline!C6</f>
        <v/>
      </c>
      <c r="D6">
        <f>Timeline!D6</f>
        <v/>
      </c>
      <c r="E6">
        <f>Timeline!E6</f>
        <v/>
      </c>
      <c r="F6">
        <f>Timeline!F6</f>
        <v/>
      </c>
      <c r="G6">
        <f>Timeline!G6</f>
        <v/>
      </c>
      <c r="H6">
        <f>Timeline!H6</f>
        <v/>
      </c>
      <c r="I6">
        <f>Timeline!I6</f>
        <v/>
      </c>
      <c r="J6">
        <f>Timeline!J6</f>
        <v/>
      </c>
      <c r="K6">
        <f>Timeline!K6</f>
        <v/>
      </c>
      <c r="L6">
        <f>Timeline!L6</f>
        <v/>
      </c>
      <c r="M6">
        <f>Timeline!M6</f>
        <v/>
      </c>
      <c r="N6">
        <f>Timeline!N6</f>
        <v/>
      </c>
      <c r="O6">
        <f>Timeline!O6</f>
        <v/>
      </c>
      <c r="P6">
        <f>Timeline!P6</f>
        <v/>
      </c>
      <c r="Q6">
        <f>Timeline!Q6</f>
        <v/>
      </c>
      <c r="R6">
        <f>Timeline!R6</f>
        <v/>
      </c>
      <c r="S6">
        <f>Timeline!S6</f>
        <v/>
      </c>
      <c r="T6">
        <f>Timeline!T6</f>
        <v/>
      </c>
      <c r="U6">
        <f>Timeline!U6</f>
        <v/>
      </c>
      <c r="V6">
        <f>Timeline!V6</f>
        <v/>
      </c>
      <c r="W6">
        <f>Timeline!W6</f>
        <v/>
      </c>
      <c r="X6">
        <f>Timeline!X6</f>
        <v/>
      </c>
      <c r="Y6">
        <f>Timeline!Y6</f>
        <v/>
      </c>
      <c r="Z6">
        <f>Timeline!Z6</f>
        <v/>
      </c>
      <c r="AA6">
        <f>Timeline!AA6</f>
        <v/>
      </c>
      <c r="AB6">
        <f>Timeline!AB6</f>
        <v/>
      </c>
      <c r="AC6">
        <f>Timeline!AC6</f>
        <v/>
      </c>
      <c r="AD6">
        <f>Timeline!AD6</f>
        <v/>
      </c>
      <c r="AE6">
        <f>Timeline!AE6</f>
        <v/>
      </c>
    </row>
    <row r="8">
      <c r="A8" t="inlineStr">
        <is>
          <t>Ending cash</t>
        </is>
      </c>
      <c r="B8" s="2" t="inlineStr"/>
      <c r="C8" s="4">
        <f>'Cash Flow'!C28</f>
        <v/>
      </c>
      <c r="D8" s="4">
        <f>'Cash Flow'!D28</f>
        <v/>
      </c>
      <c r="E8" s="4">
        <f>'Cash Flow'!E28</f>
        <v/>
      </c>
      <c r="F8" s="4">
        <f>'Cash Flow'!F28</f>
        <v/>
      </c>
      <c r="G8" s="4">
        <f>'Cash Flow'!G28</f>
        <v/>
      </c>
      <c r="H8" s="4">
        <f>'Cash Flow'!H28</f>
        <v/>
      </c>
      <c r="I8" s="4">
        <f>'Cash Flow'!I28</f>
        <v/>
      </c>
      <c r="J8" s="4">
        <f>'Cash Flow'!J28</f>
        <v/>
      </c>
      <c r="K8" s="4">
        <f>'Cash Flow'!K28</f>
        <v/>
      </c>
      <c r="L8" s="4">
        <f>'Cash Flow'!L28</f>
        <v/>
      </c>
      <c r="M8" s="4">
        <f>'Cash Flow'!M28</f>
        <v/>
      </c>
      <c r="N8" s="4">
        <f>'Cash Flow'!N28</f>
        <v/>
      </c>
      <c r="O8" s="4">
        <f>'Cash Flow'!O28</f>
        <v/>
      </c>
      <c r="P8" s="4">
        <f>'Cash Flow'!P28</f>
        <v/>
      </c>
      <c r="Q8" s="4">
        <f>'Cash Flow'!Q28</f>
        <v/>
      </c>
      <c r="R8" s="4">
        <f>'Cash Flow'!R28</f>
        <v/>
      </c>
      <c r="S8" s="4">
        <f>'Cash Flow'!S28</f>
        <v/>
      </c>
      <c r="T8" s="4">
        <f>'Cash Flow'!T28</f>
        <v/>
      </c>
      <c r="U8" s="4">
        <f>'Cash Flow'!U28</f>
        <v/>
      </c>
      <c r="V8" s="4">
        <f>'Cash Flow'!V28</f>
        <v/>
      </c>
      <c r="W8" s="4">
        <f>'Cash Flow'!W28</f>
        <v/>
      </c>
      <c r="X8" s="4">
        <f>'Cash Flow'!X28</f>
        <v/>
      </c>
      <c r="Y8" s="4">
        <f>'Cash Flow'!Y28</f>
        <v/>
      </c>
      <c r="Z8" s="4">
        <f>'Cash Flow'!Z28</f>
        <v/>
      </c>
      <c r="AA8" s="4">
        <f>'Cash Flow'!AA28</f>
        <v/>
      </c>
      <c r="AB8" s="4">
        <f>'Cash Flow'!AB28</f>
        <v/>
      </c>
      <c r="AC8" s="4">
        <f>'Cash Flow'!AC28</f>
        <v/>
      </c>
      <c r="AD8" s="4">
        <f>'Cash Flow'!AD28</f>
        <v/>
      </c>
      <c r="AE8" s="4">
        <f>'Cash Flow'!AE28</f>
        <v/>
      </c>
    </row>
    <row r="9">
      <c r="A9" t="inlineStr">
        <is>
          <t>Net burn in period</t>
        </is>
      </c>
      <c r="B9" s="2" t="inlineStr"/>
      <c r="C9" s="4">
        <f>'Cash Flow'!C29</f>
        <v/>
      </c>
      <c r="D9" s="4">
        <f>'Cash Flow'!D29</f>
        <v/>
      </c>
      <c r="E9" s="4">
        <f>'Cash Flow'!E29</f>
        <v/>
      </c>
      <c r="F9" s="4">
        <f>'Cash Flow'!F29</f>
        <v/>
      </c>
      <c r="G9" s="4">
        <f>'Cash Flow'!G29</f>
        <v/>
      </c>
      <c r="H9" s="4">
        <f>'Cash Flow'!H29</f>
        <v/>
      </c>
      <c r="I9" s="4">
        <f>'Cash Flow'!I29</f>
        <v/>
      </c>
      <c r="J9" s="4">
        <f>'Cash Flow'!J29</f>
        <v/>
      </c>
      <c r="K9" s="4">
        <f>'Cash Flow'!K29</f>
        <v/>
      </c>
      <c r="L9" s="4">
        <f>'Cash Flow'!L29</f>
        <v/>
      </c>
      <c r="M9" s="4">
        <f>'Cash Flow'!M29</f>
        <v/>
      </c>
      <c r="N9" s="4">
        <f>'Cash Flow'!N29</f>
        <v/>
      </c>
      <c r="O9" s="4">
        <f>'Cash Flow'!O29</f>
        <v/>
      </c>
      <c r="P9" s="4">
        <f>'Cash Flow'!P29</f>
        <v/>
      </c>
      <c r="Q9" s="4">
        <f>'Cash Flow'!Q29</f>
        <v/>
      </c>
      <c r="R9" s="4">
        <f>'Cash Flow'!R29</f>
        <v/>
      </c>
      <c r="S9" s="4">
        <f>'Cash Flow'!S29</f>
        <v/>
      </c>
      <c r="T9" s="4">
        <f>'Cash Flow'!T29</f>
        <v/>
      </c>
      <c r="U9" s="4">
        <f>'Cash Flow'!U29</f>
        <v/>
      </c>
      <c r="V9" s="4">
        <f>'Cash Flow'!V29</f>
        <v/>
      </c>
      <c r="W9" s="4">
        <f>'Cash Flow'!W29</f>
        <v/>
      </c>
      <c r="X9" s="4">
        <f>'Cash Flow'!X29</f>
        <v/>
      </c>
      <c r="Y9" s="4">
        <f>'Cash Flow'!Y29</f>
        <v/>
      </c>
      <c r="Z9" s="4">
        <f>'Cash Flow'!Z29</f>
        <v/>
      </c>
      <c r="AA9" s="4">
        <f>'Cash Flow'!AA29</f>
        <v/>
      </c>
      <c r="AB9" s="4">
        <f>'Cash Flow'!AB29</f>
        <v/>
      </c>
      <c r="AC9" s="4">
        <f>'Cash Flow'!AC29</f>
        <v/>
      </c>
      <c r="AD9" s="4">
        <f>'Cash Flow'!AD29</f>
        <v/>
      </c>
      <c r="AE9" s="4">
        <f>'Cash Flow'!AE29</f>
        <v/>
      </c>
    </row>
    <row r="10">
      <c r="A10" t="inlineStr">
        <is>
          <t>Trailing avg monthly burn (3 periods; annual = /12)</t>
        </is>
      </c>
      <c r="B10" s="2" t="inlineStr"/>
      <c r="C10" s="4">
        <f>AVERAGE('Runway'!C9:C9)</f>
        <v/>
      </c>
      <c r="D10" s="4">
        <f>AVERAGE('Runway'!C9:D9)</f>
        <v/>
      </c>
      <c r="E10" s="4">
        <f>AVERAGE('Runway'!C9:E9)</f>
        <v/>
      </c>
      <c r="F10" s="4">
        <f>AVERAGE('Runway'!D9:F9)</f>
        <v/>
      </c>
      <c r="G10" s="4">
        <f>AVERAGE('Runway'!E9:G9)</f>
        <v/>
      </c>
      <c r="H10" s="4">
        <f>AVERAGE('Runway'!F9:H9)</f>
        <v/>
      </c>
      <c r="I10" s="4">
        <f>AVERAGE('Runway'!G9:I9)</f>
        <v/>
      </c>
      <c r="J10" s="4">
        <f>AVERAGE('Runway'!H9:J9)</f>
        <v/>
      </c>
      <c r="K10" s="4">
        <f>AVERAGE('Runway'!I9:K9)</f>
        <v/>
      </c>
      <c r="L10" s="4">
        <f>AVERAGE('Runway'!J9:L9)</f>
        <v/>
      </c>
      <c r="M10" s="4">
        <f>AVERAGE('Runway'!K9:M9)</f>
        <v/>
      </c>
      <c r="N10" s="4">
        <f>AVERAGE('Runway'!L9:N9)</f>
        <v/>
      </c>
      <c r="O10" s="4">
        <f>AVERAGE('Runway'!M9:O9)</f>
        <v/>
      </c>
      <c r="P10" s="4">
        <f>AVERAGE('Runway'!N9:P9)</f>
        <v/>
      </c>
      <c r="Q10" s="4">
        <f>AVERAGE('Runway'!O9:Q9)</f>
        <v/>
      </c>
      <c r="R10" s="4">
        <f>AVERAGE('Runway'!P9:R9)</f>
        <v/>
      </c>
      <c r="S10" s="4">
        <f>AVERAGE('Runway'!Q9:S9)</f>
        <v/>
      </c>
      <c r="T10" s="4">
        <f>AVERAGE('Runway'!R9:T9)</f>
        <v/>
      </c>
      <c r="U10" s="4">
        <f>AVERAGE('Runway'!S9:U9)</f>
        <v/>
      </c>
      <c r="V10" s="4">
        <f>AVERAGE('Runway'!T9:V9)</f>
        <v/>
      </c>
      <c r="W10" s="4">
        <f>AVERAGE('Runway'!U9:W9)</f>
        <v/>
      </c>
      <c r="X10" s="4">
        <f>AVERAGE('Runway'!V9:X9)</f>
        <v/>
      </c>
      <c r="Y10" s="4">
        <f>AVERAGE('Runway'!W9:Y9)</f>
        <v/>
      </c>
      <c r="Z10" s="4">
        <f>AVERAGE('Runway'!X9:Z9)</f>
        <v/>
      </c>
      <c r="AA10" s="4">
        <f>AVERAGE('Runway'!Y9:AA9)</f>
        <v/>
      </c>
      <c r="AB10" s="4">
        <f>AVERAGE('Runway'!Z9:AB9)</f>
        <v/>
      </c>
      <c r="AC10" s="4">
        <f>'Runway'!AC9/12</f>
        <v/>
      </c>
      <c r="AD10" s="4">
        <f>'Runway'!AD9/12</f>
        <v/>
      </c>
      <c r="AE10" s="4">
        <f>'Runway'!AE9/12</f>
        <v/>
      </c>
    </row>
    <row r="11">
      <c r="A11" t="inlineStr">
        <is>
          <t>Runway (months of cash at trailing burn)</t>
        </is>
      </c>
      <c r="B11" s="2" t="inlineStr">
        <is>
          <t>months</t>
        </is>
      </c>
      <c r="C11" s="27">
        <f>IF('Runway'!C10&gt;0,'Runway'!C8/'Runway'!C10,999)</f>
        <v/>
      </c>
      <c r="D11" s="27">
        <f>IF('Runway'!D10&gt;0,'Runway'!D8/'Runway'!D10,999)</f>
        <v/>
      </c>
      <c r="E11" s="27">
        <f>IF('Runway'!E10&gt;0,'Runway'!E8/'Runway'!E10,999)</f>
        <v/>
      </c>
      <c r="F11" s="27">
        <f>IF('Runway'!F10&gt;0,'Runway'!F8/'Runway'!F10,999)</f>
        <v/>
      </c>
      <c r="G11" s="27">
        <f>IF('Runway'!G10&gt;0,'Runway'!G8/'Runway'!G10,999)</f>
        <v/>
      </c>
      <c r="H11" s="27">
        <f>IF('Runway'!H10&gt;0,'Runway'!H8/'Runway'!H10,999)</f>
        <v/>
      </c>
      <c r="I11" s="27">
        <f>IF('Runway'!I10&gt;0,'Runway'!I8/'Runway'!I10,999)</f>
        <v/>
      </c>
      <c r="J11" s="27">
        <f>IF('Runway'!J10&gt;0,'Runway'!J8/'Runway'!J10,999)</f>
        <v/>
      </c>
      <c r="K11" s="27">
        <f>IF('Runway'!K10&gt;0,'Runway'!K8/'Runway'!K10,999)</f>
        <v/>
      </c>
      <c r="L11" s="27">
        <f>IF('Runway'!L10&gt;0,'Runway'!L8/'Runway'!L10,999)</f>
        <v/>
      </c>
      <c r="M11" s="27">
        <f>IF('Runway'!M10&gt;0,'Runway'!M8/'Runway'!M10,999)</f>
        <v/>
      </c>
      <c r="N11" s="27">
        <f>IF('Runway'!N10&gt;0,'Runway'!N8/'Runway'!N10,999)</f>
        <v/>
      </c>
      <c r="O11" s="27">
        <f>IF('Runway'!O10&gt;0,'Runway'!O8/'Runway'!O10,999)</f>
        <v/>
      </c>
      <c r="P11" s="27">
        <f>IF('Runway'!P10&gt;0,'Runway'!P8/'Runway'!P10,999)</f>
        <v/>
      </c>
      <c r="Q11" s="27">
        <f>IF('Runway'!Q10&gt;0,'Runway'!Q8/'Runway'!Q10,999)</f>
        <v/>
      </c>
      <c r="R11" s="27">
        <f>IF('Runway'!R10&gt;0,'Runway'!R8/'Runway'!R10,999)</f>
        <v/>
      </c>
      <c r="S11" s="27">
        <f>IF('Runway'!S10&gt;0,'Runway'!S8/'Runway'!S10,999)</f>
        <v/>
      </c>
      <c r="T11" s="27">
        <f>IF('Runway'!T10&gt;0,'Runway'!T8/'Runway'!T10,999)</f>
        <v/>
      </c>
      <c r="U11" s="27">
        <f>IF('Runway'!U10&gt;0,'Runway'!U8/'Runway'!U10,999)</f>
        <v/>
      </c>
      <c r="V11" s="27">
        <f>IF('Runway'!V10&gt;0,'Runway'!V8/'Runway'!V10,999)</f>
        <v/>
      </c>
      <c r="W11" s="27">
        <f>IF('Runway'!W10&gt;0,'Runway'!W8/'Runway'!W10,999)</f>
        <v/>
      </c>
      <c r="X11" s="27">
        <f>IF('Runway'!X10&gt;0,'Runway'!X8/'Runway'!X10,999)</f>
        <v/>
      </c>
      <c r="Y11" s="27">
        <f>IF('Runway'!Y10&gt;0,'Runway'!Y8/'Runway'!Y10,999)</f>
        <v/>
      </c>
      <c r="Z11" s="27">
        <f>IF('Runway'!Z10&gt;0,'Runway'!Z8/'Runway'!Z10,999)</f>
        <v/>
      </c>
      <c r="AA11" s="27">
        <f>IF('Runway'!AA10&gt;0,'Runway'!AA8/'Runway'!AA10,999)</f>
        <v/>
      </c>
      <c r="AB11" s="27">
        <f>IF('Runway'!AB10&gt;0,'Runway'!AB8/'Runway'!AB10,999)</f>
        <v/>
      </c>
      <c r="AC11" s="27">
        <f>IF('Runway'!AC10&gt;0,'Runway'!AC8/'Runway'!AC10,999)</f>
        <v/>
      </c>
      <c r="AD11" s="27">
        <f>IF('Runway'!AD10&gt;0,'Runway'!AD8/'Runway'!AD10,999)</f>
        <v/>
      </c>
      <c r="AE11" s="27">
        <f>IF('Runway'!AE10&gt;0,'Runway'!AE8/'Runway'!AE10,999)</f>
        <v/>
      </c>
    </row>
    <row r="12">
      <c r="A12" t="inlineStr">
        <is>
          <t>Equity raised</t>
        </is>
      </c>
      <c r="B12" s="2" t="inlineStr"/>
      <c r="C12" s="4">
        <f>'Cash Flow'!C22</f>
        <v/>
      </c>
      <c r="D12" s="4">
        <f>'Cash Flow'!D22</f>
        <v/>
      </c>
      <c r="E12" s="4">
        <f>'Cash Flow'!E22</f>
        <v/>
      </c>
      <c r="F12" s="4">
        <f>'Cash Flow'!F22</f>
        <v/>
      </c>
      <c r="G12" s="4">
        <f>'Cash Flow'!G22</f>
        <v/>
      </c>
      <c r="H12" s="4">
        <f>'Cash Flow'!H22</f>
        <v/>
      </c>
      <c r="I12" s="4">
        <f>'Cash Flow'!I22</f>
        <v/>
      </c>
      <c r="J12" s="4">
        <f>'Cash Flow'!J22</f>
        <v/>
      </c>
      <c r="K12" s="4">
        <f>'Cash Flow'!K22</f>
        <v/>
      </c>
      <c r="L12" s="4">
        <f>'Cash Flow'!L22</f>
        <v/>
      </c>
      <c r="M12" s="4">
        <f>'Cash Flow'!M22</f>
        <v/>
      </c>
      <c r="N12" s="4">
        <f>'Cash Flow'!N22</f>
        <v/>
      </c>
      <c r="O12" s="4">
        <f>'Cash Flow'!O22</f>
        <v/>
      </c>
      <c r="P12" s="4">
        <f>'Cash Flow'!P22</f>
        <v/>
      </c>
      <c r="Q12" s="4">
        <f>'Cash Flow'!Q22</f>
        <v/>
      </c>
      <c r="R12" s="4">
        <f>'Cash Flow'!R22</f>
        <v/>
      </c>
      <c r="S12" s="4">
        <f>'Cash Flow'!S22</f>
        <v/>
      </c>
      <c r="T12" s="4">
        <f>'Cash Flow'!T22</f>
        <v/>
      </c>
      <c r="U12" s="4">
        <f>'Cash Flow'!U22</f>
        <v/>
      </c>
      <c r="V12" s="4">
        <f>'Cash Flow'!V22</f>
        <v/>
      </c>
      <c r="W12" s="4">
        <f>'Cash Flow'!W22</f>
        <v/>
      </c>
      <c r="X12" s="4">
        <f>'Cash Flow'!X22</f>
        <v/>
      </c>
      <c r="Y12" s="4">
        <f>'Cash Flow'!Y22</f>
        <v/>
      </c>
      <c r="Z12" s="4">
        <f>'Cash Flow'!Z22</f>
        <v/>
      </c>
      <c r="AA12" s="4">
        <f>'Cash Flow'!AA22</f>
        <v/>
      </c>
      <c r="AB12" s="4">
        <f>'Cash Flow'!AB22</f>
        <v/>
      </c>
      <c r="AC12" s="4">
        <f>'Cash Flow'!AC22</f>
        <v/>
      </c>
      <c r="AD12" s="4">
        <f>'Cash Flow'!AD22</f>
        <v/>
      </c>
      <c r="AE12" s="4">
        <f>'Cash Flow'!AE22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6" t="inlineStr">
        <is>
          <t>Cap table -- fully diluted (formulas). Post-money SAFE converts at Seed; pool top-ups are in the pre-money ('option pool shuffle').</t>
        </is>
      </c>
    </row>
    <row r="3">
      <c r="A3" t="inlineStr">
        <is>
          <t>Founder common shares</t>
        </is>
      </c>
      <c r="B3" s="10" t="n">
        <v>9000000</v>
      </c>
    </row>
    <row r="4">
      <c r="A4" t="inlineStr">
        <is>
          <t>Initial option pool (reserved at formation)</t>
        </is>
      </c>
      <c r="B4" s="10" t="n">
        <v>1000000</v>
      </c>
    </row>
    <row r="5">
      <c r="A5" t="inlineStr">
        <is>
          <t>Target unallocated+allocated pool after Seed (% FD post)</t>
        </is>
      </c>
      <c r="B5" s="11" t="n">
        <v>0.12</v>
      </c>
    </row>
    <row r="6">
      <c r="A6" t="inlineStr">
        <is>
          <t>Target pool after Series A (% FD post)</t>
        </is>
      </c>
      <c r="B6" s="11" t="n">
        <v>0.13</v>
      </c>
    </row>
    <row r="7">
      <c r="A7" t="inlineStr">
        <is>
          <t>Target pool after Series B (% FD post)</t>
        </is>
      </c>
      <c r="B7" s="11" t="n">
        <v>0.12</v>
      </c>
    </row>
    <row r="10">
      <c r="A10" s="13" t="inlineStr">
        <is>
          <t>Derived share counts</t>
        </is>
      </c>
    </row>
    <row r="11">
      <c r="A11" t="inlineStr">
        <is>
          <t>SAFE ownership at conversion (amount / post-money cap)</t>
        </is>
      </c>
      <c r="B11" s="37">
        <f>'Funding &amp; Runway'!$D$4/'Funding &amp; Runway'!$F$4</f>
        <v/>
      </c>
    </row>
    <row r="12">
      <c r="A12" t="inlineStr">
        <is>
          <t>Company capitalisation incl. SAFE (pre-Seed new money)</t>
        </is>
      </c>
      <c r="B12" s="36">
        <f>(ct_founder+ct_pool0)/(1-ct_safe_pct)</f>
        <v/>
      </c>
    </row>
    <row r="13">
      <c r="A13" t="inlineStr">
        <is>
          <t>SAFE conversion shares</t>
        </is>
      </c>
      <c r="B13" s="36">
        <f>ct_cap_safe*ct_safe_pct</f>
        <v/>
      </c>
    </row>
    <row r="14">
      <c r="A14" t="inlineStr">
        <is>
          <t>Seed: new money % of post</t>
        </is>
      </c>
      <c r="B14" s="37">
        <f>'Funding &amp; Runway'!$D$5/('Funding &amp; Runway'!$E$5+'Funding &amp; Runway'!$D$5)</f>
        <v/>
      </c>
    </row>
    <row r="15">
      <c r="A15" t="inlineStr">
        <is>
          <t>Seed: post-money FD shares</t>
        </is>
      </c>
      <c r="B15" s="36">
        <f>(ct_founder+ct_safe_sh)/(1-ct_seed_pct-ct_pool_seed)</f>
        <v/>
      </c>
    </row>
    <row r="16">
      <c r="A16" t="inlineStr">
        <is>
          <t>Seed: new preferred shares</t>
        </is>
      </c>
      <c r="B16" s="36">
        <f>ct_post_seed*ct_seed_pct</f>
        <v/>
      </c>
    </row>
    <row r="17">
      <c r="A17" t="inlineStr">
        <is>
          <t>Seed: pool top-up shares</t>
        </is>
      </c>
      <c r="B17" s="36">
        <f>ct_post_seed*ct_pool_seed-ct_pool0</f>
        <v/>
      </c>
    </row>
    <row r="18">
      <c r="A18" t="inlineStr">
        <is>
          <t>Seed price per share</t>
        </is>
      </c>
      <c r="B18" s="38">
        <f>'Funding &amp; Runway'!$D$5/ct_seed_sh</f>
        <v/>
      </c>
    </row>
    <row r="19">
      <c r="A19" t="inlineStr">
        <is>
          <t>SAFE effective price per share</t>
        </is>
      </c>
      <c r="B19" s="38">
        <f>'Funding &amp; Runway'!$D$4/ct_safe_sh</f>
        <v/>
      </c>
    </row>
    <row r="20">
      <c r="A20" t="inlineStr">
        <is>
          <t>Series A: new money % of post</t>
        </is>
      </c>
      <c r="B20" s="37">
        <f>'Funding &amp; Runway'!$D$6/('Funding &amp; Runway'!$E$6+'Funding &amp; Runway'!$D$6)</f>
        <v/>
      </c>
    </row>
    <row r="21">
      <c r="A21" t="inlineStr">
        <is>
          <t>Series A: post-money FD shares</t>
        </is>
      </c>
      <c r="B21" s="36">
        <f>(ct_founder+ct_safe_sh+ct_seed_sh)/(1-ct_A_pct-ct_pool_A)</f>
        <v/>
      </c>
    </row>
    <row r="22">
      <c r="A22" t="inlineStr">
        <is>
          <t>Series A: new preferred shares</t>
        </is>
      </c>
      <c r="B22" s="36">
        <f>ct_post_A*ct_A_pct</f>
        <v/>
      </c>
    </row>
    <row r="23">
      <c r="A23" t="inlineStr">
        <is>
          <t>Series A: pool top-up shares</t>
        </is>
      </c>
      <c r="B23" s="36">
        <f>ct_post_A*ct_pool_A-ct_post_seed*ct_pool_seed</f>
        <v/>
      </c>
    </row>
    <row r="24">
      <c r="A24" t="inlineStr">
        <is>
          <t>Series A price per share</t>
        </is>
      </c>
      <c r="B24" s="38">
        <f>'Funding &amp; Runway'!$D$6/ct_A_sh</f>
        <v/>
      </c>
    </row>
    <row r="25">
      <c r="A25" t="inlineStr">
        <is>
          <t>Series B: new money % of post</t>
        </is>
      </c>
      <c r="B25" s="37">
        <f>IF('Funding &amp; Runway'!$D$7&gt;0,'Funding &amp; Runway'!$D$7/('Funding &amp; Runway'!$E$7+'Funding &amp; Runway'!$D$7),0)</f>
        <v/>
      </c>
    </row>
    <row r="26">
      <c r="A26" t="inlineStr">
        <is>
          <t>Series B: post-money FD shares</t>
        </is>
      </c>
      <c r="B26" s="36">
        <f>(ct_founder+ct_safe_sh+ct_seed_sh+ct_A_sh)/(1-ct_B_pct-ct_pool_B)</f>
        <v/>
      </c>
    </row>
    <row r="27">
      <c r="A27" t="inlineStr">
        <is>
          <t>Series B: new preferred shares</t>
        </is>
      </c>
      <c r="B27" s="36">
        <f>ct_post_B*ct_B_pct</f>
        <v/>
      </c>
    </row>
    <row r="28">
      <c r="A28" t="inlineStr">
        <is>
          <t>Series B: pool top-up shares</t>
        </is>
      </c>
      <c r="B28" s="36">
        <f>ct_post_B*ct_pool_B-ct_post_A*ct_pool_A</f>
        <v/>
      </c>
    </row>
    <row r="29">
      <c r="A29" t="inlineStr">
        <is>
          <t>Series B price per share</t>
        </is>
      </c>
      <c r="B29" s="38">
        <f>IF(ct_B_sh&gt;0,'Funding &amp; Runway'!$D$7/ct_B_sh,0)</f>
        <v/>
      </c>
    </row>
    <row r="32">
      <c r="A32" s="13" t="inlineStr">
        <is>
          <t>Ownership by stage (fully diluted)</t>
        </is>
      </c>
    </row>
    <row r="33">
      <c r="B33" s="3" t="inlineStr">
        <is>
          <t>Formation</t>
        </is>
      </c>
      <c r="D33" s="3" t="inlineStr">
        <is>
          <t>Post pre-seed SAFE (as-converted)</t>
        </is>
      </c>
      <c r="F33" s="3" t="inlineStr">
        <is>
          <t>Post Seed</t>
        </is>
      </c>
      <c r="H33" s="3" t="inlineStr">
        <is>
          <t>Post Series A</t>
        </is>
      </c>
      <c r="J33" s="3" t="inlineStr">
        <is>
          <t>Post Series B</t>
        </is>
      </c>
    </row>
    <row r="34">
      <c r="B34" s="13" t="inlineStr">
        <is>
          <t>Shares</t>
        </is>
      </c>
      <c r="C34" s="13" t="inlineStr">
        <is>
          <t>%</t>
        </is>
      </c>
      <c r="D34" s="13" t="inlineStr">
        <is>
          <t>Shares</t>
        </is>
      </c>
      <c r="E34" s="13" t="inlineStr">
        <is>
          <t>%</t>
        </is>
      </c>
      <c r="F34" s="13" t="inlineStr">
        <is>
          <t>Shares</t>
        </is>
      </c>
      <c r="G34" s="13" t="inlineStr">
        <is>
          <t>%</t>
        </is>
      </c>
      <c r="H34" s="13" t="inlineStr">
        <is>
          <t>Shares</t>
        </is>
      </c>
      <c r="I34" s="13" t="inlineStr">
        <is>
          <t>%</t>
        </is>
      </c>
      <c r="J34" s="13" t="inlineStr">
        <is>
          <t>Shares</t>
        </is>
      </c>
      <c r="K34" s="13" t="inlineStr">
        <is>
          <t>%</t>
        </is>
      </c>
    </row>
    <row r="35">
      <c r="A35" t="inlineStr">
        <is>
          <t>Founder (Nimit Jain)</t>
        </is>
      </c>
      <c r="B35" s="36">
        <f>ct_founder</f>
        <v/>
      </c>
      <c r="C35" s="31">
        <f>IF(B$41&gt;0,B35/B$41,0)</f>
        <v/>
      </c>
      <c r="D35" s="36">
        <f>ct_founder</f>
        <v/>
      </c>
      <c r="E35" s="31">
        <f>IF(D$41&gt;0,D35/D$41,0)</f>
        <v/>
      </c>
      <c r="F35" s="36">
        <f>ct_founder</f>
        <v/>
      </c>
      <c r="G35" s="31">
        <f>IF(F$41&gt;0,F35/F$41,0)</f>
        <v/>
      </c>
      <c r="H35" s="36">
        <f>ct_founder</f>
        <v/>
      </c>
      <c r="I35" s="31">
        <f>IF(H$41&gt;0,H35/H$41,0)</f>
        <v/>
      </c>
      <c r="J35" s="36">
        <f>ct_founder</f>
        <v/>
      </c>
      <c r="K35" s="31">
        <f>IF(J$41&gt;0,J35/J$41,0)</f>
        <v/>
      </c>
    </row>
    <row r="36">
      <c r="A36" t="inlineStr">
        <is>
          <t>Option pool (granted + unallocated)</t>
        </is>
      </c>
      <c r="B36" s="36">
        <f>ct_pool0</f>
        <v/>
      </c>
      <c r="C36" s="31">
        <f>IF(B$41&gt;0,B36/B$41,0)</f>
        <v/>
      </c>
      <c r="D36" s="36">
        <f>ct_pool0</f>
        <v/>
      </c>
      <c r="E36" s="31">
        <f>IF(D$41&gt;0,D36/D$41,0)</f>
        <v/>
      </c>
      <c r="F36" s="36">
        <f>ct_post_seed*ct_pool_seed</f>
        <v/>
      </c>
      <c r="G36" s="31">
        <f>IF(F$41&gt;0,F36/F$41,0)</f>
        <v/>
      </c>
      <c r="H36" s="36">
        <f>ct_post_A*ct_pool_A</f>
        <v/>
      </c>
      <c r="I36" s="31">
        <f>IF(H$41&gt;0,H36/H$41,0)</f>
        <v/>
      </c>
      <c r="J36" s="36">
        <f>ct_post_B*ct_pool_B</f>
        <v/>
      </c>
      <c r="K36" s="31">
        <f>IF(J$41&gt;0,J36/J$41,0)</f>
        <v/>
      </c>
    </row>
    <row r="37">
      <c r="A37" t="inlineStr">
        <is>
          <t>Pre-seed SAFE investors</t>
        </is>
      </c>
      <c r="B37" s="36">
        <f>0</f>
        <v/>
      </c>
      <c r="C37" s="31">
        <f>IF(B$41&gt;0,B37/B$41,0)</f>
        <v/>
      </c>
      <c r="D37" s="36">
        <f>ct_safe_sh</f>
        <v/>
      </c>
      <c r="E37" s="31">
        <f>IF(D$41&gt;0,D37/D$41,0)</f>
        <v/>
      </c>
      <c r="F37" s="36">
        <f>ct_safe_sh</f>
        <v/>
      </c>
      <c r="G37" s="31">
        <f>IF(F$41&gt;0,F37/F$41,0)</f>
        <v/>
      </c>
      <c r="H37" s="36">
        <f>ct_safe_sh</f>
        <v/>
      </c>
      <c r="I37" s="31">
        <f>IF(H$41&gt;0,H37/H$41,0)</f>
        <v/>
      </c>
      <c r="J37" s="36">
        <f>ct_safe_sh</f>
        <v/>
      </c>
      <c r="K37" s="31">
        <f>IF(J$41&gt;0,J37/J$41,0)</f>
        <v/>
      </c>
    </row>
    <row r="38">
      <c r="A38" t="inlineStr">
        <is>
          <t>Seed investors</t>
        </is>
      </c>
      <c r="B38" s="36">
        <f>0</f>
        <v/>
      </c>
      <c r="C38" s="31">
        <f>IF(B$41&gt;0,B38/B$41,0)</f>
        <v/>
      </c>
      <c r="D38" s="36">
        <f>0</f>
        <v/>
      </c>
      <c r="E38" s="31">
        <f>IF(D$41&gt;0,D38/D$41,0)</f>
        <v/>
      </c>
      <c r="F38" s="36">
        <f>ct_seed_sh</f>
        <v/>
      </c>
      <c r="G38" s="31">
        <f>IF(F$41&gt;0,F38/F$41,0)</f>
        <v/>
      </c>
      <c r="H38" s="36">
        <f>ct_seed_sh</f>
        <v/>
      </c>
      <c r="I38" s="31">
        <f>IF(H$41&gt;0,H38/H$41,0)</f>
        <v/>
      </c>
      <c r="J38" s="36">
        <f>ct_seed_sh</f>
        <v/>
      </c>
      <c r="K38" s="31">
        <f>IF(J$41&gt;0,J38/J$41,0)</f>
        <v/>
      </c>
    </row>
    <row r="39">
      <c r="A39" t="inlineStr">
        <is>
          <t>Series A investors</t>
        </is>
      </c>
      <c r="B39" s="36">
        <f>0</f>
        <v/>
      </c>
      <c r="C39" s="31">
        <f>IF(B$41&gt;0,B39/B$41,0)</f>
        <v/>
      </c>
      <c r="D39" s="36">
        <f>0</f>
        <v/>
      </c>
      <c r="E39" s="31">
        <f>IF(D$41&gt;0,D39/D$41,0)</f>
        <v/>
      </c>
      <c r="F39" s="36">
        <f>0</f>
        <v/>
      </c>
      <c r="G39" s="31">
        <f>IF(F$41&gt;0,F39/F$41,0)</f>
        <v/>
      </c>
      <c r="H39" s="36">
        <f>ct_A_sh</f>
        <v/>
      </c>
      <c r="I39" s="31">
        <f>IF(H$41&gt;0,H39/H$41,0)</f>
        <v/>
      </c>
      <c r="J39" s="36">
        <f>ct_A_sh</f>
        <v/>
      </c>
      <c r="K39" s="31">
        <f>IF(J$41&gt;0,J39/J$41,0)</f>
        <v/>
      </c>
    </row>
    <row r="40">
      <c r="A40" t="inlineStr">
        <is>
          <t>Series B investors</t>
        </is>
      </c>
      <c r="B40" s="36">
        <f>0</f>
        <v/>
      </c>
      <c r="C40" s="31">
        <f>IF(B$41&gt;0,B40/B$41,0)</f>
        <v/>
      </c>
      <c r="D40" s="36">
        <f>0</f>
        <v/>
      </c>
      <c r="E40" s="31">
        <f>IF(D$41&gt;0,D40/D$41,0)</f>
        <v/>
      </c>
      <c r="F40" s="36">
        <f>0</f>
        <v/>
      </c>
      <c r="G40" s="31">
        <f>IF(F$41&gt;0,F40/F$41,0)</f>
        <v/>
      </c>
      <c r="H40" s="36">
        <f>0</f>
        <v/>
      </c>
      <c r="I40" s="31">
        <f>IF(H$41&gt;0,H40/H$41,0)</f>
        <v/>
      </c>
      <c r="J40" s="36">
        <f>ct_B_sh</f>
        <v/>
      </c>
      <c r="K40" s="31">
        <f>IF(J$41&gt;0,J40/J$41,0)</f>
        <v/>
      </c>
    </row>
    <row r="41">
      <c r="A41" s="13" t="inlineStr">
        <is>
          <t>TOTAL FULLY DILUTED</t>
        </is>
      </c>
      <c r="B41" s="39">
        <f>SUM(B35:B40)</f>
        <v/>
      </c>
      <c r="C41" s="31">
        <f>IF(B$41&gt;0,B41/B$41,0)</f>
        <v/>
      </c>
      <c r="D41" s="39">
        <f>SUM(D35:D40)</f>
        <v/>
      </c>
      <c r="E41" s="31">
        <f>IF(D$41&gt;0,D41/D$41,0)</f>
        <v/>
      </c>
      <c r="F41" s="39">
        <f>SUM(F35:F40)</f>
        <v/>
      </c>
      <c r="G41" s="31">
        <f>IF(F$41&gt;0,F41/F$41,0)</f>
        <v/>
      </c>
      <c r="H41" s="39">
        <f>SUM(H35:H40)</f>
        <v/>
      </c>
      <c r="I41" s="31">
        <f>IF(H$41&gt;0,H41/H$41,0)</f>
        <v/>
      </c>
      <c r="J41" s="39">
        <f>SUM(J35:J40)</f>
        <v/>
      </c>
      <c r="K41" s="31">
        <f>IF(J$41&gt;0,J41/J$41,0)</f>
        <v/>
      </c>
    </row>
    <row r="43">
      <c r="A43" s="13" t="inlineStr">
        <is>
          <t>Implied post-money valuation ($)</t>
        </is>
      </c>
      <c r="D43" s="36">
        <f>'Funding &amp; Runway'!$F$4</f>
        <v/>
      </c>
      <c r="F43" s="36">
        <f>'Funding &amp; Runway'!$E$5+'Funding &amp; Runway'!$D$5</f>
        <v/>
      </c>
      <c r="H43" s="36">
        <f>'Funding &amp; Runway'!$E$6+'Funding &amp; Runway'!$D$6</f>
        <v/>
      </c>
      <c r="J43" s="36">
        <f>'Funding &amp; Runway'!$E$7+'Funding &amp; Runway'!$D$7</f>
        <v/>
      </c>
    </row>
    <row r="44">
      <c r="A44" s="13" t="inlineStr">
        <is>
          <t>Founder stake value at round price ($)</t>
        </is>
      </c>
      <c r="D44" s="36">
        <f>E35*D43</f>
        <v/>
      </c>
      <c r="F44" s="36">
        <f>G35*F43</f>
        <v/>
      </c>
      <c r="H44" s="36">
        <f>I35*H43</f>
        <v/>
      </c>
      <c r="J44" s="36">
        <f>K35*J43</f>
        <v/>
      </c>
    </row>
    <row r="46">
      <c r="A46" s="2" t="inlineStr">
        <is>
          <t>Notes: SAFE = YC post-money SAFE; conversion assumes Seed price &gt; SAFE cap price (true at $22M pre). No discount modelled. Liquidation preferences 1x non-participating assumed; not modelled here.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6" t="inlineStr">
        <is>
          <t>Timeline (monthly Nov-2026 to Dec-2028, then annual FY2029-FY2031)</t>
        </is>
      </c>
    </row>
    <row r="2">
      <c r="A2" s="13" t="inlineStr">
        <is>
          <t>Period</t>
        </is>
      </c>
      <c r="C2" t="inlineStr">
        <is>
          <t>Nov-26</t>
        </is>
      </c>
      <c r="D2" t="inlineStr">
        <is>
          <t>Dec-26</t>
        </is>
      </c>
      <c r="E2" t="inlineStr">
        <is>
          <t>Jan-27</t>
        </is>
      </c>
      <c r="F2" t="inlineStr">
        <is>
          <t>Feb-27</t>
        </is>
      </c>
      <c r="G2" t="inlineStr">
        <is>
          <t>Mar-27</t>
        </is>
      </c>
      <c r="H2" t="inlineStr">
        <is>
          <t>Apr-27</t>
        </is>
      </c>
      <c r="I2" t="inlineStr">
        <is>
          <t>May-27</t>
        </is>
      </c>
      <c r="J2" t="inlineStr">
        <is>
          <t>Jun-27</t>
        </is>
      </c>
      <c r="K2" t="inlineStr">
        <is>
          <t>Jul-27</t>
        </is>
      </c>
      <c r="L2" t="inlineStr">
        <is>
          <t>Aug-27</t>
        </is>
      </c>
      <c r="M2" t="inlineStr">
        <is>
          <t>Sep-27</t>
        </is>
      </c>
      <c r="N2" t="inlineStr">
        <is>
          <t>Oct-27</t>
        </is>
      </c>
      <c r="O2" t="inlineStr">
        <is>
          <t>Nov-27</t>
        </is>
      </c>
      <c r="P2" t="inlineStr">
        <is>
          <t>Dec-27</t>
        </is>
      </c>
      <c r="Q2" t="inlineStr">
        <is>
          <t>Jan-28</t>
        </is>
      </c>
      <c r="R2" t="inlineStr">
        <is>
          <t>Feb-28</t>
        </is>
      </c>
      <c r="S2" t="inlineStr">
        <is>
          <t>Mar-28</t>
        </is>
      </c>
      <c r="T2" t="inlineStr">
        <is>
          <t>Apr-28</t>
        </is>
      </c>
      <c r="U2" t="inlineStr">
        <is>
          <t>May-28</t>
        </is>
      </c>
      <c r="V2" t="inlineStr">
        <is>
          <t>Jun-28</t>
        </is>
      </c>
      <c r="W2" t="inlineStr">
        <is>
          <t>Jul-28</t>
        </is>
      </c>
      <c r="X2" t="inlineStr">
        <is>
          <t>Aug-28</t>
        </is>
      </c>
      <c r="Y2" t="inlineStr">
        <is>
          <t>Sep-28</t>
        </is>
      </c>
      <c r="Z2" t="inlineStr">
        <is>
          <t>Oct-28</t>
        </is>
      </c>
      <c r="AA2" t="inlineStr">
        <is>
          <t>Nov-28</t>
        </is>
      </c>
      <c r="AB2" t="inlineStr">
        <is>
          <t>Dec-28</t>
        </is>
      </c>
      <c r="AC2" t="inlineStr">
        <is>
          <t>FY2029</t>
        </is>
      </c>
      <c r="AD2" t="inlineStr">
        <is>
          <t>FY2030</t>
        </is>
      </c>
      <c r="AE2" t="inlineStr">
        <is>
          <t>FY2031</t>
        </is>
      </c>
    </row>
    <row r="3">
      <c r="A3" s="13" t="inlineStr">
        <is>
          <t>Year</t>
        </is>
      </c>
      <c r="C3" t="n">
        <v>2026</v>
      </c>
      <c r="D3" t="n">
        <v>2026</v>
      </c>
      <c r="E3" t="n">
        <v>2027</v>
      </c>
      <c r="F3" t="n">
        <v>2027</v>
      </c>
      <c r="G3" t="n">
        <v>2027</v>
      </c>
      <c r="H3" t="n">
        <v>2027</v>
      </c>
      <c r="I3" t="n">
        <v>2027</v>
      </c>
      <c r="J3" t="n">
        <v>2027</v>
      </c>
      <c r="K3" t="n">
        <v>2027</v>
      </c>
      <c r="L3" t="n">
        <v>2027</v>
      </c>
      <c r="M3" t="n">
        <v>2027</v>
      </c>
      <c r="N3" t="n">
        <v>2027</v>
      </c>
      <c r="O3" t="n">
        <v>2027</v>
      </c>
      <c r="P3" t="n">
        <v>2027</v>
      </c>
      <c r="Q3" t="n">
        <v>2028</v>
      </c>
      <c r="R3" t="n">
        <v>2028</v>
      </c>
      <c r="S3" t="n">
        <v>2028</v>
      </c>
      <c r="T3" t="n">
        <v>2028</v>
      </c>
      <c r="U3" t="n">
        <v>2028</v>
      </c>
      <c r="V3" t="n">
        <v>2028</v>
      </c>
      <c r="W3" t="n">
        <v>2028</v>
      </c>
      <c r="X3" t="n">
        <v>2028</v>
      </c>
      <c r="Y3" t="n">
        <v>2028</v>
      </c>
      <c r="Z3" t="n">
        <v>2028</v>
      </c>
      <c r="AA3" t="n">
        <v>2028</v>
      </c>
      <c r="AB3" t="n">
        <v>2028</v>
      </c>
      <c r="AC3" t="n">
        <v>2029</v>
      </c>
      <c r="AD3" t="n">
        <v>2030</v>
      </c>
      <c r="AE3" t="n">
        <v>2031</v>
      </c>
    </row>
    <row r="4">
      <c r="A4" s="13" t="inlineStr">
        <is>
          <t>Months in period</t>
        </is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12</v>
      </c>
      <c r="AD4" t="n">
        <v>12</v>
      </c>
      <c r="AE4" t="n">
        <v>12</v>
      </c>
    </row>
    <row r="5">
      <c r="A5" s="13" t="inlineStr">
        <is>
          <t>Period start</t>
        </is>
      </c>
      <c r="C5" s="22" t="n">
        <v>46327</v>
      </c>
      <c r="D5" s="22" t="n">
        <v>46357</v>
      </c>
      <c r="E5" s="22" t="n">
        <v>46388</v>
      </c>
      <c r="F5" s="22" t="n">
        <v>46419</v>
      </c>
      <c r="G5" s="22" t="n">
        <v>46447</v>
      </c>
      <c r="H5" s="22" t="n">
        <v>46478</v>
      </c>
      <c r="I5" s="22" t="n">
        <v>46508</v>
      </c>
      <c r="J5" s="22" t="n">
        <v>46539</v>
      </c>
      <c r="K5" s="22" t="n">
        <v>46569</v>
      </c>
      <c r="L5" s="22" t="n">
        <v>46600</v>
      </c>
      <c r="M5" s="22" t="n">
        <v>46631</v>
      </c>
      <c r="N5" s="22" t="n">
        <v>46661</v>
      </c>
      <c r="O5" s="22" t="n">
        <v>46692</v>
      </c>
      <c r="P5" s="22" t="n">
        <v>46722</v>
      </c>
      <c r="Q5" s="22" t="n">
        <v>46753</v>
      </c>
      <c r="R5" s="22" t="n">
        <v>46784</v>
      </c>
      <c r="S5" s="22" t="n">
        <v>46813</v>
      </c>
      <c r="T5" s="22" t="n">
        <v>46844</v>
      </c>
      <c r="U5" s="22" t="n">
        <v>46874</v>
      </c>
      <c r="V5" s="22" t="n">
        <v>46905</v>
      </c>
      <c r="W5" s="22" t="n">
        <v>46935</v>
      </c>
      <c r="X5" s="22" t="n">
        <v>46966</v>
      </c>
      <c r="Y5" s="22" t="n">
        <v>46997</v>
      </c>
      <c r="Z5" s="22" t="n">
        <v>47027</v>
      </c>
      <c r="AA5" s="22" t="n">
        <v>47058</v>
      </c>
      <c r="AB5" s="22" t="n">
        <v>47088</v>
      </c>
      <c r="AC5" s="22" t="n">
        <v>47119</v>
      </c>
      <c r="AD5" s="22" t="n">
        <v>47484</v>
      </c>
      <c r="AE5" s="22" t="n">
        <v>47849</v>
      </c>
    </row>
    <row r="6">
      <c r="A6" s="13" t="inlineStr">
        <is>
          <t>Period key</t>
        </is>
      </c>
      <c r="C6" t="n">
        <v>202611</v>
      </c>
      <c r="D6" t="n">
        <v>202612</v>
      </c>
      <c r="E6" t="n">
        <v>202701</v>
      </c>
      <c r="F6" t="n">
        <v>202702</v>
      </c>
      <c r="G6" t="n">
        <v>202703</v>
      </c>
      <c r="H6" t="n">
        <v>202704</v>
      </c>
      <c r="I6" t="n">
        <v>202705</v>
      </c>
      <c r="J6" t="n">
        <v>202706</v>
      </c>
      <c r="K6" t="n">
        <v>202707</v>
      </c>
      <c r="L6" t="n">
        <v>202708</v>
      </c>
      <c r="M6" t="n">
        <v>202709</v>
      </c>
      <c r="N6" t="n">
        <v>202710</v>
      </c>
      <c r="O6" t="n">
        <v>202711</v>
      </c>
      <c r="P6" t="n">
        <v>202712</v>
      </c>
      <c r="Q6" t="n">
        <v>202801</v>
      </c>
      <c r="R6" t="n">
        <v>202802</v>
      </c>
      <c r="S6" t="n">
        <v>202803</v>
      </c>
      <c r="T6" t="n">
        <v>202804</v>
      </c>
      <c r="U6" t="n">
        <v>202805</v>
      </c>
      <c r="V6" t="n">
        <v>202806</v>
      </c>
      <c r="W6" t="n">
        <v>202807</v>
      </c>
      <c r="X6" t="n">
        <v>202808</v>
      </c>
      <c r="Y6" t="n">
        <v>202809</v>
      </c>
      <c r="Z6" t="n">
        <v>202810</v>
      </c>
      <c r="AA6" t="n">
        <v>202811</v>
      </c>
      <c r="AB6" t="n">
        <v>202812</v>
      </c>
      <c r="AC6" t="n">
        <v>2029</v>
      </c>
      <c r="AD6" t="n">
        <v>2030</v>
      </c>
      <c r="AE6" t="n">
        <v>2031</v>
      </c>
    </row>
    <row r="7">
      <c r="A7" s="13" t="inlineStr">
        <is>
          <t>Monthly flag (1=month)</t>
        </is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0</v>
      </c>
      <c r="AD7" t="n">
        <v>0</v>
      </c>
      <c r="AE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2026-10-30T20:24:14Z</dcterms:created>
  <dcterms:modified xmlns:dcterms="http://purl.org/dc/terms/" xmlns:xsi="http://www.w3.org/2001/XMLSchema-instance" xsi:type="dcterms:W3CDTF">2026-10-30T20:24:14Z</dcterms:modified>
</cp:coreProperties>
</file>