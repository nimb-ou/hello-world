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ssumptions" sheetId="2" state="visible" r:id="rId4"/>
    <sheet name="Scenarios" sheetId="3" state="visible" r:id="rId5"/>
    <sheet name="Pricing &amp; Mix" sheetId="4" state="visible" r:id="rId6"/>
    <sheet name="Unit Economics" sheetId="5" state="visible" r:id="rId7"/>
    <sheet name="Subscription Cohorts" sheetId="6" state="visible" r:id="rId8"/>
    <sheet name="Revenue Build" sheetId="7" state="visible" r:id="rId9"/>
    <sheet name="Hardware COGS" sheetId="8" state="visible" r:id="rId10"/>
    <sheet name="Cloud &amp; AI COGS" sheetId="9" state="visible" r:id="rId11"/>
    <sheet name="Headcount" sheetId="10" state="visible" r:id="rId12"/>
    <sheet name="Headcount Plan" sheetId="11" state="visible" r:id="rId13"/>
    <sheet name="OpEx" sheetId="12" state="visible" r:id="rId14"/>
    <sheet name="Working Capital" sheetId="13" state="visible" r:id="rId15"/>
    <sheet name="P&amp;L" sheetId="14" state="visible" r:id="rId16"/>
    <sheet name="Cash Flow" sheetId="15" state="visible" r:id="rId17"/>
    <sheet name="Balance Sheet" sheetId="16" state="visible" r:id="rId18"/>
    <sheet name="Funding &amp; Runway" sheetId="17" state="visible" r:id="rId19"/>
    <sheet name="Runway" sheetId="18" state="visible" r:id="rId20"/>
    <sheet name="Cap Table" sheetId="19" state="visible" r:id="rId21"/>
    <sheet name="Timeline" sheetId="20" state="visible" r:id="rId22"/>
  </sheets>
  <definedNames>
    <definedName function="false" hidden="false" name="acc_aov" vbProcedure="false">Assumptions!$C$68</definedName>
    <definedName function="false" hidden="false" name="acc_attach" vbProcedure="false">Assumptions!$C$67</definedName>
    <definedName function="false" hidden="false" name="acc_cogs_pct" vbProcedure="false">Assumptions!$C$69</definedName>
    <definedName function="false" hidden="false" name="ai_defl" vbProcedure="false">Assumptions!$C$86</definedName>
    <definedName function="false" hidden="false" name="arpu_real" vbProcedure="false">Assumptions!$C$56</definedName>
    <definedName function="false" hidden="false" name="ar_days" vbProcedure="false">Assumptions!$C$94</definedName>
    <definedName function="false" hidden="false" name="asm_atl" vbProcedure="false">Assumptions!$C$34</definedName>
    <definedName function="false" hidden="false" name="asm_peb" vbProcedure="false">Assumptions!$C$28</definedName>
    <definedName function="false" hidden="false" name="asm_sq" vbProcedure="false">Assumptions!$C$31</definedName>
    <definedName function="false" hidden="false" name="attach_atl" vbProcedure="false">Assumptions!$C$60</definedName>
    <definedName function="false" hidden="false" name="attach_peb" vbProcedure="false">Assumptions!$C$58</definedName>
    <definedName function="false" hidden="false" name="attach_sq" vbProcedure="false">Assumptions!$C$59</definedName>
    <definedName function="false" hidden="false" name="bal_lead" vbProcedure="false">Assumptions!$C$92</definedName>
    <definedName function="false" hidden="false" name="bom_atl" vbProcedure="false">Assumptions!$C$33</definedName>
    <definedName function="false" hidden="false" name="bom_peb" vbProcedure="false">Assumptions!$C$27</definedName>
    <definedName function="false" hidden="false" name="bom_sq" vbProcedure="false">Assumptions!$C$30</definedName>
    <definedName function="false" hidden="false" name="burden" vbProcedure="false">Assumptions!$C$9</definedName>
    <definedName function="false" hidden="false" name="churn" vbProcedure="false">Assumptions!$C$61</definedName>
    <definedName function="false" hidden="false" name="ct_A_pct" vbProcedure="false">'Cap Table'!$B$22</definedName>
    <definedName function="false" hidden="false" name="ct_A_px" vbProcedure="false">'Cap Table'!$B$26</definedName>
    <definedName function="false" hidden="false" name="ct_A_sh" vbProcedure="false">'Cap Table'!$B$24</definedName>
    <definedName function="false" hidden="false" name="ct_B_pct" vbProcedure="false">'Cap Table'!$B$27</definedName>
    <definedName function="false" hidden="false" name="ct_B_px" vbProcedure="false">'Cap Table'!$B$31</definedName>
    <definedName function="false" hidden="false" name="ct_B_sh" vbProcedure="false">'Cap Table'!$B$29</definedName>
    <definedName function="false" hidden="false" name="ct_cap_safe" vbProcedure="false">'Cap Table'!$B$12</definedName>
    <definedName function="false" hidden="false" name="ct_founder" vbProcedure="false">'Cap Table'!$B$3</definedName>
    <definedName function="false" hidden="false" name="ct_pool0" vbProcedure="false">'Cap Table'!$B$4</definedName>
    <definedName function="false" hidden="false" name="ct_pool_A" vbProcedure="false">'Cap Table'!$B$6</definedName>
    <definedName function="false" hidden="false" name="ct_pool_add_A" vbProcedure="false">'Cap Table'!$B$25</definedName>
    <definedName function="false" hidden="false" name="ct_pool_add_B" vbProcedure="false">'Cap Table'!$B$30</definedName>
    <definedName function="false" hidden="false" name="ct_pool_add_seed" vbProcedure="false">'Cap Table'!$B$17</definedName>
    <definedName function="false" hidden="false" name="ct_pool_B" vbProcedure="false">'Cap Table'!$B$7</definedName>
    <definedName function="false" hidden="false" name="ct_pool_seed" vbProcedure="false">'Cap Table'!$B$5</definedName>
    <definedName function="false" hidden="false" name="ct_post_A" vbProcedure="false">'Cap Table'!$B$23</definedName>
    <definedName function="false" hidden="false" name="ct_post_B" vbProcedure="false">'Cap Table'!$B$28</definedName>
    <definedName function="false" hidden="false" name="ct_post_seed" vbProcedure="false">'Cap Table'!$B$15</definedName>
    <definedName function="false" hidden="false" name="ct_safe_pct" vbProcedure="false">'Cap Table'!$B$11</definedName>
    <definedName function="false" hidden="false" name="ct_safe_px" vbProcedure="false">'Cap Table'!$B$19</definedName>
    <definedName function="false" hidden="false" name="ct_safe_sh" vbProcedure="false">'Cap Table'!$B$13</definedName>
    <definedName function="false" hidden="false" name="ct_seed_pct" vbProcedure="false">'Cap Table'!$B$14</definedName>
    <definedName function="false" hidden="false" name="ct_seed_px" vbProcedure="false">'Cap Table'!$B$18</definedName>
    <definedName function="false" hidden="false" name="ct_seed_sh" vbProcedure="false">'Cap Table'!$B$16</definedName>
    <definedName function="false" hidden="false" name="ct_x_px" vbProcedure="false">'Cap Table'!$B$20</definedName>
    <definedName function="false" hidden="false" name="ct_x_sh" vbProcedure="false">'Cap Table'!$B$21</definedName>
    <definedName function="false" hidden="false" name="data_cost_gb" vbProcedure="false">Assumptions!$C$81</definedName>
    <definedName function="false" hidden="false" name="data_defl" vbProcedure="false">Assumptions!$C$87</definedName>
    <definedName function="false" hidden="false" name="data_gb_used" vbProcedure="false">Assumptions!$C$80</definedName>
    <definedName function="false" hidden="false" name="dep_lead" vbProcedure="false">Assumptions!$C$91</definedName>
    <definedName function="false" hidden="false" name="device_inactive" vbProcedure="false">Assumptions!$C$64</definedName>
    <definedName function="false" hidden="false" name="dtc_disc" vbProcedure="false">Assumptions!$C$22</definedName>
    <definedName function="false" hidden="false" name="dtc_ship" vbProcedure="false">Assumptions!$C$38</definedName>
    <definedName function="false" hidden="false" name="FirstYear" vbProcedure="false">Assumptions!$C$2</definedName>
    <definedName function="false" hidden="false" name="fleet_cloud" vbProcedure="false">Assumptions!$C$72</definedName>
    <definedName function="false" hidden="false" name="fleet_fee" vbProcedure="false">Assumptions!$C$70</definedName>
    <definedName function="false" hidden="false" name="fleet_replace" vbProcedure="false">Assumptions!$C$73</definedName>
    <definedName function="false" hidden="false" name="fleet_unit_cost" vbProcedure="false">Assumptions!$C$71</definedName>
    <definedName function="false" hidden="false" name="free_cost" vbProcedure="false">Assumptions!$C$83</definedName>
    <definedName function="false" hidden="false" name="freight_duty" vbProcedure="false">Assumptions!$C$36</definedName>
    <definedName function="false" hidden="false" name="infra_cost" vbProcedure="false">Assumptions!$C$79</definedName>
    <definedName function="false" hidden="false" name="interest_rate" vbProcedure="false">Assumptions!$C$7</definedName>
    <definedName function="false" hidden="false" name="inv_days" vbProcedure="false">Assumptions!$C$93</definedName>
    <definedName function="false" hidden="false" name="ks_atl" vbProcedure="false">Assumptions!$C$19</definedName>
    <definedName function="false" hidden="false" name="ks_fee" vbProcedure="false">Assumptions!$C$49</definedName>
    <definedName function="false" hidden="false" name="ks_fulfil_net" vbProcedure="false">Assumptions!$C$40</definedName>
    <definedName function="false" hidden="false" name="ks_peb" vbProcedure="false">Assumptions!$C$16</definedName>
    <definedName function="false" hidden="false" name="ks_proc" vbProcedure="false">Assumptions!$C$50</definedName>
    <definedName function="false" hidden="false" name="ks_proc_fixed" vbProcedure="false">Assumptions!$C$51</definedName>
    <definedName function="false" hidden="false" name="ks_sq" vbProcedure="false">Assumptions!$C$17</definedName>
    <definedName function="false" hidden="false" name="ks_units" vbProcedure="false">Assumptions!$C$45</definedName>
    <definedName function="false" hidden="false" name="llm_cost" vbProcedure="false">Assumptions!$C$76</definedName>
    <definedName function="false" hidden="false" name="msrp_atl" vbProcedure="false">Assumptions!$C$15</definedName>
    <definedName function="false" hidden="false" name="msrp_peb" vbProcedure="false">Assumptions!$C$13</definedName>
    <definedName function="false" hidden="false" name="msrp_sq" vbProcedure="false">Assumptions!$C$14</definedName>
    <definedName function="false" hidden="false" name="odm_dep" vbProcedure="false">Assumptions!$C$90</definedName>
    <definedName function="false" hidden="false" name="opening_cash" vbProcedure="false">Assumptions!$C$6</definedName>
    <definedName function="false" hidden="false" name="pay_fixed" vbProcedure="false">Assumptions!$C$42</definedName>
    <definedName function="false" hidden="false" name="pay_pct" vbProcedure="false">Assumptions!$C$41</definedName>
    <definedName function="false" hidden="false" name="pkg_atl" vbProcedure="false">Assumptions!$C$35</definedName>
    <definedName function="false" hidden="false" name="pkg_peb" vbProcedure="false">Assumptions!$C$29</definedName>
    <definedName function="false" hidden="false" name="pkg_sq" vbProcedure="false">Assumptions!$C$32</definedName>
    <definedName function="false" hidden="false" name="pre_atl" vbProcedure="false">Assumptions!$C$20</definedName>
    <definedName function="false" hidden="false" name="pre_mix_atl" vbProcedure="false">Assumptions!$C$48</definedName>
    <definedName function="false" hidden="false" name="pre_mix_peb" vbProcedure="false">Assumptions!$C$47</definedName>
    <definedName function="false" hidden="false" name="pre_peb" vbProcedure="false">Assumptions!$C$18</definedName>
    <definedName function="false" hidden="false" name="pre_sq" vbProcedure="false">Assumptions!$C$21</definedName>
    <definedName function="false" hidden="false" name="pre_units" vbProcedure="false">Assumptions!$C$46</definedName>
    <definedName function="false" hidden="false" name="retail_coop" vbProcedure="false">Assumptions!$C$97</definedName>
    <definedName function="false" hidden="false" name="retail_dist" vbProcedure="false">Assumptions!$C$39</definedName>
    <definedName function="false" hidden="false" name="retail_margin" vbProcedure="false">Assumptions!$C$23</definedName>
    <definedName function="false" hidden="false" name="returns_pct" vbProcedure="false">Assumptions!$C$24</definedName>
    <definedName function="false" hidden="false" name="salary_infl" vbProcedure="false">Assumptions!$C$10</definedName>
    <definedName function="false" hidden="false" name="Scenario" vbProcedure="false">Scenarios!$C$3</definedName>
    <definedName function="false" hidden="false" name="sc_attach" vbProcedure="false">Scenarios!$F$8</definedName>
    <definedName function="false" hidden="false" name="sc_cac" vbProcedure="false">Scenarios!$F$11</definedName>
    <definedName function="false" hidden="false" name="sc_churn" vbProcedure="false">Scenarios!$F$9</definedName>
    <definedName function="false" hidden="false" name="sc_cogs" vbProcedure="false">Scenarios!$F$10</definedName>
    <definedName function="false" hidden="false" name="sc_price" vbProcedure="false">Scenarios!$F$7</definedName>
    <definedName function="false" hidden="false" name="sc_vol" vbProcedure="false">Scenarios!$F$6</definedName>
    <definedName function="false" hidden="false" name="stt_cost" vbProcedure="false">Assumptions!$C$77</definedName>
    <definedName function="false" hidden="false" name="sub_pay_fee" vbProcedure="false">Assumptions!$C$82</definedName>
    <definedName function="false" hidden="false" name="sub_price" vbProcedure="false">Assumptions!$C$55</definedName>
    <definedName function="false" hidden="false" name="tax_rate" vbProcedure="false">Assumptions!$C$8</definedName>
    <definedName function="false" hidden="false" name="trial_months" vbProcedure="false">Assumptions!$C$57</definedName>
    <definedName function="false" hidden="false" name="trip_ai" vbProcedure="false">Assumptions!$C$85</definedName>
    <definedName function="false" hidden="false" name="trip_data_gb" vbProcedure="false">Assumptions!$C$84</definedName>
    <definedName function="false" hidden="false" name="trip_price" vbProcedure="false">Assumptions!$C$62</definedName>
    <definedName function="false" hidden="false" name="trip_rate" vbProcedure="false">Assumptions!$C$63</definedName>
    <definedName function="false" hidden="false" name="tts_cost" vbProcedure="false">Assumptions!$C$78</definedName>
    <definedName function="false" hidden="false" name="units_per_pledge" vbProcedure="false">Assumptions!$C$52</definedName>
    <definedName function="false" hidden="false" name="warranty_pct" vbProcedure="false">Assumptions!$C$37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<sst xmlns="http://schemas.openxmlformats.org/spreadsheetml/2006/main" count="1200" uniqueCount="803">
  <si>
    <t xml:space="preserve">LORE Labs -- CFO Dashboard</t>
  </si>
  <si>
    <t xml:space="preserve">FY2026*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</si>
  <si>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</si>
  <si>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</si>
  <si>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</si>
  <si>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</si>
  <si>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</si>
  <si>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Units shipped</t>
  </si>
  <si>
    <t xml:space="preserve">Total revenue</t>
  </si>
  <si>
    <t xml:space="preserve">  Hardware (net)</t>
  </si>
  <si>
    <t xml:space="preserve">  Subscriptions (Explorer + Trip Pass)</t>
  </si>
  <si>
    <t xml:space="preserve">  Accessories</t>
  </si>
  <si>
    <t xml:space="preserve">  Affiliate</t>
  </si>
  <si>
    <t xml:space="preserve">  B2B fleet</t>
  </si>
  <si>
    <t xml:space="preserve">Revenue growth YoY</t>
  </si>
  <si>
    <t xml:space="preserve">Gross profit</t>
  </si>
  <si>
    <t xml:space="preserve">Gross margin %</t>
  </si>
  <si>
    <t xml:space="preserve">Hardware gross margin %</t>
  </si>
  <si>
    <t xml:space="preserve">EBITDA</t>
  </si>
  <si>
    <t xml:space="preserve">EBITDA margin %</t>
  </si>
  <si>
    <t xml:space="preserve">Net income</t>
  </si>
  <si>
    <t xml:space="preserve">Ending cash</t>
  </si>
  <si>
    <t xml:space="preserve">Net burn (op + inv cash flow)</t>
  </si>
  <si>
    <t xml:space="preserve">Equity raised in year</t>
  </si>
  <si>
    <t xml:space="preserve">Paid subscribers (end)</t>
  </si>
  <si>
    <t xml:space="preserve">Subscription ARR (end)</t>
  </si>
  <si>
    <t xml:space="preserve">Active devices (end)</t>
  </si>
  <si>
    <t xml:space="preserve">Headcount (end)</t>
  </si>
  <si>
    <t xml:space="preserve">* FY2026 = Nov-Dec stub</t>
  </si>
  <si>
    <t xml:space="preserve">Funding &amp; runway</t>
  </si>
  <si>
    <t xml:space="preserve">Total equity raised through FY2031</t>
  </si>
  <si>
    <t xml:space="preserve">Minimum month-end cash, Nov-26..Dec-28</t>
  </si>
  <si>
    <t xml:space="preserve">Month of minimum cash</t>
  </si>
  <si>
    <t xml:space="preserve">Peak monthly net burn (monthly periods)</t>
  </si>
  <si>
    <t xml:space="preserve">Month of peak burn</t>
  </si>
  <si>
    <t xml:space="preserve">Peak average monthly burn (any period incl. FY29-31)</t>
  </si>
  <si>
    <t xml:space="preserve">First monthly period with positive EBITDA (monthly cols)</t>
  </si>
  <si>
    <t xml:space="preserve">First fiscal year with positive EBITDA</t>
  </si>
  <si>
    <t xml:space="preserve">First fiscal year with positive operating+investing cash flow</t>
  </si>
  <si>
    <t xml:space="preserve">Minimum period-end cash incl. FY29-31</t>
  </si>
  <si>
    <t xml:space="preserve">Assumptions -- all inputs in BLUE. Estimates unless a source is cited. Prices ex-VAT/sales tax.</t>
  </si>
  <si>
    <t xml:space="preserve">Model base year</t>
  </si>
  <si>
    <t xml:space="preserve">Input</t>
  </si>
  <si>
    <t xml:space="preserve">Name</t>
  </si>
  <si>
    <t xml:space="preserve">Value</t>
  </si>
  <si>
    <t xml:space="preserve">Unit</t>
  </si>
  <si>
    <t xml:space="preserve">Basis / source</t>
  </si>
  <si>
    <t xml:space="preserve">General &amp; finance</t>
  </si>
  <si>
    <t xml:space="preserve">Opening cash (Nov-2026, before pre-seed)</t>
  </si>
  <si>
    <t xml:space="preserve">opening_cash</t>
  </si>
  <si>
    <t xml:space="preserve">$</t>
  </si>
  <si>
    <t xml:space="preserve">Founder-funded work to date excluded.</t>
  </si>
  <si>
    <t xml:space="preserve">Interest earned on cash (annual)</t>
  </si>
  <si>
    <t xml:space="preserve">interest_rate</t>
  </si>
  <si>
    <t xml:space="preserve">%/yr</t>
  </si>
  <si>
    <t xml:space="preserve">US T-bill / treasury MMF yields ~3.5-4% (2026), conservative.</t>
  </si>
  <si>
    <t xml:space="preserve">Corporate income tax rate (after NOLs)</t>
  </si>
  <si>
    <t xml:space="preserve">tax_rate</t>
  </si>
  <si>
    <t xml:space="preserve">%</t>
  </si>
  <si>
    <t xml:space="preserve">US federal 21%; state ignored; NOLs offset until cumulative pre-tax &gt; 0.</t>
  </si>
  <si>
    <t xml:space="preserve">Employer burden on salary (benefits, payroll tax)</t>
  </si>
  <si>
    <t xml:space="preserve">burden</t>
  </si>
  <si>
    <t xml:space="preserve">Typical US startup 20-30%. Legal-ops owns final salary bands.</t>
  </si>
  <si>
    <t xml:space="preserve">Annual salary inflation (from 2028)</t>
  </si>
  <si>
    <t xml:space="preserve">salary_infl</t>
  </si>
  <si>
    <t xml:space="preserve">Estimate.</t>
  </si>
  <si>
    <t xml:space="preserve">Hardware pricing (MSRP from COMPANY.md; KS prices = early-bird)</t>
  </si>
  <si>
    <t xml:space="preserve">LORE Pebble MSRP</t>
  </si>
  <si>
    <t xml:space="preserve">msrp_peb</t>
  </si>
  <si>
    <t xml:space="preserve">COMPANY.md target price.</t>
  </si>
  <si>
    <t xml:space="preserve">LORE Square MSRP</t>
  </si>
  <si>
    <t xml:space="preserve">msrp_sq</t>
  </si>
  <si>
    <t xml:space="preserve">Research final (holds COMPANY.md). CFO FLAG: with hardware/bom landed $227 @10k the DTC hardware margin is single-digit until DRAM normalises &amp; 100k-tier pricing; see pricing-margin-sensitivity.md.</t>
  </si>
  <si>
    <t xml:space="preserve">LORE Atlas MSRP</t>
  </si>
  <si>
    <t xml:space="preserve">msrp_atl</t>
  </si>
  <si>
    <t xml:space="preserve">Research recommends $599 (COMPANY.md $549). Atlas launches Sep-2028 (CFO assumption: NTN + camera + titanium need a separate EVT/DVT cycle).</t>
  </si>
  <si>
    <t xml:space="preserve">Kickstarter blended pledge price -- Pebble</t>
  </si>
  <si>
    <t xml:space="preserve">ks_peb</t>
  </si>
  <si>
    <t xml:space="preserve">Research tiers $99 / $115 / $129, weighted ~25/45/30.</t>
  </si>
  <si>
    <t xml:space="preserve">Kickstarter blended pledge price -- Square</t>
  </si>
  <si>
    <t xml:space="preserve">ks_sq</t>
  </si>
  <si>
    <t xml:space="preserve">Research tiers $199 / $229 / $259, weighted ~25/45/30.</t>
  </si>
  <si>
    <t xml:space="preserve">Post-campaign pre-order price -- Pebble</t>
  </si>
  <si>
    <t xml:space="preserve">pre_peb</t>
  </si>
  <si>
    <t xml:space="preserve">BackerKit/website pre-order, ~13% off (Research).</t>
  </si>
  <si>
    <t xml:space="preserve">Kickstarter blended pledge price -- Atlas</t>
  </si>
  <si>
    <t xml:space="preserve">ks_atl</t>
  </si>
  <si>
    <t xml:space="preserve">Research tiers $399 / $449 / $499.</t>
  </si>
  <si>
    <t xml:space="preserve">Post-campaign pre-order price -- Atlas</t>
  </si>
  <si>
    <t xml:space="preserve">pre_atl</t>
  </si>
  <si>
    <t xml:space="preserve">Research KS standard tier.</t>
  </si>
  <si>
    <t xml:space="preserve">Post-campaign pre-order price -- Square</t>
  </si>
  <si>
    <t xml:space="preserve">pre_sq</t>
  </si>
  <si>
    <t xml:space="preserve">~13% off $299 (Research).</t>
  </si>
  <si>
    <t xml:space="preserve">Average DTC promo discount vs MSRP</t>
  </si>
  <si>
    <t xml:space="preserve">dtc_disc</t>
  </si>
  <si>
    <t xml:space="preserve">Blended codes/bundles/Black Friday.</t>
  </si>
  <si>
    <t xml:space="preserve">Retailer / distributor margin (off MSRP)</t>
  </si>
  <si>
    <t xml:space="preserve">retail_margin</t>
  </si>
  <si>
    <t xml:space="preserve">Consumer electronics retail margins typically 30-45% incl. distributor; estimate.</t>
  </si>
  <si>
    <t xml:space="preserve">Returns &amp; refunds allowance (of HW revenue)</t>
  </si>
  <si>
    <t xml:space="preserve">returns_pct</t>
  </si>
  <si>
    <t xml:space="preserve">Consumer electronics 3-8%; estimate.</t>
  </si>
  <si>
    <t xml:space="preserve">Landed COGS per unit, 10k tier (RECONCILED to hardware/bom/cogs_summary.csv, 30-Oct-2026); NRE (cert/tooling) is expensed/capitalised separately</t>
  </si>
  <si>
    <t xml:space="preserve">Pebble (ships as Pebble Lite ECR spec) -- FOB incl. conversion &amp; yield</t>
  </si>
  <si>
    <t xml:space="preserve">bom_peb</t>
  </si>
  <si>
    <t xml:space="preserve">hardware/bom: Pebble Lite (ECR, cloud AI, no DRAM) FOB @10k $62.03. Full-spec Pebble (on-device 1B model) is $125.06 FOB -&gt; negative margin at $149, so CFO base case ships the ECR spec.</t>
  </si>
  <si>
    <t xml:space="preserve">Pebble -- royalties</t>
  </si>
  <si>
    <t xml:space="preserve">asm_peb</t>
  </si>
  <si>
    <t xml:space="preserve">hardware/bom: none (no cellular).</t>
  </si>
  <si>
    <t xml:space="preserve">Pebble -- extra packaging (included in FOB)</t>
  </si>
  <si>
    <t xml:space="preserve">pkg_peb</t>
  </si>
  <si>
    <t xml:space="preserve">Included in hardware/bom FOB.</t>
  </si>
  <si>
    <t xml:space="preserve">Square -- FOB incl. conversion &amp; yield</t>
  </si>
  <si>
    <t xml:space="preserve">bom_sq</t>
  </si>
  <si>
    <t xml:space="preserve">hardware/bom @10k (DRAM priced at 2026-27 shortage levels; normalised DRAM saves ~$20).</t>
  </si>
  <si>
    <t xml:space="preserve">Square -- cellular SEP royalties</t>
  </si>
  <si>
    <t xml:space="preserve">asm_sq</t>
  </si>
  <si>
    <t xml:space="preserve">hardware/bom estimate.</t>
  </si>
  <si>
    <t xml:space="preserve">Square -- extra packaging (included in FOB)</t>
  </si>
  <si>
    <t xml:space="preserve">pkg_sq</t>
  </si>
  <si>
    <t xml:space="preserve">Atlas -- FOB incl. conversion &amp; yield</t>
  </si>
  <si>
    <t xml:space="preserve">bom_atl</t>
  </si>
  <si>
    <t xml:space="preserve">hardware/bom @10k.</t>
  </si>
  <si>
    <t xml:space="preserve">Atlas -- royalties</t>
  </si>
  <si>
    <t xml:space="preserve">asm_atl</t>
  </si>
  <si>
    <t xml:space="preserve">Atlas -- extra packaging (included in FOB)</t>
  </si>
  <si>
    <t xml:space="preserve">pkg_atl</t>
  </si>
  <si>
    <t xml:space="preserve">Inbound freight, insurance &amp; duties (% of FOB)</t>
  </si>
  <si>
    <t xml:space="preserve">freight_duty</t>
  </si>
  <si>
    <t xml:space="preserve">hardware/bom: freight $1.3-2.2/unit; 0% US duty assumes VN/MY FATP (China FATP adds ~20% of FOB -- see sensitivity).</t>
  </si>
  <si>
    <t xml:space="preserve">Warranty reserve (% of HW revenue)</t>
  </si>
  <si>
    <t xml:space="preserve">warranty_pct</t>
  </si>
  <si>
    <t xml:space="preserve">1-2 yr warranty; estimate.</t>
  </si>
  <si>
    <t xml:space="preserve">DTC outbound shipping + 3PL pick/pack per unit</t>
  </si>
  <si>
    <t xml:space="preserve">dtc_ship</t>
  </si>
  <si>
    <t xml:space="preserve">3PL ~$3-4 + ground/intl blend.</t>
  </si>
  <si>
    <t xml:space="preserve">Retail distribution cost per unit</t>
  </si>
  <si>
    <t xml:space="preserve">retail_dist</t>
  </si>
  <si>
    <t xml:space="preserve">Palletised to DC.</t>
  </si>
  <si>
    <t xml:space="preserve">Pre-order (KS) fulfilment cost per unit, net of shipping charged</t>
  </si>
  <si>
    <t xml:space="preserve">ks_fulfil_net</t>
  </si>
  <si>
    <t xml:space="preserve">Backers pay shipping; residual subsidy + 3PL.</t>
  </si>
  <si>
    <t xml:space="preserve">Card processing -- % (DTC)</t>
  </si>
  <si>
    <t xml:space="preserve">pay_pct</t>
  </si>
  <si>
    <t xml:space="preserve">Stripe/Shopify Payments standard 2.9% + $0.30.</t>
  </si>
  <si>
    <t xml:space="preserve">Card processing -- fixed per order</t>
  </si>
  <si>
    <t xml:space="preserve">pay_fixed</t>
  </si>
  <si>
    <t xml:space="preserve">Kickstarter / pre-orders (Q2-2027 campaign; ships Nov-2027 to Jan-2028)</t>
  </si>
  <si>
    <t xml:space="preserve">Kickstarter backer units (base, before scenario)</t>
  </si>
  <si>
    <t xml:space="preserve">ks_units</t>
  </si>
  <si>
    <t xml:space="preserve">units</t>
  </si>
  <si>
    <t xml:space="preserve">~$0.8M raised (Research internal success $750k-1M; public goal $150k).</t>
  </si>
  <si>
    <t xml:space="preserve">Post-campaign pre-order units (BackerKit / website)</t>
  </si>
  <si>
    <t xml:space="preserve">pre_units</t>
  </si>
  <si>
    <t xml:space="preserve">Late pledges typically 15-30% of campaign units.</t>
  </si>
  <si>
    <t xml:space="preserve">Pre-order SKU mix -- Pebble share</t>
  </si>
  <si>
    <t xml:space="preserve">pre_mix_peb</t>
  </si>
  <si>
    <t xml:space="preserve">Research mix 45/40/15.</t>
  </si>
  <si>
    <t xml:space="preserve">Pre-order SKU mix -- Atlas share (Square = remainder)</t>
  </si>
  <si>
    <t xml:space="preserve">pre_mix_atl</t>
  </si>
  <si>
    <t xml:space="preserve">Atlas backers ship Feb-Mar 2028 (separate NTN/camera cert).</t>
  </si>
  <si>
    <t xml:space="preserve">Kickstarter platform fee</t>
  </si>
  <si>
    <t xml:space="preserve">ks_fee</t>
  </si>
  <si>
    <t xml:space="preserve">Kickstarter 5% of funds (https://www.launchboom.com/crowdfunding-tips/how-much-does-kickstarter-charge/)</t>
  </si>
  <si>
    <t xml:space="preserve">Kickstarter payment processing %</t>
  </si>
  <si>
    <t xml:space="preserve">ks_proc</t>
  </si>
  <si>
    <t xml:space="preserve">3% + $0.20 per pledge (https://www.pledgebox.com/post/how-much-does-kickstarter-take)</t>
  </si>
  <si>
    <t xml:space="preserve">Kickstarter processing fixed per pledge</t>
  </si>
  <si>
    <t xml:space="preserve">ks_proc_fixed</t>
  </si>
  <si>
    <t xml:space="preserve">Average units per pledge</t>
  </si>
  <si>
    <t xml:space="preserve">units_per_pledge</t>
  </si>
  <si>
    <t xml:space="preserve">Estimate (two-packs, gifts).</t>
  </si>
  <si>
    <t xml:space="preserve">Subscription -- LORE Pass (COMPANY.md)</t>
  </si>
  <si>
    <t xml:space="preserve">Explorer list price per month</t>
  </si>
  <si>
    <t xml:space="preserve">sub_price</t>
  </si>
  <si>
    <t xml:space="preserve">$/mo</t>
  </si>
  <si>
    <t xml:space="preserve">COMPANY.md.</t>
  </si>
  <si>
    <t xml:space="preserve">Realised ARPU as % of list (annual-plan discount, promos)</t>
  </si>
  <si>
    <t xml:space="preserve">arpu_real</t>
  </si>
  <si>
    <t xml:space="preserve">~40% on Research-recommended $79/yr annual plan.</t>
  </si>
  <si>
    <t xml:space="preserve">Free Explorer trial included with every device</t>
  </si>
  <si>
    <t xml:space="preserve">trial_months</t>
  </si>
  <si>
    <t xml:space="preserve">months</t>
  </si>
  <si>
    <t xml:space="preserve">Post-trial paid attach -- Pebble</t>
  </si>
  <si>
    <t xml:space="preserve">attach_peb</t>
  </si>
  <si>
    <t xml:space="preserve">Pebble ships as cloud-AI (ECR) spec, so unlimited live AI needs the Pass; no eSIM. Hardware-subscription comps: Whoop/Oura are mandatory/near-mandatory; ours is optional.</t>
  </si>
  <si>
    <t xml:space="preserve">Post-trial paid attach -- Square</t>
  </si>
  <si>
    <t xml:space="preserve">attach_sq</t>
  </si>
  <si>
    <t xml:space="preserve">eSIM data makes Pass the natural default.</t>
  </si>
  <si>
    <t xml:space="preserve">Post-trial paid attach -- Atlas</t>
  </si>
  <si>
    <t xml:space="preserve">attach_atl</t>
  </si>
  <si>
    <t xml:space="preserve">Premium buyer; satellite SOS.</t>
  </si>
  <si>
    <t xml:space="preserve">Monthly churn of paid Explorer subs (base)</t>
  </si>
  <si>
    <t xml:space="preserve">churn</t>
  </si>
  <si>
    <t xml:space="preserve">%/mo</t>
  </si>
  <si>
    <t xml:space="preserve">Consumer subscription apps lose most subs in month 1; travel is seasonal (https://www.revenuecat.com/state-of-subscription-apps-2025). Annualised ~52%.</t>
  </si>
  <si>
    <t xml:space="preserve">Trip Pass price (14 days, 5 GB)</t>
  </si>
  <si>
    <t xml:space="preserve">trip_price</t>
  </si>
  <si>
    <t xml:space="preserve">Blend: 85% $29 (14d/5GB) + 15% $49 (30d/10GB) (Research).</t>
  </si>
  <si>
    <t xml:space="preserve">Trip Pass purchase rate per month (non-paying eSIM devices)</t>
  </si>
  <si>
    <t xml:space="preserve">trip_rate</t>
  </si>
  <si>
    <t xml:space="preserve">/mo</t>
  </si>
  <si>
    <t xml:space="preserve">~0.36 trips/yr bought by non-subscribers; estimate.</t>
  </si>
  <si>
    <t xml:space="preserve">Device inactivity (abandonment) rate per month</t>
  </si>
  <si>
    <t xml:space="preserve">device_inactive</t>
  </si>
  <si>
    <t xml:space="preserve">~22%/yr of installed base goes dormant.</t>
  </si>
  <si>
    <t xml:space="preserve">Accessories, affiliate, B2B fleet</t>
  </si>
  <si>
    <t xml:space="preserve">Accessory attach (orders per device sold)</t>
  </si>
  <si>
    <t xml:space="preserve">acc_attach</t>
  </si>
  <si>
    <t xml:space="preserve">orders/unit</t>
  </si>
  <si>
    <t xml:space="preserve">LORE Kit: clip, lanyard, dock, case, Buds.</t>
  </si>
  <si>
    <t xml:space="preserve">Accessory average order value</t>
  </si>
  <si>
    <t xml:space="preserve">acc_aov</t>
  </si>
  <si>
    <t xml:space="preserve">Mix of $19-39 straps/cases/docks and $129 LORE Buds (Research price).</t>
  </si>
  <si>
    <t xml:space="preserve">Accessory COGS (% of revenue)</t>
  </si>
  <si>
    <t xml:space="preserve">acc_cogs_pct</t>
  </si>
  <si>
    <t xml:space="preserve">Accessories typically 55-70% GM.</t>
  </si>
  <si>
    <t xml:space="preserve">B2B fleet rental fee per device per month</t>
  </si>
  <si>
    <t xml:space="preserve">fleet_fee</t>
  </si>
  <si>
    <t xml:space="preserve">$/unit/mo</t>
  </si>
  <si>
    <t xml:space="preserve">Hostels/tour operators re-rent at ~$5-8/day.</t>
  </si>
  <si>
    <t xml:space="preserve">Fleet device cost (capitalised)</t>
  </si>
  <si>
    <t xml:space="preserve">fleet_unit_cost</t>
  </si>
  <si>
    <t xml:space="preserve">$/unit</t>
  </si>
  <si>
    <t xml:space="preserve">Blend of Pebble/Square landed cost + rugged case.</t>
  </si>
  <si>
    <t xml:space="preserve">Fleet cloud + data cost per device per month</t>
  </si>
  <si>
    <t xml:space="preserve">fleet_cloud</t>
  </si>
  <si>
    <t xml:space="preserve">Fleet device replacement / loss rate per month</t>
  </si>
  <si>
    <t xml:space="preserve">fleet_replace</t>
  </si>
  <si>
    <t xml:space="preserve">Cloud / AI COGS per paid user-month (2027-28 prices; deflation thereafter)</t>
  </si>
  <si>
    <t xml:space="preserve">LLM inference (live Q&amp;A, ~150 queries/mo)</t>
  </si>
  <si>
    <t xml:space="preserve">llm_cost</t>
  </si>
  <si>
    <t xml:space="preserve">$/user-mo</t>
  </si>
  <si>
    <t xml:space="preserve">~300k in / 45k out tokens on a Flash-class model: $0.30/M in, $2.50/M out (https://www.morphllm.com/gemini-api-pricing).</t>
  </si>
  <si>
    <t xml:space="preserve">Speech-to-text</t>
  </si>
  <si>
    <t xml:space="preserve">stt_cost</t>
  </si>
  <si>
    <t xml:space="preserve">~25 min/mo at ~$0.006/min.</t>
  </si>
  <si>
    <t xml:space="preserve">Cloud neural TTS (stories pre-rendered &amp; cached; live answers only)</t>
  </si>
  <si>
    <t xml:space="preserve">tts_cost</t>
  </si>
  <si>
    <t xml:space="preserve">~45k chars at ~$0.016/1k (standard neural); premium ElevenLabs $0.04-0.10/1k would be 3-6x (https://developer.puter.com/tutorials/elevenlabs-api-pricing/).</t>
  </si>
  <si>
    <t xml:space="preserve">Infra: hosting, maps/places API, observability</t>
  </si>
  <si>
    <t xml:space="preserve">infra_cost</t>
  </si>
  <si>
    <t xml:space="preserve">Data used per Explorer eSIM user per month</t>
  </si>
  <si>
    <t xml:space="preserve">data_gb_used</t>
  </si>
  <si>
    <t xml:space="preserve">GB</t>
  </si>
  <si>
    <t xml:space="preserve">1 GB allowance; most users under-consume.</t>
  </si>
  <si>
    <t xml:space="preserve">Wholesale eSIM data cost per GB (blended global)</t>
  </si>
  <si>
    <t xml:space="preserve">data_cost_gb</t>
  </si>
  <si>
    <t xml:space="preserve">$/GB</t>
  </si>
  <si>
    <t xml:space="preserve">Wholesale lists ~EUR2.5/GB small-volume, ~$1.85/GB illustrative blend (https://simology.io/blog/wholesale-pricing-forecasting-volume-tiers-commitments-and-margins); target with MVNE at volume.</t>
  </si>
  <si>
    <t xml:space="preserve">Billing fees on subscriptions (blend web checkout + app stores)</t>
  </si>
  <si>
    <t xml:space="preserve">sub_pay_fee</t>
  </si>
  <si>
    <t xml:space="preserve">% of rev</t>
  </si>
  <si>
    <t xml:space="preserve">Web checkout ~3%, app stores 15%; blended.</t>
  </si>
  <si>
    <t xml:space="preserve">Free-tier / offline active device cost per month</t>
  </si>
  <si>
    <t xml:space="preserve">free_cost</t>
  </si>
  <si>
    <t xml:space="preserve">$/device-mo</t>
  </si>
  <si>
    <t xml:space="preserve">Pack downloads, basic narration.</t>
  </si>
  <si>
    <t xml:space="preserve">Trip Pass data actually used</t>
  </si>
  <si>
    <t xml:space="preserve">trip_data_gb</t>
  </si>
  <si>
    <t xml:space="preserve">Half of the 5 GB allowance.</t>
  </si>
  <si>
    <t xml:space="preserve">Trip Pass AI cost</t>
  </si>
  <si>
    <t xml:space="preserve">trip_ai</t>
  </si>
  <si>
    <t xml:space="preserve">$/pass</t>
  </si>
  <si>
    <t xml:space="preserve">AI unit-cost deflation per year (from 2029)</t>
  </si>
  <si>
    <t xml:space="preserve">ai_defl</t>
  </si>
  <si>
    <t xml:space="preserve">Token prices have fallen &gt;50%/yr historically; conservative.</t>
  </si>
  <si>
    <t xml:space="preserve">Data cost deflation per year (from 2029)</t>
  </si>
  <si>
    <t xml:space="preserve">data_defl</t>
  </si>
  <si>
    <t xml:space="preserve">Working capital</t>
  </si>
  <si>
    <t xml:space="preserve">ODM deposit at PO (% of landed cost)</t>
  </si>
  <si>
    <t xml:space="preserve">odm_dep</t>
  </si>
  <si>
    <t xml:space="preserve">30/70 is the common opening term (https://harris-sliwoski.com/chinalawblog/china-manufacturing-payment-terms/).</t>
  </si>
  <si>
    <t xml:space="preserve">Deposit paid N months before shipment month</t>
  </si>
  <si>
    <t xml:space="preserve">dep_lead</t>
  </si>
  <si>
    <t xml:space="preserve">Component lead time (LTE modules, AMOLED).</t>
  </si>
  <si>
    <t xml:space="preserve">Balance (70%) paid N months before shipment month</t>
  </si>
  <si>
    <t xml:space="preserve">bal_lead</t>
  </si>
  <si>
    <t xml:space="preserve">Against B/L, ~4-5 wk ocean.</t>
  </si>
  <si>
    <t xml:space="preserve">Inventory days (annual years FY29+)</t>
  </si>
  <si>
    <t xml:space="preserve">inv_days</t>
  </si>
  <si>
    <t xml:space="preserve">days of HW COGS</t>
  </si>
  <si>
    <t xml:space="preserve">Retail receivable days</t>
  </si>
  <si>
    <t xml:space="preserve">ar_days</t>
  </si>
  <si>
    <t xml:space="preserve">days</t>
  </si>
  <si>
    <t xml:space="preserve">Net-45 typical for big-box / Amazon vendor.</t>
  </si>
  <si>
    <t xml:space="preserve">Sales &amp; marketing</t>
  </si>
  <si>
    <t xml:space="preserve">Retail co-op / MDF / displays (% of retail HW revenue)</t>
  </si>
  <si>
    <t xml:space="preserve">retail_coop</t>
  </si>
  <si>
    <t xml:space="preserve">TIME-SERIES INPUTS (blue) -- monthly Nov-26..Dec-28, then FY2029-FY2031</t>
  </si>
  <si>
    <t xml:space="preserve">Period</t>
  </si>
  <si>
    <t xml:space="preserve">Regular unit sales, all SKUs (DTC + retail), base</t>
  </si>
  <si>
    <t xml:space="preserve">reg_units</t>
  </si>
  <si>
    <t xml:space="preserve">Research final units: 5k 2027 (all pre-orders), 40k 2028, 120k 2029, 250k 2030; 400k 2031 (Research SOM table).</t>
  </si>
  <si>
    <t xml:space="preserve">Pre-order units shipped (% of total pre-orders)</t>
  </si>
  <si>
    <t xml:space="preserve">pre_ship_pct</t>
  </si>
  <si>
    <t xml:space="preserve">Q4-2027 first shipments (COMPANY.md).</t>
  </si>
  <si>
    <t xml:space="preserve">Pre-order cash collected (% of total pre-orders)</t>
  </si>
  <si>
    <t xml:space="preserve">pre_collect_pct</t>
  </si>
  <si>
    <t xml:space="preserve">KS campaign May-2027, payout ~14 days after close = Jun-2027; late pledges Jul-Oct.</t>
  </si>
  <si>
    <t xml:space="preserve">Atlas pre-order units shipped (% of Atlas pre-orders)</t>
  </si>
  <si>
    <t xml:space="preserve">pre_ship_atl</t>
  </si>
  <si>
    <t xml:space="preserve">Atlas ships ~3 months after Pebble/Square.</t>
  </si>
  <si>
    <t xml:space="preserve">Retail / wholesale share of regular units</t>
  </si>
  <si>
    <t xml:space="preserve">retail_share</t>
  </si>
  <si>
    <t xml:space="preserve">Retail from 2028 (COMPANY.md). DTC-led (Oura/Whoop-style) because retail margin on Square is thin at BOM-reconciled COGS.</t>
  </si>
  <si>
    <t xml:space="preserve">SKU mix of regular units -- Pebble</t>
  </si>
  <si>
    <t xml:space="preserve">mix_peb</t>
  </si>
  <si>
    <t xml:space="preserve">SKU mix of regular units -- Square</t>
  </si>
  <si>
    <t xml:space="preserve">mix_sq</t>
  </si>
  <si>
    <t xml:space="preserve">SKU mix of regular units -- Atlas (regular sales from Apr-2028)</t>
  </si>
  <si>
    <t xml:space="preserve">mix_atl</t>
  </si>
  <si>
    <t xml:space="preserve">B2B fleet devices deployed (end of period)</t>
  </si>
  <si>
    <t xml:space="preserve">fleet_end</t>
  </si>
  <si>
    <t xml:space="preserve">Hostels &amp; tour operators.</t>
  </si>
  <si>
    <t xml:space="preserve">Landed-COGS index (learning curve / volume)</t>
  </si>
  <si>
    <t xml:space="preserve">cogs_index</t>
  </si>
  <si>
    <t xml:space="preserve">hardware/bom: 10k-&gt;100k tier ratio ~0.79-0.81 for all SKUs; H2-2028 0.95 = DRAM normalisation (Square normalised $206 vs $227).</t>
  </si>
  <si>
    <t xml:space="preserve">Affiliate booking revenue per active device per month</t>
  </si>
  <si>
    <t xml:space="preserve">affiliate_rate</t>
  </si>
  <si>
    <t xml:space="preserve">Tours/hotels/restaurants commissions (~8% tours, ~4-6% hotels) on in-app bookings.</t>
  </si>
  <si>
    <t xml:space="preserve">Paid CAC per regular DTC unit (before scenario)</t>
  </si>
  <si>
    <t xml:space="preserve">cac</t>
  </si>
  <si>
    <t xml:space="preserve">Consumer electronics CAC ~$76-120 across all channels (https://tenten.co/shopify/d2c-cac-benchmarks-2026/); ours lower as KS community + PR + affiliates drive a share.</t>
  </si>
  <si>
    <t xml:space="preserve">Kickstarter pre-launch &amp; campaign marketing</t>
  </si>
  <si>
    <t xml:space="preserve">ks_mkt</t>
  </si>
  <si>
    <t xml:space="preserve">Video, ads to build ~20-25k email leads, PR, agency (LaunchBoom/Jellop-type retainers).</t>
  </si>
  <si>
    <t xml:space="preserve">Brand, content, PR &amp; events (non-paid-acquisition)</t>
  </si>
  <si>
    <t xml:space="preserve">brand_mkt</t>
  </si>
  <si>
    <t xml:space="preserve">R&amp;D: ID / ME / CMF design agency</t>
  </si>
  <si>
    <t xml:space="preserve">nre_id</t>
  </si>
  <si>
    <t xml:space="preserve">R&amp;D: ODM engineering NRE (EVT/DVT/PVT)</t>
  </si>
  <si>
    <t xml:space="preserve">nre_odm</t>
  </si>
  <si>
    <t xml:space="preserve">Pebble+Square 2027; Atlas 2028; Gen-2 2029+.</t>
  </si>
  <si>
    <t xml:space="preserve">R&amp;D: prototype builds (EVT 50u, DVT 150u, PVT)</t>
  </si>
  <si>
    <t xml:space="preserve">nre_proto</t>
  </si>
  <si>
    <t xml:space="preserve">Q1-2027: 50 EVT units (COMPANY.md).</t>
  </si>
  <si>
    <t xml:space="preserve">R&amp;D: certification (FCC/CE/UKCA/IC, PTCRB/GCF, carrier, NTN)</t>
  </si>
  <si>
    <t xml:space="preserve">nre_cert</t>
  </si>
  <si>
    <t xml:space="preserve">hardware/bom NRE: cert Pebble Lite $140k + Square $485k + Atlas $640k, all in H2-2027.</t>
  </si>
  <si>
    <t xml:space="preserve">R&amp;D: City Pack content (fact-checking, data licences, editors' contracts)</t>
  </si>
  <si>
    <t xml:space="preserve">nre_content</t>
  </si>
  <si>
    <t xml:space="preserve">~$25k per new city; 20 cities in 2028 (COMPANY.md), +30/+40/+50 per year after.</t>
  </si>
  <si>
    <t xml:space="preserve">R&amp;D: dev tools, cloud dev/test, on-device model fine-tuning compute</t>
  </si>
  <si>
    <t xml:space="preserve">nre_sw</t>
  </si>
  <si>
    <t xml:space="preserve">Capex: production tooling &amp; test fixtures</t>
  </si>
  <si>
    <t xml:space="preserve">tooling</t>
  </si>
  <si>
    <t xml:space="preserve">hardware/bom: tooling+fixtures Pebble Lite $130k, Square $235k, Atlas $330k.</t>
  </si>
  <si>
    <t xml:space="preserve">G&amp;A non-personnel (legal, IP, accounting, insurance, office, SaaS)</t>
  </si>
  <si>
    <t xml:space="preserve">ga_other</t>
  </si>
  <si>
    <t xml:space="preserve">Incl. SAFE/seed legal, provisional patents, D&amp;O + product liability insurance.</t>
  </si>
  <si>
    <t xml:space="preserve">Scenarios -- set the selector (1 = Bear, 2 = Base, 3 = Bull). Every sheet recalculates.</t>
  </si>
  <si>
    <t xml:space="preserve">ACTIVE SCENARIO (1/2/3)</t>
  </si>
  <si>
    <t xml:space="preserve">Driver</t>
  </si>
  <si>
    <t xml:space="preserve">Bear</t>
  </si>
  <si>
    <t xml:space="preserve">Base</t>
  </si>
  <si>
    <t xml:space="preserve">Bull</t>
  </si>
  <si>
    <t xml:space="preserve">LIVE</t>
  </si>
  <si>
    <t xml:space="preserve">What it does / rationale</t>
  </si>
  <si>
    <t xml:space="preserve">Unit volume multiplier (KS + regular sales)</t>
  </si>
  <si>
    <t xml:space="preserve">sc_vol</t>
  </si>
  <si>
    <t xml:space="preserve">Bear ~ a mid-sized KS ($0.55M) and slow retail; bull ~ breakout KS + strong retail sell-through.</t>
  </si>
  <si>
    <t xml:space="preserve">Hardware &amp; subscription price multiplier</t>
  </si>
  <si>
    <t xml:space="preserve">sc_price</t>
  </si>
  <si>
    <t xml:space="preserve">Bear assumes ~7% deeper promotions / price cuts.</t>
  </si>
  <si>
    <t xml:space="preserve">Subscription attach multiplier</t>
  </si>
  <si>
    <t xml:space="preserve">sc_attach</t>
  </si>
  <si>
    <t xml:space="preserve">Applied to post-trial paid conversion per SKU.</t>
  </si>
  <si>
    <t xml:space="preserve">Subscription churn multiplier</t>
  </si>
  <si>
    <t xml:space="preserve">sc_churn</t>
  </si>
  <si>
    <t xml:space="preserve">Bear 7.8%/mo, base 6.0%/mo, bull 4.8%/mo.</t>
  </si>
  <si>
    <t xml:space="preserve">Landed COGS multiplier</t>
  </si>
  <si>
    <t xml:space="preserve">sc_cogs</t>
  </si>
  <si>
    <t xml:space="preserve">Bear: memory price spike / tariffs; bull: better ODM quote.</t>
  </si>
  <si>
    <t xml:space="preserve">CAC / paid-acquisition multiplier</t>
  </si>
  <si>
    <t xml:space="preserve">sc_cac</t>
  </si>
  <si>
    <t xml:space="preserve">Applied to paid CAC per DTC unit.</t>
  </si>
  <si>
    <t xml:space="preserve">SCENARIO SNAPSHOT (static values written by scripts/run_all.py after LibreOffice recalc of each scenario; re-run the script after changing inputs)</t>
  </si>
  <si>
    <t xml:space="preserve">Metric</t>
  </si>
  <si>
    <t xml:space="preserve">Scenario</t>
  </si>
  <si>
    <t xml:space="preserve">FY2026</t>
  </si>
  <si>
    <t xml:space="preserve">Revenue</t>
  </si>
  <si>
    <t xml:space="preserve">Min cash (with planned rounds) / peak cumulative burn / first EBITDA+ FY</t>
  </si>
  <si>
    <t xml:space="preserve">after FY31</t>
  </si>
  <si>
    <t xml:space="preserve">Pricing &amp; SKU mix -- units by SKU and channel</t>
  </si>
  <si>
    <t xml:space="preserve">FY2026 (Nov-Dec)</t>
  </si>
  <si>
    <t xml:space="preserve">Year</t>
  </si>
  <si>
    <t xml:space="preserve">Months in period</t>
  </si>
  <si>
    <t xml:space="preserve">Period start</t>
  </si>
  <si>
    <t xml:space="preserve">Period key</t>
  </si>
  <si>
    <t xml:space="preserve">Prices ($/unit)</t>
  </si>
  <si>
    <t xml:space="preserve">MSRP -- Pebble</t>
  </si>
  <si>
    <t xml:space="preserve">MSRP -- Square</t>
  </si>
  <si>
    <t xml:space="preserve">MSRP -- Atlas</t>
  </si>
  <si>
    <t xml:space="preserve">DTC net price -- Pebble</t>
  </si>
  <si>
    <t xml:space="preserve">DTC net price -- Square</t>
  </si>
  <si>
    <t xml:space="preserve">DTC net price -- Atlas</t>
  </si>
  <si>
    <t xml:space="preserve">Retail sell-in price -- Pebble</t>
  </si>
  <si>
    <t xml:space="preserve">Retail sell-in price -- Square</t>
  </si>
  <si>
    <t xml:space="preserve">Retail sell-in price -- Atlas</t>
  </si>
  <si>
    <t xml:space="preserve">Pre-order blended price -- Pebble</t>
  </si>
  <si>
    <t xml:space="preserve">Pre-order blended price -- Square</t>
  </si>
  <si>
    <t xml:space="preserve">Pre-order blended price -- Atlas</t>
  </si>
  <si>
    <t xml:space="preserve">Units</t>
  </si>
  <si>
    <t xml:space="preserve">Regular units sold (after scenario)</t>
  </si>
  <si>
    <t xml:space="preserve">Mix -- Pebble</t>
  </si>
  <si>
    <t xml:space="preserve">Mix -- Square</t>
  </si>
  <si>
    <t xml:space="preserve">Mix -- Atlas</t>
  </si>
  <si>
    <t xml:space="preserve">Retail share</t>
  </si>
  <si>
    <t xml:space="preserve">DTC units -- Pebble</t>
  </si>
  <si>
    <t xml:space="preserve">DTC units -- Square</t>
  </si>
  <si>
    <t xml:space="preserve">DTC units -- Atlas</t>
  </si>
  <si>
    <t xml:space="preserve">Retail units -- Pebble</t>
  </si>
  <si>
    <t xml:space="preserve">Retail units -- Square</t>
  </si>
  <si>
    <t xml:space="preserve">Retail units -- Atlas</t>
  </si>
  <si>
    <t xml:space="preserve">Pre-order units shipped -- Pebble</t>
  </si>
  <si>
    <t xml:space="preserve">Pre-order units shipped -- Square</t>
  </si>
  <si>
    <t xml:space="preserve">Pre-order units shipped -- Atlas</t>
  </si>
  <si>
    <t xml:space="preserve">Pre-order (KS + late pledge) units shipped</t>
  </si>
  <si>
    <t xml:space="preserve">Total units shipped -- Pebble</t>
  </si>
  <si>
    <t xml:space="preserve">Total units shipped -- Square</t>
  </si>
  <si>
    <t xml:space="preserve">Total units shipped -- Atlas</t>
  </si>
  <si>
    <t xml:space="preserve">TOTAL UNITS SHIPPED</t>
  </si>
  <si>
    <t xml:space="preserve">DTC regular units</t>
  </si>
  <si>
    <t xml:space="preserve">Retail units</t>
  </si>
  <si>
    <t xml:space="preserve">Cumulative units shipped</t>
  </si>
  <si>
    <t xml:space="preserve">Unit economics per SKU -- FY2028 basis (live). DTC = direct web/app sale; Retail = sell-in to retailer.</t>
  </si>
  <si>
    <t xml:space="preserve">Pebble DTC</t>
  </si>
  <si>
    <t xml:space="preserve">Square DTC</t>
  </si>
  <si>
    <t xml:space="preserve">Atlas DTC</t>
  </si>
  <si>
    <t xml:space="preserve">Pebble Retail</t>
  </si>
  <si>
    <t xml:space="preserve">Square Retail</t>
  </si>
  <si>
    <t xml:space="preserve">Atlas Retail</t>
  </si>
  <si>
    <t xml:space="preserve">Notes</t>
  </si>
  <si>
    <t xml:space="preserve">MSRP</t>
  </si>
  <si>
    <t xml:space="preserve">Discount / retailer margin</t>
  </si>
  <si>
    <t xml:space="preserve">DTC promo vs retailer margin.</t>
  </si>
  <si>
    <t xml:space="preserve">Returns allowance</t>
  </si>
  <si>
    <t xml:space="preserve">Net revenue per unit</t>
  </si>
  <si>
    <t xml:space="preserve">Landed COGS (BOM + assembly + pack + freight/duty)</t>
  </si>
  <si>
    <t xml:space="preserve">2027-28 cost basis (index 1.00).</t>
  </si>
  <si>
    <t xml:space="preserve">Fulfilment / distribution</t>
  </si>
  <si>
    <t xml:space="preserve">Payment processing</t>
  </si>
  <si>
    <t xml:space="preserve">Warranty reserve</t>
  </si>
  <si>
    <t xml:space="preserve">Hardware gross profit per unit</t>
  </si>
  <si>
    <t xml:space="preserve">Acquisition cost (paid CAC DTC; co-op for retail)</t>
  </si>
  <si>
    <t xml:space="preserve">FY2028 CAC.</t>
  </si>
  <si>
    <t xml:space="preserve">Hardware contribution after acquisition</t>
  </si>
  <si>
    <t xml:space="preserve">Accessories gross profit per device</t>
  </si>
  <si>
    <t xml:space="preserve">Free 3-month trial cost (cloud)</t>
  </si>
  <si>
    <t xml:space="preserve">Every device gets 3 months of Explorer.</t>
  </si>
  <si>
    <t xml:space="preserve">Paid attach after trial</t>
  </si>
  <si>
    <t xml:space="preserve">Subscription gross profit per paid month</t>
  </si>
  <si>
    <t xml:space="preserve">Expected paid lifetime (months) = 1/churn</t>
  </si>
  <si>
    <t xml:space="preserve">Subscription LTV (gross profit, undiscounted)</t>
  </si>
  <si>
    <t xml:space="preserve">Affiliate gross profit over device life</t>
  </si>
  <si>
    <t xml:space="preserve">Rate x expected active life (1/inactivity).</t>
  </si>
  <si>
    <t xml:space="preserve">TOTAL LIFETIME CONTRIBUTION PER DEVICE</t>
  </si>
  <si>
    <t xml:space="preserve">Lifetime contribution / acquisition cost (LTV:CAC)</t>
  </si>
  <si>
    <t xml:space="preserve">Contribution before CAC divided by CAC.</t>
  </si>
  <si>
    <t xml:space="preserve">Payback on CAC (months after purchase)</t>
  </si>
  <si>
    <t xml:space="preserve">0 = paid back at sale by hardware margin.</t>
  </si>
  <si>
    <t xml:space="preserve">Sensitivity: DTC hardware gross margin % by price (rows) and landed-COGS change (cols)</t>
  </si>
  <si>
    <t xml:space="preserve">Pebble: price \ COGS delta</t>
  </si>
  <si>
    <t xml:space="preserve">Square: price \ COGS delta</t>
  </si>
  <si>
    <t xml:space="preserve">Atlas: price \ COGS delta</t>
  </si>
  <si>
    <t xml:space="preserve">LORE Pass subscription model -- trial -&gt; paid conversion, churn, ARPU, installed base</t>
  </si>
  <si>
    <t xml:space="preserve">Conversion pipeline</t>
  </si>
  <si>
    <t xml:space="preserve">Devices shipped (each gets a 3-month Explorer trial)</t>
  </si>
  <si>
    <t xml:space="preserve">Expected paid conversions from this period's devices</t>
  </si>
  <si>
    <t xml:space="preserve">subs</t>
  </si>
  <si>
    <t xml:space="preserve">Weighted attach rate (after scenario)</t>
  </si>
  <si>
    <t xml:space="preserve">New paid Explorer subscribers (trial ends)</t>
  </si>
  <si>
    <t xml:space="preserve">Monthly churn (after scenario)</t>
  </si>
  <si>
    <t xml:space="preserve">Paid subscriber roll-forward</t>
  </si>
  <si>
    <t xml:space="preserve">Beginning paid subs</t>
  </si>
  <si>
    <t xml:space="preserve">Churned subs</t>
  </si>
  <si>
    <t xml:space="preserve">Ending paid subs</t>
  </si>
  <si>
    <t xml:space="preserve">Average paid subs in period</t>
  </si>
  <si>
    <t xml:space="preserve">Paid subscriber-months</t>
  </si>
  <si>
    <t xml:space="preserve">sub-mo</t>
  </si>
  <si>
    <t xml:space="preserve">Realised ARPU per paid sub-month</t>
  </si>
  <si>
    <t xml:space="preserve">Subscription revenue (Explorer)</t>
  </si>
  <si>
    <t xml:space="preserve">Subscription ARR at period end (ending subs x ARPU x 12)</t>
  </si>
  <si>
    <t xml:space="preserve">Trials &amp; installed base</t>
  </si>
  <si>
    <t xml:space="preserve">Trial user-months (devices inside their free 3 months)</t>
  </si>
  <si>
    <t xml:space="preserve">user-mo</t>
  </si>
  <si>
    <t xml:space="preserve">Active devices -- beginning</t>
  </si>
  <si>
    <t xml:space="preserve">devices</t>
  </si>
  <si>
    <t xml:space="preserve">Active devices -- ending</t>
  </si>
  <si>
    <t xml:space="preserve">Active devices -- average</t>
  </si>
  <si>
    <t xml:space="preserve">Active device-months</t>
  </si>
  <si>
    <t xml:space="preserve">dev-mo</t>
  </si>
  <si>
    <t xml:space="preserve">eSIM device share (Square + Atlas, period mix)</t>
  </si>
  <si>
    <t xml:space="preserve">Free-tier device-months (active, not paying, not in trial)</t>
  </si>
  <si>
    <t xml:space="preserve">Trip Passes sold</t>
  </si>
  <si>
    <t xml:space="preserve">passes</t>
  </si>
  <si>
    <t xml:space="preserve">Trip Pass revenue</t>
  </si>
  <si>
    <t xml:space="preserve">Paid subs as % of active devices (end)</t>
  </si>
  <si>
    <t xml:space="preserve">Revenue build by stream</t>
  </si>
  <si>
    <t xml:space="preserve">Hardware</t>
  </si>
  <si>
    <t xml:space="preserve">Hardware -- DTC (web/app)</t>
  </si>
  <si>
    <t xml:space="preserve">Hardware -- retail / wholesale (sell-in)</t>
  </si>
  <si>
    <t xml:space="preserve">Hardware -- Kickstarter / pre-orders (recognised on shipment)</t>
  </si>
  <si>
    <t xml:space="preserve">Gross hardware revenue</t>
  </si>
  <si>
    <t xml:space="preserve">Less: returns &amp; refunds allowance</t>
  </si>
  <si>
    <t xml:space="preserve">Net hardware revenue</t>
  </si>
  <si>
    <t xml:space="preserve">Recurring &amp; other</t>
  </si>
  <si>
    <t xml:space="preserve">Subscriptions -- LORE Pass Explorer</t>
  </si>
  <si>
    <t xml:space="preserve">Subscriptions -- Trip Pass</t>
  </si>
  <si>
    <t xml:space="preserve">Accessories (LORE Kit)</t>
  </si>
  <si>
    <t xml:space="preserve">Affiliate bookings (hotels, tours, restaurants)</t>
  </si>
  <si>
    <t xml:space="preserve">B2B fleet devices -- average deployed</t>
  </si>
  <si>
    <t xml:space="preserve">B2B fleet rental</t>
  </si>
  <si>
    <t xml:space="preserve">TOTAL REVENUE</t>
  </si>
  <si>
    <t xml:space="preserve">Recurring revenue (subs + trip + fleet)</t>
  </si>
  <si>
    <t xml:space="preserve">Recurring share of revenue</t>
  </si>
  <si>
    <t xml:space="preserve">Hardware &amp; accessory COGS (landed) + fulfilment</t>
  </si>
  <si>
    <t xml:space="preserve">Landed cost per unit -- Pebble</t>
  </si>
  <si>
    <t xml:space="preserve">Landed cost per unit -- Square</t>
  </si>
  <si>
    <t xml:space="preserve">Landed cost per unit -- Atlas</t>
  </si>
  <si>
    <t xml:space="preserve">Product landed cost (units x landed)</t>
  </si>
  <si>
    <t xml:space="preserve">Fulfilment &amp; outbound logistics</t>
  </si>
  <si>
    <t xml:space="preserve">DTC card processing</t>
  </si>
  <si>
    <t xml:space="preserve">HARDWARE COGS</t>
  </si>
  <si>
    <t xml:space="preserve">Accessories COGS</t>
  </si>
  <si>
    <t xml:space="preserve">Cloud / AI / data COGS per active user</t>
  </si>
  <si>
    <t xml:space="preserve">AI unit-cost index</t>
  </si>
  <si>
    <t xml:space="preserve">Data unit-cost index</t>
  </si>
  <si>
    <t xml:space="preserve">Cost per paid (or trial) user-month</t>
  </si>
  <si>
    <t xml:space="preserve">Cost per Trip Pass</t>
  </si>
  <si>
    <t xml:space="preserve">Paid subscribers: AI + data + infra</t>
  </si>
  <si>
    <t xml:space="preserve">Subscription billing fees</t>
  </si>
  <si>
    <t xml:space="preserve">Trial users (3 free months)</t>
  </si>
  <si>
    <t xml:space="preserve">Free-tier devices</t>
  </si>
  <si>
    <t xml:space="preserve">Trip Passes</t>
  </si>
  <si>
    <t xml:space="preserve">B2B fleet devices</t>
  </si>
  <si>
    <t xml:space="preserve">TOTAL CLOUD / AI / DATA COGS</t>
  </si>
  <si>
    <t xml:space="preserve">Cloud COGS per active device-month</t>
  </si>
  <si>
    <t xml:space="preserve">Subscription gross margin (Explorer + Trip Pass, excl. trial &amp; free)</t>
  </si>
  <si>
    <t xml:space="preserve">Headcount plan -- roles, start month, base salary (blue = input). Burden &amp; inflation from Assumptions.</t>
  </si>
  <si>
    <t xml:space="preserve">Role</t>
  </si>
  <si>
    <t xml:space="preserve">Dept</t>
  </si>
  <si>
    <t xml:space="preserve">Count</t>
  </si>
  <si>
    <t xml:space="preserve">Start month</t>
  </si>
  <si>
    <t xml:space="preserve">Base salary ($/yr)</t>
  </si>
  <si>
    <t xml:space="preserve">Note</t>
  </si>
  <si>
    <t xml:space="preserve">Founder &amp; CEO (Nimit Jain)</t>
  </si>
  <si>
    <t xml:space="preserve">G&amp;A</t>
  </si>
  <si>
    <t xml:space="preserve">Below-market founder salary until seed.</t>
  </si>
  <si>
    <t xml:space="preserve">Founding Eng -- Embedded / firmware</t>
  </si>
  <si>
    <t xml:space="preserve">R&amp;D</t>
  </si>
  <si>
    <t xml:space="preserve">Founding Eng -- AI / story engine</t>
  </si>
  <si>
    <t xml:space="preserve">Founding Eng -- mobile app / backend</t>
  </si>
  <si>
    <t xml:space="preserve">Hardware lead (systems/EE, ODM mgmt)</t>
  </si>
  <si>
    <t xml:space="preserve">Community &amp; Kickstarter lead</t>
  </si>
  <si>
    <t xml:space="preserve">S&amp;M</t>
  </si>
  <si>
    <t xml:space="preserve">Content editor / historian (City Packs)</t>
  </si>
  <si>
    <t xml:space="preserve">Fact-checked stories w/ sources.</t>
  </si>
  <si>
    <t xml:space="preserve">Head of operations &amp; supply chain</t>
  </si>
  <si>
    <t xml:space="preserve">Ops &amp; CS</t>
  </si>
  <si>
    <t xml:space="preserve">Seed hire.</t>
  </si>
  <si>
    <t xml:space="preserve">Firmware engineer #2</t>
  </si>
  <si>
    <t xml:space="preserve">Map Vision / sensor-fusion engineer</t>
  </si>
  <si>
    <t xml:space="preserve">Product designer (device + app UX)</t>
  </si>
  <si>
    <t xml:space="preserve">Customer support lead</t>
  </si>
  <si>
    <t xml:space="preserve">Growth marketing manager</t>
  </si>
  <si>
    <t xml:space="preserve">Finance &amp; ops manager / controller</t>
  </si>
  <si>
    <t xml:space="preserve">Backend / cloud engineer</t>
  </si>
  <si>
    <t xml:space="preserve">Mechanical engineer</t>
  </si>
  <si>
    <t xml:space="preserve">Content editors</t>
  </si>
  <si>
    <t xml:space="preserve">20 cities in 2028.</t>
  </si>
  <si>
    <t xml:space="preserve">Customer support agents</t>
  </si>
  <si>
    <t xml:space="preserve">Retail &amp; partnerships manager</t>
  </si>
  <si>
    <t xml:space="preserve">B2B fleet sales lead</t>
  </si>
  <si>
    <t xml:space="preserve">QA / test engineer</t>
  </si>
  <si>
    <t xml:space="preserve">ML engineer #2 (on-device models)</t>
  </si>
  <si>
    <t xml:space="preserve">Brand &amp; content marketer</t>
  </si>
  <si>
    <t xml:space="preserve">People &amp; office ops</t>
  </si>
  <si>
    <t xml:space="preserve">VP Engineering</t>
  </si>
  <si>
    <t xml:space="preserve">Series A hire.</t>
  </si>
  <si>
    <t xml:space="preserve">Holiday peak.</t>
  </si>
  <si>
    <t xml:space="preserve">VP Marketing</t>
  </si>
  <si>
    <t xml:space="preserve">R&amp;D engineers (Gen-2, platform)</t>
  </si>
  <si>
    <t xml:space="preserve">Content editors (30 new cities)</t>
  </si>
  <si>
    <t xml:space="preserve">S&amp;M team (performance, retail, EU/APAC)</t>
  </si>
  <si>
    <t xml:space="preserve">Ops / supply-chain / quality</t>
  </si>
  <si>
    <t xml:space="preserve">G&amp;A (finance, legal, people)</t>
  </si>
  <si>
    <t xml:space="preserve">CFO</t>
  </si>
  <si>
    <t xml:space="preserve">R&amp;D engineers</t>
  </si>
  <si>
    <t xml:space="preserve">S&amp;M team</t>
  </si>
  <si>
    <t xml:space="preserve">Ops / CS</t>
  </si>
  <si>
    <t xml:space="preserve">Headcount &amp; personnel cost by period (formulas from 'Headcount' role table)</t>
  </si>
  <si>
    <t xml:space="preserve">End-of-period headcount by role</t>
  </si>
  <si>
    <t xml:space="preserve">Personnel cost by role (salary x (1+burden) x inflation)</t>
  </si>
  <si>
    <t xml:space="preserve">Summary by department</t>
  </si>
  <si>
    <t xml:space="preserve">Headcount -- R&amp;D</t>
  </si>
  <si>
    <t xml:space="preserve">Headcount -- S&amp;M</t>
  </si>
  <si>
    <t xml:space="preserve">Headcount -- Ops &amp; CS</t>
  </si>
  <si>
    <t xml:space="preserve">Headcount -- G&amp;A</t>
  </si>
  <si>
    <t xml:space="preserve">TOTAL HEADCOUNT (end of period)</t>
  </si>
  <si>
    <t xml:space="preserve">Personnel cost -- R&amp;D</t>
  </si>
  <si>
    <t xml:space="preserve">Personnel cost -- S&amp;M</t>
  </si>
  <si>
    <t xml:space="preserve">Personnel cost -- Ops &amp; CS</t>
  </si>
  <si>
    <t xml:space="preserve">Personnel cost -- G&amp;A</t>
  </si>
  <si>
    <t xml:space="preserve">TOTAL PERSONNEL COST</t>
  </si>
  <si>
    <t xml:space="preserve">Operating expenses: R&amp;D (incl. NRE), S&amp;M, Operations &amp; CS, G&amp;A</t>
  </si>
  <si>
    <t xml:space="preserve">Research &amp; development</t>
  </si>
  <si>
    <t xml:space="preserve">R&amp;D personnel</t>
  </si>
  <si>
    <t xml:space="preserve">ID / ME / CMF design</t>
  </si>
  <si>
    <t xml:space="preserve">ODM engineering NRE</t>
  </si>
  <si>
    <t xml:space="preserve">Prototype builds</t>
  </si>
  <si>
    <t xml:space="preserve">Certification &amp; compliance testing</t>
  </si>
  <si>
    <t xml:space="preserve">City Pack content &amp; data licences</t>
  </si>
  <si>
    <t xml:space="preserve">Dev tools &amp; ML compute</t>
  </si>
  <si>
    <t xml:space="preserve">TOTAL R&amp;D</t>
  </si>
  <si>
    <t xml:space="preserve">S&amp;M personnel</t>
  </si>
  <si>
    <t xml:space="preserve">Paid acquisition (CAC x DTC regular units)</t>
  </si>
  <si>
    <t xml:space="preserve">Crowdfunding platform &amp; processing fees</t>
  </si>
  <si>
    <t xml:space="preserve">Brand, content, PR &amp; events</t>
  </si>
  <si>
    <t xml:space="preserve">Retail co-op / MDF / displays</t>
  </si>
  <si>
    <t xml:space="preserve">TOTAL S&amp;M</t>
  </si>
  <si>
    <t xml:space="preserve">Operations &amp; customer support</t>
  </si>
  <si>
    <t xml:space="preserve">Ops &amp; CS personnel</t>
  </si>
  <si>
    <t xml:space="preserve">General &amp; administrative</t>
  </si>
  <si>
    <t xml:space="preserve">G&amp;A personnel</t>
  </si>
  <si>
    <t xml:space="preserve">G&amp;A non-personnel</t>
  </si>
  <si>
    <t xml:space="preserve">TOTAL G&amp;A</t>
  </si>
  <si>
    <t xml:space="preserve">TOTAL OPEX</t>
  </si>
  <si>
    <t xml:space="preserve">memo: NRE subtotal (ID, ODM, proto, cert)</t>
  </si>
  <si>
    <t xml:space="preserve">Working capital: ODM deposits, inventory, retail AR, Kickstarter deferred revenue, capex</t>
  </si>
  <si>
    <t xml:space="preserve">Inventory &amp; ODM payments</t>
  </si>
  <si>
    <t xml:space="preserve">Product landed cost recognised (COGS)</t>
  </si>
  <si>
    <t xml:space="preserve">Cash paid to ODM (30% deposit at t-3, 70% at t-1)</t>
  </si>
  <si>
    <t xml:space="preserve">Inventory incl. ODM prepayments (end)</t>
  </si>
  <si>
    <t xml:space="preserve">Receivables</t>
  </si>
  <si>
    <t xml:space="preserve">Retail accounts receivable (end)</t>
  </si>
  <si>
    <t xml:space="preserve">Kickstarter / pre-order deferred revenue</t>
  </si>
  <si>
    <t xml:space="preserve">Pre-order cash collected (gross pledges)</t>
  </si>
  <si>
    <t xml:space="preserve">Pre-order revenue recognised on shipment</t>
  </si>
  <si>
    <t xml:space="preserve">Deferred revenue -- pre-orders (end)</t>
  </si>
  <si>
    <t xml:space="preserve">Crowdfunding platform + processing fees (expensed in S&amp;M)</t>
  </si>
  <si>
    <t xml:space="preserve">Capex &amp; depreciation (3-year straight line)</t>
  </si>
  <si>
    <t xml:space="preserve">Capex -- tooling &amp; fixtures</t>
  </si>
  <si>
    <t xml:space="preserve">Capex -- B2B fleet devices</t>
  </si>
  <si>
    <t xml:space="preserve">TOTAL CAPEX</t>
  </si>
  <si>
    <t xml:space="preserve">Depreciation</t>
  </si>
  <si>
    <t xml:space="preserve">PP&amp;E, net (end)</t>
  </si>
  <si>
    <t xml:space="preserve">Income statement</t>
  </si>
  <si>
    <t xml:space="preserve">Hardware (net of returns)</t>
  </si>
  <si>
    <t xml:space="preserve">Subscriptions -- Explorer</t>
  </si>
  <si>
    <t xml:space="preserve">Accessories</t>
  </si>
  <si>
    <t xml:space="preserve">Affiliate</t>
  </si>
  <si>
    <t xml:space="preserve">Cost of revenue</t>
  </si>
  <si>
    <t xml:space="preserve">Hardware COGS (landed, fulfilment, payments, warranty)</t>
  </si>
  <si>
    <t xml:space="preserve">Cloud / AI / data COGS</t>
  </si>
  <si>
    <t xml:space="preserve">TOTAL COST OF REVENUE</t>
  </si>
  <si>
    <t xml:space="preserve">GROSS PROFIT</t>
  </si>
  <si>
    <t xml:space="preserve">Operating expenses</t>
  </si>
  <si>
    <t xml:space="preserve">Research &amp; development (incl. NRE)</t>
  </si>
  <si>
    <t xml:space="preserve">EBIT</t>
  </si>
  <si>
    <t xml:space="preserve">Interest income on cash</t>
  </si>
  <si>
    <t xml:space="preserve">Pre-tax income</t>
  </si>
  <si>
    <t xml:space="preserve">memo: cumulative pre-tax income</t>
  </si>
  <si>
    <t xml:space="preserve">Income tax (after NOL usage)</t>
  </si>
  <si>
    <t xml:space="preserve">NET INCOME</t>
  </si>
  <si>
    <t xml:space="preserve">memo: count of periods with positive EBITDA</t>
  </si>
  <si>
    <t xml:space="preserve">Key ratios &amp; memo</t>
  </si>
  <si>
    <t xml:space="preserve">Cash flow statement (indirect)</t>
  </si>
  <si>
    <t xml:space="preserve">Operating</t>
  </si>
  <si>
    <t xml:space="preserve">Add: depreciation</t>
  </si>
  <si>
    <t xml:space="preserve">(Increase)/decrease in receivables</t>
  </si>
  <si>
    <t xml:space="preserve">(Increase)/decrease in inventory &amp; ODM deposits</t>
  </si>
  <si>
    <t xml:space="preserve">Increase/(decrease) in pre-order deferred revenue</t>
  </si>
  <si>
    <t xml:space="preserve">CASH FROM OPERATIONS</t>
  </si>
  <si>
    <t xml:space="preserve">Investing</t>
  </si>
  <si>
    <t xml:space="preserve">Capex (tooling + fleet devices)</t>
  </si>
  <si>
    <t xml:space="preserve">CASH FROM INVESTING</t>
  </si>
  <si>
    <t xml:space="preserve">Financing</t>
  </si>
  <si>
    <t xml:space="preserve">Equity / SAFE proceeds</t>
  </si>
  <si>
    <t xml:space="preserve">CASH FROM FINANCING</t>
  </si>
  <si>
    <t xml:space="preserve">Cash</t>
  </si>
  <si>
    <t xml:space="preserve">Net change in cash</t>
  </si>
  <si>
    <t xml:space="preserve">Beginning cash</t>
  </si>
  <si>
    <t xml:space="preserve">ENDING CASH</t>
  </si>
  <si>
    <t xml:space="preserve">Net burn (operating + investing; positive = burning)</t>
  </si>
  <si>
    <t xml:space="preserve">Cumulative operating + investing cash flow</t>
  </si>
  <si>
    <t xml:space="preserve">memo: count of periods with positive op+inv cash flow</t>
  </si>
  <si>
    <t xml:space="preserve">Average monthly net burn in period</t>
  </si>
  <si>
    <t xml:space="preserve">Balance sheet (light)</t>
  </si>
  <si>
    <t xml:space="preserve">Accounts receivable</t>
  </si>
  <si>
    <t xml:space="preserve">Inventory &amp; ODM prepayments</t>
  </si>
  <si>
    <t xml:space="preserve">PP&amp;E, net (tooling, fleet)</t>
  </si>
  <si>
    <t xml:space="preserve">TOTAL ASSETS</t>
  </si>
  <si>
    <t xml:space="preserve">Deferred revenue (pre-orders)</t>
  </si>
  <si>
    <t xml:space="preserve">TOTAL LIABILITIES</t>
  </si>
  <si>
    <t xml:space="preserve">Paid-in capital (SAFE + preferred)</t>
  </si>
  <si>
    <t xml:space="preserve">Retained earnings / (deficit)</t>
  </si>
  <si>
    <t xml:space="preserve">TOTAL EQUITY</t>
  </si>
  <si>
    <t xml:space="preserve">TOTAL LIABILITIES + EQUITY</t>
  </si>
  <si>
    <t xml:space="preserve">CHECK (assets - L&amp;E), must be 0</t>
  </si>
  <si>
    <t xml:space="preserve">Funding rounds &amp; runway (blue = input). Period key = YYYYMM for monthly, YYYY for FY2029+.</t>
  </si>
  <si>
    <t xml:space="preserve">Round</t>
  </si>
  <si>
    <t xml:space="preserve">Instrument</t>
  </si>
  <si>
    <t xml:space="preserve">Amount ($)</t>
  </si>
  <si>
    <t xml:space="preserve">Pre-money ($)</t>
  </si>
  <si>
    <t xml:space="preserve">Post-money ($)</t>
  </si>
  <si>
    <t xml:space="preserve">Pre-seed</t>
  </si>
  <si>
    <t xml:space="preserve">Post-money SAFE</t>
  </si>
  <si>
    <t xml:space="preserve">COMPANY.md: $1.5M SAFE at $12M post-money cap.</t>
  </si>
  <si>
    <t xml:space="preserve">Seed</t>
  </si>
  <si>
    <t xml:space="preserve">Priced (Series Seed Preferred)</t>
  </si>
  <si>
    <t xml:space="preserve">After Kickstarter (COMPANY.md: $6M). Pre-money is a CFO estimate.</t>
  </si>
  <si>
    <t xml:space="preserve">Seed extension</t>
  </si>
  <si>
    <t xml:space="preserve">Seed-2 preferred (priced at step-up to Seed)</t>
  </si>
  <si>
    <t xml:space="preserve">CFO addition: bridges Mar-Sep 2028 (inventory for first retail + Atlas). Alternative: $3M inventory/venture-debt facility.</t>
  </si>
  <si>
    <t xml:space="preserve">Series A</t>
  </si>
  <si>
    <t xml:space="preserve">Priced preferred</t>
  </si>
  <si>
    <t xml:space="preserve">Post-holiday 2028 traction; $100M post-money is the target (see valuation.md).</t>
  </si>
  <si>
    <t xml:space="preserve">Series B</t>
  </si>
  <si>
    <t xml:space="preserve">Growth / inventory for retail scale; sized to keep min cash &gt; ~6 months of burn.</t>
  </si>
  <si>
    <t xml:space="preserve">RUNWAY METRICS</t>
  </si>
  <si>
    <t xml:space="preserve">Peak cumulative op+inv cash outflow (= minimum equity need before buffer)</t>
  </si>
  <si>
    <t xml:space="preserve">Cash runway by period</t>
  </si>
  <si>
    <t xml:space="preserve">Net burn in period</t>
  </si>
  <si>
    <t xml:space="preserve">Trailing avg monthly burn (3 periods; annual = /12)</t>
  </si>
  <si>
    <t xml:space="preserve">Runway (months of cash at trailing burn)</t>
  </si>
  <si>
    <t xml:space="preserve">Equity raised</t>
  </si>
  <si>
    <t xml:space="preserve">Cap table -- fully diluted (formulas). Post-money SAFE converts at Seed; pool top-ups are in the pre-money ('option pool shuffle').</t>
  </si>
  <si>
    <t xml:space="preserve">Founder common shares</t>
  </si>
  <si>
    <t xml:space="preserve">Initial option pool (reserved at formation)</t>
  </si>
  <si>
    <t xml:space="preserve">Target unallocated+allocated pool after Seed (% FD post)</t>
  </si>
  <si>
    <t xml:space="preserve">Target pool after Series A (% FD post)</t>
  </si>
  <si>
    <t xml:space="preserve">Target pool after Series B (% FD post)</t>
  </si>
  <si>
    <t xml:space="preserve">Derived share counts</t>
  </si>
  <si>
    <t xml:space="preserve">SAFE ownership at conversion (amount / post-money cap)</t>
  </si>
  <si>
    <t xml:space="preserve">Company capitalisation incl. SAFE (pre-Seed new money)</t>
  </si>
  <si>
    <t xml:space="preserve">SAFE conversion shares</t>
  </si>
  <si>
    <t xml:space="preserve">Seed: new money % of post</t>
  </si>
  <si>
    <t xml:space="preserve">Seed: post-money FD shares</t>
  </si>
  <si>
    <t xml:space="preserve">Seed: new preferred shares</t>
  </si>
  <si>
    <t xml:space="preserve">Seed: pool top-up shares</t>
  </si>
  <si>
    <t xml:space="preserve">Seed price per share</t>
  </si>
  <si>
    <t xml:space="preserve">SAFE effective price per share</t>
  </si>
  <si>
    <t xml:space="preserve">Seed-2 extension price per share (pre-money / post-Seed FD shares)</t>
  </si>
  <si>
    <t xml:space="preserve">Seed-2 extension new shares</t>
  </si>
  <si>
    <t xml:space="preserve">Series A: new money % of post</t>
  </si>
  <si>
    <t xml:space="preserve">Series A: post-money FD shares</t>
  </si>
  <si>
    <t xml:space="preserve">Series A: new preferred shares</t>
  </si>
  <si>
    <t xml:space="preserve">Series A: pool top-up shares</t>
  </si>
  <si>
    <t xml:space="preserve">Series A price per share</t>
  </si>
  <si>
    <t xml:space="preserve">Series B: new money % of post</t>
  </si>
  <si>
    <t xml:space="preserve">Series B: post-money FD shares</t>
  </si>
  <si>
    <t xml:space="preserve">Series B: new preferred shares</t>
  </si>
  <si>
    <t xml:space="preserve">Series B: pool top-up shares</t>
  </si>
  <si>
    <t xml:space="preserve">Series B price per share</t>
  </si>
  <si>
    <t xml:space="preserve">Ownership by stage (fully diluted)</t>
  </si>
  <si>
    <t xml:space="preserve">Formation</t>
  </si>
  <si>
    <t xml:space="preserve">Post pre-seed SAFE (as-converted)</t>
  </si>
  <si>
    <t xml:space="preserve">Post Seed</t>
  </si>
  <si>
    <t xml:space="preserve">Post Seed-2 + Series A</t>
  </si>
  <si>
    <t xml:space="preserve">Post Series B</t>
  </si>
  <si>
    <t xml:space="preserve">Shares</t>
  </si>
  <si>
    <t xml:space="preserve">Founder (Nimit Jain)</t>
  </si>
  <si>
    <t xml:space="preserve">Option pool (granted + unallocated)</t>
  </si>
  <si>
    <t xml:space="preserve">Pre-seed SAFE investors</t>
  </si>
  <si>
    <t xml:space="preserve">Seed investors</t>
  </si>
  <si>
    <t xml:space="preserve">Seed-2 extension investors</t>
  </si>
  <si>
    <t xml:space="preserve">Series A investors</t>
  </si>
  <si>
    <t xml:space="preserve">Series B investors</t>
  </si>
  <si>
    <t xml:space="preserve">TOTAL FULLY DILUTED</t>
  </si>
  <si>
    <t xml:space="preserve">Implied post-money valuation ($)</t>
  </si>
  <si>
    <t xml:space="preserve">Founder stake value at round price ($)</t>
  </si>
  <si>
    <t xml:space="preserve">Notes: SAFE = YC post-money SAFE; conversion assumes Seed price &gt; SAFE cap price (true at $22M pre). No discount modelled. Liquidation preferences 1x non-participating assumed; not modelled here.</t>
  </si>
  <si>
    <t xml:space="preserve">Timeline (monthly Nov-2026 to Dec-2028, then annual FY2029-FY2031)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</si>
  <si>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</si>
  <si>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</si>
  <si>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</si>
  <si>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</si>
  <si>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</si>
  <si>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</si>
  <si>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</si>
  <si>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</si>
  <si>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</si>
  <si>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</si>
  <si>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</si>
  <si>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</si>
  <si>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</si>
  <si>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</si>
  <si>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</si>
  <si>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</si>
  <si>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</si>
  <si>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</si>
  <si>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</si>
  <si>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</si>
  <si>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</si>
  <si>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</si>
  <si>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</si>
  <si>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</si>
  <si>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</si>
  <si>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</si>
  <si>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Monthly flag (1=month)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</si>
</sst>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[RED]\(#,##0\);\-"/>
    <numFmt numFmtId="166" formatCode="0.0%;[RED]\-0.0%;\-"/>
    <numFmt numFmtId="167" formatCode="#,##0"/>
    <numFmt numFmtId="168" formatCode="0.0%"/>
    <numFmt numFmtId="169" formatCode="#,##0.00"/>
    <numFmt numFmtId="170" formatCode="0.00"/>
    <numFmt numFmtId="171" formatCode="#,##0.00;[RED]\(#,##0.00\);\-"/>
    <numFmt numFmtId="172" formatCode="mmm\-yy"/>
    <numFmt numFmtId="173" formatCode="#,##0.0;[RED]\(#,##0.0\);\-"/>
    <numFmt numFmtId="174" formatCode="0.00\x"/>
    <numFmt numFmtId="175" formatCode="\+0%;\-0%;0%"/>
    <numFmt numFmtId="176" formatCode="\$#,##0"/>
    <numFmt numFmtId="177" formatCode="0"/>
    <numFmt numFmtId="178" formatCode="0.00%"/>
    <numFmt numFmtId="179" formatCode="\$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4623A"/>
      <name val="Fraunces"/>
      <family val="0"/>
      <charset val="1"/>
    </font>
    <font>
      <i val="true"/>
      <sz val="9"/>
      <color rgb="FF5E6B4E"/>
      <name val="Inter"/>
      <family val="0"/>
      <charset val="1"/>
    </font>
    <font>
      <b val="true"/>
      <sz val="11"/>
      <color rgb="FFF3EEE6"/>
      <name val="Inter"/>
      <family val="0"/>
      <charset val="1"/>
    </font>
    <font>
      <b val="true"/>
      <sz val="14"/>
      <color rgb="FF14161A"/>
      <name val="Inter"/>
      <family val="0"/>
      <charset val="1"/>
    </font>
    <font>
      <b val="true"/>
      <sz val="11"/>
      <name val="Inter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Inter"/>
      <family val="0"/>
      <charset val="1"/>
    </font>
    <font>
      <b val="true"/>
      <sz val="14"/>
      <color rgb="FF0000FF"/>
      <name val="Inter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3EEE6"/>
      <name val="Cambria"/>
      <family val="0"/>
      <charset val="1"/>
    </font>
    <font>
      <sz val="11"/>
      <name val="Inter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161A"/>
        <bgColor rgb="FF000000"/>
      </patternFill>
    </fill>
    <fill>
      <patternFill patternType="solid">
        <fgColor rgb="FFF3EEE6"/>
        <bgColor rgb="FFFFF7E0"/>
      </patternFill>
    </fill>
    <fill>
      <patternFill patternType="solid">
        <fgColor rgb="FFFFF7E0"/>
        <bgColor rgb="FFF3EEE6"/>
      </patternFill>
    </fill>
    <fill>
      <patternFill patternType="solid">
        <fgColor rgb="FFC4623A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AA0A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EE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6B4E"/>
      <rgbColor rgb="FF800080"/>
      <rgbColor rgb="FF008080"/>
      <rgbColor rgb="FFC0C0C0"/>
      <rgbColor rgb="FF878787"/>
      <rgbColor rgb="FF9999FF"/>
      <rgbColor rgb="FFBE4B48"/>
      <rgbColor rgb="FFFFF7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C4623A"/>
      <rgbColor rgb="FF8064A2"/>
      <rgbColor rgb="FF9AA0A6"/>
      <rgbColor rgb="FF003366"/>
      <rgbColor rgb="FF4F81BD"/>
      <rgbColor rgb="FF14161A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stream (FY)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Dashboard!A7</c:f>
              <c:strCache>
                <c:ptCount val="1"/>
                <c:pt idx="0">
                  <c:v>  Hardware (net)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Dashboard!$B$7:$G$7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605394.72</c:v>
                </c:pt>
                <c:pt idx="2">
                  <c:v>9016707.072</c:v>
                </c:pt>
                <c:pt idx="3">
                  <c:v>26883763.2</c:v>
                </c:pt>
                <c:pt idx="4">
                  <c:v>54946080</c:v>
                </c:pt>
                <c:pt idx="5">
                  <c:v>87913728</c:v>
                </c:pt>
              </c:numCache>
            </c:numRef>
          </c:val>
        </c:ser>
        <c:ser>
          <c:idx val="1"/>
          <c:order val="1"/>
          <c:tx>
            <c:strRef>
              <c:f>Dashboard!A8</c:f>
              <c:strCache>
                <c:ptCount val="1"/>
                <c:pt idx="0">
                  <c:v>  Subscriptions (Explorer + Trip Pass)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Dashboard!$B$8:$G$8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362493.026413032</c:v>
                </c:pt>
                <c:pt idx="3">
                  <c:v>2296154.1867604</c:v>
                </c:pt>
                <c:pt idx="4">
                  <c:v>6214231.91304288</c:v>
                </c:pt>
                <c:pt idx="5">
                  <c:v>12347007.7008739</c:v>
                </c:pt>
              </c:numCache>
            </c:numRef>
          </c:val>
        </c:ser>
        <c:ser>
          <c:idx val="2"/>
          <c:order val="2"/>
          <c:tx>
            <c:strRef>
              <c:f>Dashboard!A9</c:f>
              <c:strCache>
                <c:ptCount val="1"/>
                <c:pt idx="0">
                  <c:v>  Accessories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Dashboard!$B$9:$G$9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49916.25</c:v>
                </c:pt>
                <c:pt idx="2">
                  <c:v>529908.75</c:v>
                </c:pt>
                <c:pt idx="3">
                  <c:v>1620000</c:v>
                </c:pt>
                <c:pt idx="4">
                  <c:v>3375000</c:v>
                </c:pt>
                <c:pt idx="5">
                  <c:v>5400000</c:v>
                </c:pt>
              </c:numCache>
            </c:numRef>
          </c:val>
        </c:ser>
        <c:ser>
          <c:idx val="3"/>
          <c:order val="3"/>
          <c:tx>
            <c:strRef>
              <c:f>Dashboard!A10</c:f>
              <c:strCache>
                <c:ptCount val="1"/>
                <c:pt idx="0">
                  <c:v>  Affiliate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Dashboard!$B$10:$G$10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1185.75</c:v>
                </c:pt>
                <c:pt idx="2">
                  <c:v>62065.2905382797</c:v>
                </c:pt>
                <c:pt idx="3">
                  <c:v>425922.729000883</c:v>
                </c:pt>
                <c:pt idx="4">
                  <c:v>1413471.01330875</c:v>
                </c:pt>
                <c:pt idx="5">
                  <c:v>3430021.154775</c:v>
                </c:pt>
              </c:numCache>
            </c:numRef>
          </c:val>
        </c:ser>
        <c:ser>
          <c:idx val="4"/>
          <c:order val="4"/>
          <c:tx>
            <c:strRef>
              <c:f>Dashboard!A11</c:f>
              <c:strCache>
                <c:ptCount val="1"/>
                <c:pt idx="0">
                  <c:v>  B2B fleet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Dashboard!$B$11:$G$11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49500</c:v>
                </c:pt>
                <c:pt idx="3">
                  <c:v>409200</c:v>
                </c:pt>
                <c:pt idx="4">
                  <c:v>1122000</c:v>
                </c:pt>
                <c:pt idx="5">
                  <c:v>2244000</c:v>
                </c:pt>
              </c:numCache>
            </c:numRef>
          </c:val>
        </c:ser>
        <c:gapWidth val="150"/>
        <c:overlap val="100"/>
        <c:axId val="67631215"/>
        <c:axId val="78752689"/>
      </c:barChart>
      <c:catAx>
        <c:axId val="676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52689"/>
        <c:crosses val="autoZero"/>
        <c:auto val="1"/>
        <c:lblAlgn val="ctr"/>
        <c:lblOffset val="100"/>
        <c:noMultiLvlLbl val="0"/>
      </c:catAx>
      <c:valAx>
        <c:axId val="78752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31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 % (FY)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Dashboard!A14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Dashboard!$B$14:$G$14</c:f>
              <c:numCache>
                <c:formatCode>0.0%;[RED]\-0.0%;\-</c:formatCode>
                <c:ptCount val="6"/>
                <c:pt idx="0">
                  <c:v>0</c:v>
                </c:pt>
                <c:pt idx="1">
                  <c:v>0.1121405370464</c:v>
                </c:pt>
                <c:pt idx="2">
                  <c:v>0.238550584331234</c:v>
                </c:pt>
                <c:pt idx="3">
                  <c:v>0.302351344762522</c:v>
                </c:pt>
                <c:pt idx="4">
                  <c:v>0.358769458038142</c:v>
                </c:pt>
                <c:pt idx="5">
                  <c:v>0.397341158973387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Dashboard!A15</c:f>
              <c:strCache>
                <c:ptCount val="1"/>
                <c:pt idx="0">
                  <c:v>Hardware gross margin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Dashboard!$B$15:$G$15</c:f>
              <c:numCache>
                <c:formatCode>0.0%;[RED]\-0.0%;\-</c:formatCode>
                <c:ptCount val="6"/>
                <c:pt idx="0">
                  <c:v>0</c:v>
                </c:pt>
                <c:pt idx="1">
                  <c:v>0.0870548288726403</c:v>
                </c:pt>
                <c:pt idx="2">
                  <c:v>0.212907639792515</c:v>
                </c:pt>
                <c:pt idx="3">
                  <c:v>0.252848009760776</c:v>
                </c:pt>
                <c:pt idx="4">
                  <c:v>0.295270169864711</c:v>
                </c:pt>
                <c:pt idx="5">
                  <c:v>0.318019538427491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582151"/>
        <c:axId val="82596877"/>
      </c:lineChart>
      <c:catAx>
        <c:axId val="2258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96877"/>
        <c:crosses val="autoZero"/>
        <c:auto val="1"/>
        <c:lblAlgn val="ctr"/>
        <c:lblOffset val="100"/>
        <c:noMultiLvlLbl val="0"/>
      </c:catAx>
      <c:valAx>
        <c:axId val="82596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-0.0%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821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cash by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Flow'!$C$2:$AE$2</c:f>
              <c:strCache>
                <c:ptCount val="29"/>
                <c:pt idx="0">
                  <c:v>Nov-26</c:v>
                </c:pt>
                <c:pt idx="1">
                  <c:v>Dec-26</c:v>
                </c:pt>
                <c:pt idx="2">
                  <c:v>Jan-27</c:v>
                </c:pt>
                <c:pt idx="3">
                  <c:v>Feb-27</c:v>
                </c:pt>
                <c:pt idx="4">
                  <c:v>Mar-27</c:v>
                </c:pt>
                <c:pt idx="5">
                  <c:v>Apr-27</c:v>
                </c:pt>
                <c:pt idx="6">
                  <c:v>May-27</c:v>
                </c:pt>
                <c:pt idx="7">
                  <c:v>Jun-27</c:v>
                </c:pt>
                <c:pt idx="8">
                  <c:v>Jul-27</c:v>
                </c:pt>
                <c:pt idx="9">
                  <c:v>Aug-27</c:v>
                </c:pt>
                <c:pt idx="10">
                  <c:v>Sep-27</c:v>
                </c:pt>
                <c:pt idx="11">
                  <c:v>Oct-27</c:v>
                </c:pt>
                <c:pt idx="12">
                  <c:v>Nov-27</c:v>
                </c:pt>
                <c:pt idx="13">
                  <c:v>Dec-27</c:v>
                </c:pt>
                <c:pt idx="14">
                  <c:v>Jan-28</c:v>
                </c:pt>
                <c:pt idx="15">
                  <c:v>Feb-28</c:v>
                </c:pt>
                <c:pt idx="16">
                  <c:v>Mar-28</c:v>
                </c:pt>
                <c:pt idx="17">
                  <c:v>Apr-28</c:v>
                </c:pt>
                <c:pt idx="18">
                  <c:v>May-28</c:v>
                </c:pt>
                <c:pt idx="19">
                  <c:v>Jun-28</c:v>
                </c:pt>
                <c:pt idx="20">
                  <c:v>Jul-28</c:v>
                </c:pt>
                <c:pt idx="21">
                  <c:v>Aug-28</c:v>
                </c:pt>
                <c:pt idx="22">
                  <c:v>Sep-28</c:v>
                </c:pt>
                <c:pt idx="23">
                  <c:v>Oct-28</c:v>
                </c:pt>
                <c:pt idx="24">
                  <c:v>Nov-28</c:v>
                </c:pt>
                <c:pt idx="25">
                  <c:v>Dec-28</c:v>
                </c:pt>
                <c:pt idx="26">
                  <c:v>FY2029</c:v>
                </c:pt>
                <c:pt idx="27">
                  <c:v>FY2030</c:v>
                </c:pt>
                <c:pt idx="28">
                  <c:v>FY2031</c:v>
                </c:pt>
              </c:strCache>
            </c:strRef>
          </c:cat>
          <c:val>
            <c:numRef>
              <c:f>'Cash Flow'!$C$28:$AE$28</c:f>
              <c:numCache>
                <c:formatCode>#,##0;[RED]\(#,##0\);\-</c:formatCode>
                <c:ptCount val="29"/>
                <c:pt idx="0">
                  <c:v>1424000</c:v>
                </c:pt>
                <c:pt idx="1">
                  <c:v>1305486.66666667</c:v>
                </c:pt>
                <c:pt idx="2">
                  <c:v>1144856.83611111</c:v>
                </c:pt>
                <c:pt idx="3">
                  <c:v>943862.668549769</c:v>
                </c:pt>
                <c:pt idx="4">
                  <c:v>774469.767999705</c:v>
                </c:pt>
                <c:pt idx="5">
                  <c:v>602582.804823038</c:v>
                </c:pt>
                <c:pt idx="6">
                  <c:v>420194.504670439</c:v>
                </c:pt>
                <c:pt idx="7">
                  <c:v>1075344.98646848</c:v>
                </c:pt>
                <c:pt idx="8">
                  <c:v>694277.497751478</c:v>
                </c:pt>
                <c:pt idx="9">
                  <c:v>6178556.35594238</c:v>
                </c:pt>
                <c:pt idx="10">
                  <c:v>5477359.50109468</c:v>
                </c:pt>
                <c:pt idx="11">
                  <c:v>4316869.89467034</c:v>
                </c:pt>
                <c:pt idx="12">
                  <c:v>3429592.01124146</c:v>
                </c:pt>
                <c:pt idx="13">
                  <c:v>2556526.39024591</c:v>
                </c:pt>
                <c:pt idx="14">
                  <c:v>2002588.21544746</c:v>
                </c:pt>
                <c:pt idx="15">
                  <c:v>1416259.77579359</c:v>
                </c:pt>
                <c:pt idx="16">
                  <c:v>3832399.93640845</c:v>
                </c:pt>
                <c:pt idx="17">
                  <c:v>3325103.5525305</c:v>
                </c:pt>
                <c:pt idx="18">
                  <c:v>2815594.70456833</c:v>
                </c:pt>
                <c:pt idx="19">
                  <c:v>2349393.53782173</c:v>
                </c:pt>
                <c:pt idx="20">
                  <c:v>1804803.71047901</c:v>
                </c:pt>
                <c:pt idx="21">
                  <c:v>1355890.70890603</c:v>
                </c:pt>
                <c:pt idx="22">
                  <c:v>25740655.9066488</c:v>
                </c:pt>
                <c:pt idx="23">
                  <c:v>24958906.8354195</c:v>
                </c:pt>
                <c:pt idx="24">
                  <c:v>24099763.3960195</c:v>
                </c:pt>
                <c:pt idx="25">
                  <c:v>23250148.921424</c:v>
                </c:pt>
                <c:pt idx="26">
                  <c:v>14378505.2468431</c:v>
                </c:pt>
                <c:pt idx="27">
                  <c:v>38382308.0431785</c:v>
                </c:pt>
                <c:pt idx="28">
                  <c:v>33426497.8882027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67966"/>
        <c:axId val="29568879"/>
      </c:lineChart>
      <c:catAx>
        <c:axId val="977679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68879"/>
        <c:crosses val="autoZero"/>
        <c:auto val="1"/>
        <c:lblAlgn val="ctr"/>
        <c:lblOffset val="100"/>
        <c:noMultiLvlLbl val="0"/>
      </c:catAx>
      <c:valAx>
        <c:axId val="29568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67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(end of FY)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Dashboard!A25</c:f>
              <c:strCache>
                <c:ptCount val="1"/>
                <c:pt idx="0">
                  <c:v>Headcount (end)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Dashboard!$B$4:$G$4</c:f>
              <c:strCache>
                <c:ptCount val="6"/>
                <c:pt idx="0">
                  <c:v>FY2026*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  <c:pt idx="5">
                  <c:v>FY2031</c:v>
                </c:pt>
              </c:strCache>
            </c:strRef>
          </c:cat>
          <c:val>
            <c:numRef>
              <c:f>Dashboard!$B$25:$G$25</c:f>
              <c:numCache>
                <c:formatCode>#,##0;[RED]\(#,##0\);\-</c:formatCode>
                <c:ptCount val="6"/>
                <c:pt idx="0">
                  <c:v>3</c:v>
                </c:pt>
                <c:pt idx="1">
                  <c:v>14</c:v>
                </c:pt>
                <c:pt idx="2">
                  <c:v>30</c:v>
                </c:pt>
                <c:pt idx="3">
                  <c:v>61</c:v>
                </c:pt>
                <c:pt idx="4">
                  <c:v>92</c:v>
                </c:pt>
                <c:pt idx="5">
                  <c:v>121</c:v>
                </c:pt>
              </c:numCache>
            </c:numRef>
          </c:val>
        </c:ser>
        <c:gapWidth val="150"/>
        <c:overlap val="0"/>
        <c:axId val="30807251"/>
        <c:axId val="48926859"/>
      </c:barChart>
      <c:catAx>
        <c:axId val="30807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26859"/>
        <c:crosses val="autoZero"/>
        <c:auto val="1"/>
        <c:lblAlgn val="ctr"/>
        <c:lblOffset val="100"/>
        <c:noMultiLvlLbl val="0"/>
      </c:catAx>
      <c:valAx>
        <c:axId val="48926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072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70560</xdr:rowOff>
    </xdr:from>
    <xdr:to>
      <xdr:col>15</xdr:col>
      <xdr:colOff>447840</xdr:colOff>
      <xdr:row>17</xdr:row>
      <xdr:rowOff>92880</xdr:rowOff>
    </xdr:to>
    <xdr:graphicFrame>
      <xdr:nvGraphicFramePr>
        <xdr:cNvPr id="0" name="Chart 1"/>
        <xdr:cNvGraphicFramePr/>
      </xdr:nvGraphicFramePr>
      <xdr:xfrm>
        <a:off x="126712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70560</xdr:rowOff>
    </xdr:from>
    <xdr:to>
      <xdr:col>15</xdr:col>
      <xdr:colOff>447840</xdr:colOff>
      <xdr:row>35</xdr:row>
      <xdr:rowOff>63000</xdr:rowOff>
    </xdr:to>
    <xdr:graphicFrame>
      <xdr:nvGraphicFramePr>
        <xdr:cNvPr id="1" name="Chart 2"/>
        <xdr:cNvGraphicFramePr/>
      </xdr:nvGraphicFramePr>
      <xdr:xfrm>
        <a:off x="1267128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38</xdr:row>
      <xdr:rowOff>40680</xdr:rowOff>
    </xdr:from>
    <xdr:to>
      <xdr:col>15</xdr:col>
      <xdr:colOff>447840</xdr:colOff>
      <xdr:row>53</xdr:row>
      <xdr:rowOff>63000</xdr:rowOff>
    </xdr:to>
    <xdr:graphicFrame>
      <xdr:nvGraphicFramePr>
        <xdr:cNvPr id="2" name="Chart 3"/>
        <xdr:cNvGraphicFramePr/>
      </xdr:nvGraphicFramePr>
      <xdr:xfrm>
        <a:off x="12671280" y="7429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</xdr:row>
      <xdr:rowOff>70560</xdr:rowOff>
    </xdr:from>
    <xdr:to>
      <xdr:col>25</xdr:col>
      <xdr:colOff>447840</xdr:colOff>
      <xdr:row>17</xdr:row>
      <xdr:rowOff>92880</xdr:rowOff>
    </xdr:to>
    <xdr:graphicFrame>
      <xdr:nvGraphicFramePr>
        <xdr:cNvPr id="3" name="Chart 4"/>
        <xdr:cNvGraphicFramePr/>
      </xdr:nvGraphicFramePr>
      <xdr:xfrm>
        <a:off x="202597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"Scenario: "&amp;Scenarios!D3&amp;"   |   all figures USD, live from model"</f>
        <v>Scenario: Base   |   all figures USD, live from model</v>
      </c>
    </row>
    <row r="4" customFormat="false" ht="15" hidden="false" customHeight="fals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customFormat="false" ht="15" hidden="false" customHeight="false" outlineLevel="0" collapsed="false">
      <c r="A5" s="0" t="s">
        <v>7</v>
      </c>
      <c r="B5" s="4" t="n">
        <f aca="false">'Pricing &amp; Mix'!AG42</f>
        <v>0</v>
      </c>
      <c r="C5" s="4" t="n">
        <f aca="false">'Pricing &amp; Mix'!AH42</f>
        <v>3697.5</v>
      </c>
      <c r="D5" s="4" t="n">
        <f aca="false">'Pricing &amp; Mix'!AI42</f>
        <v>39252.5</v>
      </c>
      <c r="E5" s="4" t="n">
        <f aca="false">'Pricing &amp; Mix'!AJ42</f>
        <v>120000</v>
      </c>
      <c r="F5" s="4" t="n">
        <f aca="false">'Pricing &amp; Mix'!AK42</f>
        <v>250000</v>
      </c>
      <c r="G5" s="4" t="n">
        <f aca="false">'Pricing &amp; Mix'!AL42</f>
        <v>400000</v>
      </c>
    </row>
    <row r="6" customFormat="false" ht="15" hidden="false" customHeight="false" outlineLevel="0" collapsed="false">
      <c r="A6" s="0" t="s">
        <v>8</v>
      </c>
      <c r="B6" s="4" t="n">
        <f aca="false">'P&amp;L'!AG16</f>
        <v>0</v>
      </c>
      <c r="C6" s="4" t="n">
        <f aca="false">'P&amp;L'!AH16</f>
        <v>656496.72</v>
      </c>
      <c r="D6" s="4" t="n">
        <f aca="false">'P&amp;L'!AI16</f>
        <v>10020674.1389513</v>
      </c>
      <c r="E6" s="4" t="n">
        <f aca="false">'P&amp;L'!AJ16</f>
        <v>31635040.1157613</v>
      </c>
      <c r="F6" s="4" t="n">
        <f aca="false">'P&amp;L'!AK16</f>
        <v>67070782.9263516</v>
      </c>
      <c r="G6" s="4" t="n">
        <f aca="false">'P&amp;L'!AL16</f>
        <v>111334756.855649</v>
      </c>
    </row>
    <row r="7" customFormat="false" ht="15" hidden="false" customHeight="false" outlineLevel="0" collapsed="false">
      <c r="A7" s="0" t="s">
        <v>9</v>
      </c>
      <c r="B7" s="4" t="n">
        <f aca="false">'P&amp;L'!AG10</f>
        <v>0</v>
      </c>
      <c r="C7" s="4" t="n">
        <f aca="false">'P&amp;L'!AH10</f>
        <v>605394.72</v>
      </c>
      <c r="D7" s="4" t="n">
        <f aca="false">'P&amp;L'!AI10</f>
        <v>9016707.072</v>
      </c>
      <c r="E7" s="4" t="n">
        <f aca="false">'P&amp;L'!AJ10</f>
        <v>26883763.2</v>
      </c>
      <c r="F7" s="4" t="n">
        <f aca="false">'P&amp;L'!AK10</f>
        <v>54946080</v>
      </c>
      <c r="G7" s="4" t="n">
        <f aca="false">'P&amp;L'!AL10</f>
        <v>87913728</v>
      </c>
    </row>
    <row r="8" customFormat="false" ht="15" hidden="false" customHeight="false" outlineLevel="0" collapsed="false">
      <c r="A8" s="0" t="s">
        <v>10</v>
      </c>
      <c r="B8" s="4" t="n">
        <f aca="false">'P&amp;L'!AG11+'P&amp;L'!AG12</f>
        <v>0</v>
      </c>
      <c r="C8" s="4" t="n">
        <f aca="false">'P&amp;L'!AH11+'P&amp;L'!AH12</f>
        <v>0</v>
      </c>
      <c r="D8" s="4" t="n">
        <f aca="false">'P&amp;L'!AI11+'P&amp;L'!AI12</f>
        <v>362493.026413032</v>
      </c>
      <c r="E8" s="4" t="n">
        <f aca="false">'P&amp;L'!AJ11+'P&amp;L'!AJ12</f>
        <v>2296154.1867604</v>
      </c>
      <c r="F8" s="4" t="n">
        <f aca="false">'P&amp;L'!AK11+'P&amp;L'!AK12</f>
        <v>6214231.91304288</v>
      </c>
      <c r="G8" s="4" t="n">
        <f aca="false">'P&amp;L'!AL11+'P&amp;L'!AL12</f>
        <v>12347007.7008739</v>
      </c>
    </row>
    <row r="9" customFormat="false" ht="15" hidden="false" customHeight="false" outlineLevel="0" collapsed="false">
      <c r="A9" s="0" t="s">
        <v>11</v>
      </c>
      <c r="B9" s="4" t="n">
        <f aca="false">'P&amp;L'!AG13</f>
        <v>0</v>
      </c>
      <c r="C9" s="4" t="n">
        <f aca="false">'P&amp;L'!AH13</f>
        <v>49916.25</v>
      </c>
      <c r="D9" s="4" t="n">
        <f aca="false">'P&amp;L'!AI13</f>
        <v>529908.75</v>
      </c>
      <c r="E9" s="4" t="n">
        <f aca="false">'P&amp;L'!AJ13</f>
        <v>1620000</v>
      </c>
      <c r="F9" s="4" t="n">
        <f aca="false">'P&amp;L'!AK13</f>
        <v>3375000</v>
      </c>
      <c r="G9" s="4" t="n">
        <f aca="false">'P&amp;L'!AL13</f>
        <v>5400000</v>
      </c>
    </row>
    <row r="10" customFormat="false" ht="15" hidden="false" customHeight="false" outlineLevel="0" collapsed="false">
      <c r="A10" s="0" t="s">
        <v>12</v>
      </c>
      <c r="B10" s="4" t="n">
        <f aca="false">'P&amp;L'!AG14</f>
        <v>0</v>
      </c>
      <c r="C10" s="4" t="n">
        <f aca="false">'P&amp;L'!AH14</f>
        <v>1185.75</v>
      </c>
      <c r="D10" s="4" t="n">
        <f aca="false">'P&amp;L'!AI14</f>
        <v>62065.2905382797</v>
      </c>
      <c r="E10" s="4" t="n">
        <f aca="false">'P&amp;L'!AJ14</f>
        <v>425922.729000883</v>
      </c>
      <c r="F10" s="4" t="n">
        <f aca="false">'P&amp;L'!AK14</f>
        <v>1413471.01330875</v>
      </c>
      <c r="G10" s="4" t="n">
        <f aca="false">'P&amp;L'!AL14</f>
        <v>3430021.154775</v>
      </c>
    </row>
    <row r="11" customFormat="false" ht="15" hidden="false" customHeight="false" outlineLevel="0" collapsed="false">
      <c r="A11" s="0" t="s">
        <v>13</v>
      </c>
      <c r="B11" s="4" t="n">
        <f aca="false">'P&amp;L'!AG15</f>
        <v>0</v>
      </c>
      <c r="C11" s="4" t="n">
        <f aca="false">'P&amp;L'!AH15</f>
        <v>0</v>
      </c>
      <c r="D11" s="4" t="n">
        <f aca="false">'P&amp;L'!AI15</f>
        <v>49500</v>
      </c>
      <c r="E11" s="4" t="n">
        <f aca="false">'P&amp;L'!AJ15</f>
        <v>409200</v>
      </c>
      <c r="F11" s="4" t="n">
        <f aca="false">'P&amp;L'!AK15</f>
        <v>1122000</v>
      </c>
      <c r="G11" s="4" t="n">
        <f aca="false">'P&amp;L'!AL15</f>
        <v>2244000</v>
      </c>
    </row>
    <row r="12" customFormat="false" ht="15" hidden="false" customHeight="false" outlineLevel="0" collapsed="false">
      <c r="A12" s="0" t="s">
        <v>14</v>
      </c>
      <c r="B12" s="5" t="n">
        <f aca="false">0</f>
        <v>0</v>
      </c>
      <c r="C12" s="5" t="n">
        <f aca="false">IF(B6&gt;0,C6/B6-1,0)</f>
        <v>0</v>
      </c>
      <c r="D12" s="5" t="n">
        <f aca="false">IF(C6&gt;0,D6/C6-1,0)</f>
        <v>14.2638601742767</v>
      </c>
      <c r="E12" s="5" t="n">
        <f aca="false">IF(D6&gt;0,E6/D6-1,0)</f>
        <v>2.15697723297806</v>
      </c>
      <c r="F12" s="5" t="n">
        <f aca="false">IF(E6&gt;0,F6/E6-1,0)</f>
        <v>1.12014218034563</v>
      </c>
      <c r="G12" s="5" t="n">
        <f aca="false">IF(F6&gt;0,G6/F6-1,0)</f>
        <v>0.659959105858392</v>
      </c>
    </row>
    <row r="13" customFormat="false" ht="15" hidden="false" customHeight="false" outlineLevel="0" collapsed="false">
      <c r="A13" s="0" t="s">
        <v>15</v>
      </c>
      <c r="B13" s="4" t="n">
        <f aca="false">'P&amp;L'!AG23</f>
        <v>0</v>
      </c>
      <c r="C13" s="4" t="n">
        <f aca="false">'P&amp;L'!AH23</f>
        <v>73619.8947499999</v>
      </c>
      <c r="D13" s="4" t="n">
        <f aca="false">'P&amp;L'!AI23</f>
        <v>2390437.67123972</v>
      </c>
      <c r="E13" s="4" t="n">
        <f aca="false">'P&amp;L'!AJ23</f>
        <v>9564896.92061676</v>
      </c>
      <c r="F13" s="4" t="n">
        <f aca="false">'P&amp;L'!AK23</f>
        <v>24062948.440681</v>
      </c>
      <c r="G13" s="4" t="n">
        <f aca="false">'P&amp;L'!AL23</f>
        <v>44237881.3230438</v>
      </c>
    </row>
    <row r="14" customFormat="false" ht="15" hidden="false" customHeight="false" outlineLevel="0" collapsed="false">
      <c r="A14" s="0" t="s">
        <v>16</v>
      </c>
      <c r="B14" s="5" t="n">
        <f aca="false">'P&amp;L'!AG24</f>
        <v>0</v>
      </c>
      <c r="C14" s="5" t="n">
        <f aca="false">'P&amp;L'!AH24</f>
        <v>0.1121405370464</v>
      </c>
      <c r="D14" s="5" t="n">
        <f aca="false">'P&amp;L'!AI24</f>
        <v>0.238550584331234</v>
      </c>
      <c r="E14" s="5" t="n">
        <f aca="false">'P&amp;L'!AJ24</f>
        <v>0.302351344762522</v>
      </c>
      <c r="F14" s="5" t="n">
        <f aca="false">'P&amp;L'!AK24</f>
        <v>0.358769458038142</v>
      </c>
      <c r="G14" s="5" t="n">
        <f aca="false">'P&amp;L'!AL24</f>
        <v>0.397341158973387</v>
      </c>
    </row>
    <row r="15" customFormat="false" ht="15" hidden="false" customHeight="false" outlineLevel="0" collapsed="false">
      <c r="A15" s="0" t="s">
        <v>17</v>
      </c>
      <c r="B15" s="5" t="n">
        <f aca="false">'P&amp;L'!AG44</f>
        <v>0</v>
      </c>
      <c r="C15" s="5" t="n">
        <f aca="false">'P&amp;L'!AH44</f>
        <v>0.0870548288726403</v>
      </c>
      <c r="D15" s="5" t="n">
        <f aca="false">'P&amp;L'!AI44</f>
        <v>0.212907639792515</v>
      </c>
      <c r="E15" s="5" t="n">
        <f aca="false">'P&amp;L'!AJ44</f>
        <v>0.252848009760776</v>
      </c>
      <c r="F15" s="5" t="n">
        <f aca="false">'P&amp;L'!AK44</f>
        <v>0.295270169864711</v>
      </c>
      <c r="G15" s="5" t="n">
        <f aca="false">'P&amp;L'!AL44</f>
        <v>0.318019538427491</v>
      </c>
    </row>
    <row r="16" customFormat="false" ht="15" hidden="false" customHeight="false" outlineLevel="0" collapsed="false">
      <c r="A16" s="0" t="s">
        <v>18</v>
      </c>
      <c r="B16" s="4" t="n">
        <f aca="false">'P&amp;L'!AG32</f>
        <v>-198666.666666667</v>
      </c>
      <c r="C16" s="4" t="n">
        <f aca="false">'P&amp;L'!AH32</f>
        <v>-4115400.00380072</v>
      </c>
      <c r="D16" s="4" t="n">
        <f aca="false">'P&amp;L'!AI32</f>
        <v>-4613729.56092694</v>
      </c>
      <c r="E16" s="4" t="n">
        <f aca="false">'P&amp;L'!AJ32</f>
        <v>-8160796.67104991</v>
      </c>
      <c r="F16" s="4" t="n">
        <f aca="false">'P&amp;L'!AK32</f>
        <v>-6583183.85223564</v>
      </c>
      <c r="G16" s="4" t="n">
        <f aca="false">'P&amp;L'!AL32</f>
        <v>-621008.363884307</v>
      </c>
    </row>
    <row r="17" customFormat="false" ht="15" hidden="false" customHeight="false" outlineLevel="0" collapsed="false">
      <c r="A17" s="0" t="s">
        <v>19</v>
      </c>
      <c r="B17" s="5" t="n">
        <f aca="false">'P&amp;L'!AG33</f>
        <v>0</v>
      </c>
      <c r="C17" s="5" t="n">
        <f aca="false">'P&amp;L'!AH33</f>
        <v>-6.26872896455709</v>
      </c>
      <c r="D17" s="5" t="n">
        <f aca="false">'P&amp;L'!AI33</f>
        <v>-0.460421075164288</v>
      </c>
      <c r="E17" s="5" t="n">
        <f aca="false">'P&amp;L'!AJ33</f>
        <v>-0.25796700877215</v>
      </c>
      <c r="F17" s="5" t="n">
        <f aca="false">'P&amp;L'!AK33</f>
        <v>-0.0981527807639346</v>
      </c>
      <c r="G17" s="5" t="n">
        <f aca="false">'P&amp;L'!AL33</f>
        <v>-0.00557784811700335</v>
      </c>
    </row>
    <row r="18" customFormat="false" ht="15" hidden="false" customHeight="false" outlineLevel="0" collapsed="false">
      <c r="A18" s="0" t="s">
        <v>20</v>
      </c>
      <c r="B18" s="4" t="n">
        <f aca="false">'P&amp;L'!AG40</f>
        <v>-194513.333333333</v>
      </c>
      <c r="C18" s="4" t="n">
        <f aca="false">'P&amp;L'!AH40</f>
        <v>-4102395.48665964</v>
      </c>
      <c r="D18" s="4" t="n">
        <f aca="false">'P&amp;L'!AI40</f>
        <v>-4569902.04424971</v>
      </c>
      <c r="E18" s="4" t="n">
        <f aca="false">'P&amp;L'!AJ40</f>
        <v>-7748020.62546673</v>
      </c>
      <c r="F18" s="4" t="n">
        <f aca="false">'P&amp;L'!AK40</f>
        <v>-6678268.66859613</v>
      </c>
      <c r="G18" s="4" t="n">
        <f aca="false">'P&amp;L'!AL40</f>
        <v>-192459.665706394</v>
      </c>
    </row>
    <row r="19" customFormat="false" ht="15" hidden="false" customHeight="false" outlineLevel="0" collapsed="false">
      <c r="A19" s="0" t="s">
        <v>21</v>
      </c>
      <c r="B19" s="4" t="n">
        <f aca="false">'Cash Flow'!AG28</f>
        <v>1305486.66666667</v>
      </c>
      <c r="C19" s="4" t="n">
        <f aca="false">'Cash Flow'!AH28</f>
        <v>2556526.39024591</v>
      </c>
      <c r="D19" s="4" t="n">
        <f aca="false">'Cash Flow'!AI28</f>
        <v>23250148.921424</v>
      </c>
      <c r="E19" s="4" t="n">
        <f aca="false">'Cash Flow'!AJ28</f>
        <v>14378505.2468431</v>
      </c>
      <c r="F19" s="4" t="n">
        <f aca="false">'Cash Flow'!AK28</f>
        <v>38382308.0431785</v>
      </c>
      <c r="G19" s="4" t="n">
        <f aca="false">'Cash Flow'!AL28</f>
        <v>33426497.8882027</v>
      </c>
    </row>
    <row r="20" customFormat="false" ht="15" hidden="false" customHeight="false" outlineLevel="0" collapsed="false">
      <c r="A20" s="0" t="s">
        <v>22</v>
      </c>
      <c r="B20" s="4" t="n">
        <f aca="false">'Cash Flow'!AG29</f>
        <v>194513.333333333</v>
      </c>
      <c r="C20" s="4" t="n">
        <f aca="false">'Cash Flow'!AH29</f>
        <v>4748960.27642075</v>
      </c>
      <c r="D20" s="4" t="n">
        <f aca="false">'Cash Flow'!AI29</f>
        <v>7306377.46882193</v>
      </c>
      <c r="E20" s="4" t="n">
        <f aca="false">'Cash Flow'!AJ29</f>
        <v>8871643.67458089</v>
      </c>
      <c r="F20" s="4" t="n">
        <f aca="false">'Cash Flow'!AK29</f>
        <v>10996197.2036646</v>
      </c>
      <c r="G20" s="4" t="n">
        <f aca="false">'Cash Flow'!AL29</f>
        <v>4955810.1549758</v>
      </c>
    </row>
    <row r="21" customFormat="false" ht="15" hidden="false" customHeight="false" outlineLevel="0" collapsed="false">
      <c r="A21" s="0" t="s">
        <v>23</v>
      </c>
      <c r="B21" s="4" t="n">
        <f aca="false">'Cash Flow'!AG22</f>
        <v>1500000</v>
      </c>
      <c r="C21" s="4" t="n">
        <f aca="false">'Cash Flow'!AH22</f>
        <v>6000000</v>
      </c>
      <c r="D21" s="4" t="n">
        <f aca="false">'Cash Flow'!AI22</f>
        <v>28000000</v>
      </c>
      <c r="E21" s="4" t="n">
        <f aca="false">'Cash Flow'!AJ22</f>
        <v>0</v>
      </c>
      <c r="F21" s="4" t="n">
        <f aca="false">'Cash Flow'!AK22</f>
        <v>35000000</v>
      </c>
      <c r="G21" s="4" t="n">
        <f aca="false">'Cash Flow'!AL22</f>
        <v>0</v>
      </c>
    </row>
    <row r="22" customFormat="false" ht="15" hidden="false" customHeight="false" outlineLevel="0" collapsed="false">
      <c r="A22" s="0" t="s">
        <v>24</v>
      </c>
      <c r="B22" s="4" t="n">
        <f aca="false">'Subscription Cohorts'!AG19</f>
        <v>0</v>
      </c>
      <c r="C22" s="4" t="n">
        <f aca="false">'Subscription Cohorts'!AH19</f>
        <v>0</v>
      </c>
      <c r="D22" s="4" t="n">
        <f aca="false">'Subscription Cohorts'!AI19</f>
        <v>7626.41865954647</v>
      </c>
      <c r="E22" s="4" t="n">
        <f aca="false">'Subscription Cohorts'!AJ19</f>
        <v>32142.0864474646</v>
      </c>
      <c r="F22" s="4" t="n">
        <f aca="false">'Subscription Cohorts'!AK19</f>
        <v>73636.4214397964</v>
      </c>
      <c r="G22" s="4" t="n">
        <f aca="false">'Subscription Cohorts'!AL19</f>
        <v>132277.318104977</v>
      </c>
    </row>
    <row r="23" customFormat="false" ht="15" hidden="false" customHeight="false" outlineLevel="0" collapsed="false">
      <c r="A23" s="0" t="s">
        <v>25</v>
      </c>
      <c r="B23" s="4" t="n">
        <f aca="false">'Subscription Cohorts'!AG24</f>
        <v>0</v>
      </c>
      <c r="C23" s="4" t="n">
        <f aca="false">'Subscription Cohorts'!AH24</f>
        <v>0</v>
      </c>
      <c r="D23" s="4" t="n">
        <f aca="false">'Subscription Cohorts'!AI24</f>
        <v>786259.35925953</v>
      </c>
      <c r="E23" s="4" t="n">
        <f aca="false">'Subscription Cohorts'!AJ24</f>
        <v>3313746.25805697</v>
      </c>
      <c r="F23" s="4" t="n">
        <f aca="false">'Subscription Cohorts'!AK24</f>
        <v>7591679.41389441</v>
      </c>
      <c r="G23" s="4" t="n">
        <f aca="false">'Subscription Cohorts'!AL24</f>
        <v>13637368.2092051</v>
      </c>
    </row>
    <row r="24" customFormat="false" ht="15" hidden="false" customHeight="false" outlineLevel="0" collapsed="false">
      <c r="A24" s="0" t="s">
        <v>26</v>
      </c>
      <c r="B24" s="4" t="n">
        <f aca="false">'Subscription Cohorts'!AG29</f>
        <v>0</v>
      </c>
      <c r="C24" s="4" t="n">
        <f aca="false">'Subscription Cohorts'!AH29</f>
        <v>3655</v>
      </c>
      <c r="D24" s="4" t="n">
        <f aca="false">'Subscription Cohorts'!AI29</f>
        <v>39124.5090546613</v>
      </c>
      <c r="E24" s="4" t="n">
        <f aca="false">'Subscription Cohorts'!AJ29</f>
        <v>138343.294695706</v>
      </c>
      <c r="F24" s="4" t="n">
        <f aca="false">'Subscription Cohorts'!AK29</f>
        <v>332813.709740543</v>
      </c>
      <c r="G24" s="4" t="n">
        <f aca="false">'Subscription Cohorts'!AL29</f>
        <v>619969.944363624</v>
      </c>
    </row>
    <row r="25" customFormat="false" ht="15" hidden="false" customHeight="false" outlineLevel="0" collapsed="false">
      <c r="A25" s="0" t="s">
        <v>27</v>
      </c>
      <c r="B25" s="4" t="n">
        <f aca="false">'Headcount Plan'!AG104</f>
        <v>3</v>
      </c>
      <c r="C25" s="4" t="n">
        <f aca="false">'Headcount Plan'!AH104</f>
        <v>14</v>
      </c>
      <c r="D25" s="4" t="n">
        <f aca="false">'Headcount Plan'!AI104</f>
        <v>30</v>
      </c>
      <c r="E25" s="4" t="n">
        <f aca="false">'Headcount Plan'!AJ104</f>
        <v>61</v>
      </c>
      <c r="F25" s="4" t="n">
        <f aca="false">'Headcount Plan'!AK104</f>
        <v>92</v>
      </c>
      <c r="G25" s="4" t="n">
        <f aca="false">'Headcount Plan'!AL104</f>
        <v>121</v>
      </c>
    </row>
    <row r="26" customFormat="false" ht="15" hidden="false" customHeight="false" outlineLevel="0" collapsed="false">
      <c r="A26" s="2" t="s">
        <v>28</v>
      </c>
    </row>
    <row r="28" customFormat="false" ht="17.35" hidden="false" customHeight="false" outlineLevel="0" collapsed="false">
      <c r="A28" s="6" t="s">
        <v>29</v>
      </c>
    </row>
    <row r="29" customFormat="false" ht="15" hidden="false" customHeight="false" outlineLevel="0" collapsed="false">
      <c r="A29" s="0" t="s">
        <v>30</v>
      </c>
      <c r="B29" s="7" t="n">
        <f aca="false">'Funding &amp; Runway'!D12</f>
        <v>70500000</v>
      </c>
    </row>
    <row r="30" customFormat="false" ht="15" hidden="false" customHeight="false" outlineLevel="0" collapsed="false">
      <c r="A30" s="0" t="s">
        <v>31</v>
      </c>
      <c r="B30" s="7" t="n">
        <f aca="false">'Funding &amp; Runway'!D13</f>
        <v>420194.504670439</v>
      </c>
    </row>
    <row r="31" customFormat="false" ht="15" hidden="false" customHeight="false" outlineLevel="0" collapsed="false">
      <c r="A31" s="0" t="s">
        <v>32</v>
      </c>
      <c r="B31" s="7" t="str">
        <f aca="false">'Funding &amp; Runway'!D14</f>
        <v>May-27</v>
      </c>
    </row>
    <row r="32" customFormat="false" ht="15" hidden="false" customHeight="false" outlineLevel="0" collapsed="false">
      <c r="A32" s="0" t="s">
        <v>33</v>
      </c>
      <c r="B32" s="7" t="n">
        <f aca="false">'Funding &amp; Runway'!D16</f>
        <v>1160489.60642434</v>
      </c>
    </row>
    <row r="33" customFormat="false" ht="15" hidden="false" customHeight="false" outlineLevel="0" collapsed="false">
      <c r="A33" s="0" t="s">
        <v>34</v>
      </c>
      <c r="B33" s="7" t="str">
        <f aca="false">'Funding &amp; Runway'!D17</f>
        <v>Oct-27</v>
      </c>
    </row>
    <row r="34" customFormat="false" ht="15" hidden="false" customHeight="false" outlineLevel="0" collapsed="false">
      <c r="A34" s="0" t="s">
        <v>35</v>
      </c>
      <c r="B34" s="7" t="n">
        <f aca="false">'Funding &amp; Runway'!D18</f>
        <v>1160489.60642434</v>
      </c>
    </row>
    <row r="35" customFormat="false" ht="15" hidden="false" customHeight="false" outlineLevel="0" collapsed="false">
      <c r="A35" s="0" t="s">
        <v>36</v>
      </c>
      <c r="B35" s="7" t="str">
        <f aca="false">'Funding &amp; Runway'!D20</f>
        <v>after Dec-28</v>
      </c>
    </row>
    <row r="36" customFormat="false" ht="15" hidden="false" customHeight="false" outlineLevel="0" collapsed="false">
      <c r="A36" s="0" t="s">
        <v>37</v>
      </c>
      <c r="B36" s="7" t="str">
        <f aca="false">'Funding &amp; Runway'!D21</f>
        <v>after FY31</v>
      </c>
    </row>
    <row r="37" customFormat="false" ht="15" hidden="false" customHeight="false" outlineLevel="0" collapsed="false">
      <c r="A37" s="0" t="s">
        <v>38</v>
      </c>
      <c r="B37" s="7" t="str">
        <f aca="false">'Funding &amp; Runway'!D22</f>
        <v>after FY31</v>
      </c>
    </row>
    <row r="38" customFormat="false" ht="15" hidden="false" customHeight="false" outlineLevel="0" collapsed="false">
      <c r="A38" s="0" t="s">
        <v>39</v>
      </c>
      <c r="B38" s="7" t="n">
        <f aca="false">'Funding &amp; Runway'!D15</f>
        <v>420194.504670439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0"/>
  </cols>
  <sheetData>
    <row r="1" customFormat="false" ht="17.35" hidden="false" customHeight="false" outlineLevel="0" collapsed="false">
      <c r="A1" s="6" t="s">
        <v>40</v>
      </c>
    </row>
    <row r="2" customFormat="false" ht="15" hidden="false" customHeight="false" outlineLevel="0" collapsed="false">
      <c r="B2" s="0" t="s">
        <v>41</v>
      </c>
      <c r="C2" s="0" t="n">
        <v>2027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</row>
    <row r="5" customFormat="false" ht="15" hidden="false" customHeight="false" outlineLevel="0" collapsed="false">
      <c r="A5" s="8" t="s">
        <v>47</v>
      </c>
      <c r="B5" s="9"/>
      <c r="C5" s="9"/>
      <c r="D5" s="9"/>
      <c r="E5" s="9"/>
    </row>
    <row r="6" customFormat="false" ht="15" hidden="false" customHeight="false" outlineLevel="0" collapsed="false">
      <c r="A6" s="0" t="s">
        <v>48</v>
      </c>
      <c r="B6" s="2" t="s">
        <v>49</v>
      </c>
      <c r="C6" s="10" t="n">
        <v>0</v>
      </c>
      <c r="D6" s="2" t="s">
        <v>50</v>
      </c>
      <c r="E6" s="2" t="s">
        <v>51</v>
      </c>
    </row>
    <row r="7" customFormat="false" ht="15" hidden="false" customHeight="false" outlineLevel="0" collapsed="false">
      <c r="A7" s="0" t="s">
        <v>52</v>
      </c>
      <c r="B7" s="2" t="s">
        <v>53</v>
      </c>
      <c r="C7" s="11" t="n">
        <v>0.035</v>
      </c>
      <c r="D7" s="2" t="s">
        <v>54</v>
      </c>
      <c r="E7" s="2" t="s">
        <v>55</v>
      </c>
    </row>
    <row r="8" customFormat="false" ht="15" hidden="false" customHeight="false" outlineLevel="0" collapsed="false">
      <c r="A8" s="0" t="s">
        <v>56</v>
      </c>
      <c r="B8" s="2" t="s">
        <v>57</v>
      </c>
      <c r="C8" s="11" t="n">
        <v>0.21</v>
      </c>
      <c r="D8" s="2" t="s">
        <v>58</v>
      </c>
      <c r="E8" s="2" t="s">
        <v>59</v>
      </c>
    </row>
    <row r="9" customFormat="false" ht="15" hidden="false" customHeight="false" outlineLevel="0" collapsed="false">
      <c r="A9" s="0" t="s">
        <v>60</v>
      </c>
      <c r="B9" s="2" t="s">
        <v>61</v>
      </c>
      <c r="C9" s="11" t="n">
        <v>0.25</v>
      </c>
      <c r="D9" s="2" t="s">
        <v>58</v>
      </c>
      <c r="E9" s="2" t="s">
        <v>62</v>
      </c>
    </row>
    <row r="10" customFormat="false" ht="15" hidden="false" customHeight="false" outlineLevel="0" collapsed="false">
      <c r="A10" s="0" t="s">
        <v>63</v>
      </c>
      <c r="B10" s="2" t="s">
        <v>64</v>
      </c>
      <c r="C10" s="11" t="n">
        <v>0.03</v>
      </c>
      <c r="D10" s="2" t="s">
        <v>54</v>
      </c>
      <c r="E10" s="2" t="s">
        <v>65</v>
      </c>
    </row>
    <row r="12" customFormat="false" ht="15" hidden="false" customHeight="false" outlineLevel="0" collapsed="false">
      <c r="A12" s="8" t="s">
        <v>66</v>
      </c>
      <c r="B12" s="9"/>
      <c r="C12" s="9"/>
      <c r="D12" s="9"/>
      <c r="E12" s="9"/>
    </row>
    <row r="13" customFormat="false" ht="15" hidden="false" customHeight="false" outlineLevel="0" collapsed="false">
      <c r="A13" s="0" t="s">
        <v>67</v>
      </c>
      <c r="B13" s="2" t="s">
        <v>68</v>
      </c>
      <c r="C13" s="10" t="n">
        <v>149</v>
      </c>
      <c r="D13" s="2" t="s">
        <v>50</v>
      </c>
      <c r="E13" s="2" t="s">
        <v>69</v>
      </c>
    </row>
    <row r="14" customFormat="false" ht="15" hidden="false" customHeight="false" outlineLevel="0" collapsed="false">
      <c r="A14" s="0" t="s">
        <v>70</v>
      </c>
      <c r="B14" s="2" t="s">
        <v>71</v>
      </c>
      <c r="C14" s="10" t="n">
        <v>299</v>
      </c>
      <c r="D14" s="2" t="s">
        <v>50</v>
      </c>
      <c r="E14" s="2" t="s">
        <v>72</v>
      </c>
    </row>
    <row r="15" customFormat="false" ht="15" hidden="false" customHeight="false" outlineLevel="0" collapsed="false">
      <c r="A15" s="0" t="s">
        <v>73</v>
      </c>
      <c r="B15" s="2" t="s">
        <v>74</v>
      </c>
      <c r="C15" s="10" t="n">
        <v>599</v>
      </c>
      <c r="D15" s="2" t="s">
        <v>50</v>
      </c>
      <c r="E15" s="2" t="s">
        <v>75</v>
      </c>
    </row>
    <row r="16" customFormat="false" ht="15" hidden="false" customHeight="false" outlineLevel="0" collapsed="false">
      <c r="A16" s="0" t="s">
        <v>76</v>
      </c>
      <c r="B16" s="2" t="s">
        <v>77</v>
      </c>
      <c r="C16" s="10" t="n">
        <v>112</v>
      </c>
      <c r="D16" s="2" t="s">
        <v>50</v>
      </c>
      <c r="E16" s="2" t="s">
        <v>78</v>
      </c>
    </row>
    <row r="17" customFormat="false" ht="15" hidden="false" customHeight="false" outlineLevel="0" collapsed="false">
      <c r="A17" s="0" t="s">
        <v>79</v>
      </c>
      <c r="B17" s="2" t="s">
        <v>80</v>
      </c>
      <c r="C17" s="10" t="n">
        <v>226</v>
      </c>
      <c r="D17" s="2" t="s">
        <v>50</v>
      </c>
      <c r="E17" s="2" t="s">
        <v>81</v>
      </c>
    </row>
    <row r="18" customFormat="false" ht="15" hidden="false" customHeight="false" outlineLevel="0" collapsed="false">
      <c r="A18" s="0" t="s">
        <v>82</v>
      </c>
      <c r="B18" s="2" t="s">
        <v>83</v>
      </c>
      <c r="C18" s="10" t="n">
        <v>129</v>
      </c>
      <c r="D18" s="2" t="s">
        <v>50</v>
      </c>
      <c r="E18" s="2" t="s">
        <v>84</v>
      </c>
    </row>
    <row r="19" customFormat="false" ht="15" hidden="false" customHeight="false" outlineLevel="0" collapsed="false">
      <c r="A19" s="0" t="s">
        <v>85</v>
      </c>
      <c r="B19" s="2" t="s">
        <v>86</v>
      </c>
      <c r="C19" s="10" t="n">
        <v>442</v>
      </c>
      <c r="D19" s="2" t="s">
        <v>50</v>
      </c>
      <c r="E19" s="2" t="s">
        <v>87</v>
      </c>
    </row>
    <row r="20" customFormat="false" ht="15" hidden="false" customHeight="false" outlineLevel="0" collapsed="false">
      <c r="A20" s="0" t="s">
        <v>88</v>
      </c>
      <c r="B20" s="2" t="s">
        <v>89</v>
      </c>
      <c r="C20" s="10" t="n">
        <v>499</v>
      </c>
      <c r="D20" s="2" t="s">
        <v>50</v>
      </c>
      <c r="E20" s="2" t="s">
        <v>90</v>
      </c>
    </row>
    <row r="21" customFormat="false" ht="15" hidden="false" customHeight="false" outlineLevel="0" collapsed="false">
      <c r="A21" s="0" t="s">
        <v>91</v>
      </c>
      <c r="B21" s="2" t="s">
        <v>92</v>
      </c>
      <c r="C21" s="10" t="n">
        <v>259</v>
      </c>
      <c r="D21" s="2" t="s">
        <v>50</v>
      </c>
      <c r="E21" s="2" t="s">
        <v>93</v>
      </c>
    </row>
    <row r="22" customFormat="false" ht="15" hidden="false" customHeight="false" outlineLevel="0" collapsed="false">
      <c r="A22" s="0" t="s">
        <v>94</v>
      </c>
      <c r="B22" s="2" t="s">
        <v>95</v>
      </c>
      <c r="C22" s="11" t="n">
        <v>0.06</v>
      </c>
      <c r="D22" s="2" t="s">
        <v>58</v>
      </c>
      <c r="E22" s="2" t="s">
        <v>96</v>
      </c>
    </row>
    <row r="23" customFormat="false" ht="15" hidden="false" customHeight="false" outlineLevel="0" collapsed="false">
      <c r="A23" s="0" t="s">
        <v>97</v>
      </c>
      <c r="B23" s="2" t="s">
        <v>98</v>
      </c>
      <c r="C23" s="11" t="n">
        <v>0.38</v>
      </c>
      <c r="D23" s="2" t="s">
        <v>58</v>
      </c>
      <c r="E23" s="2" t="s">
        <v>99</v>
      </c>
    </row>
    <row r="24" customFormat="false" ht="15" hidden="false" customHeight="false" outlineLevel="0" collapsed="false">
      <c r="A24" s="0" t="s">
        <v>100</v>
      </c>
      <c r="B24" s="2" t="s">
        <v>101</v>
      </c>
      <c r="C24" s="11" t="n">
        <v>0.04</v>
      </c>
      <c r="D24" s="2" t="s">
        <v>58</v>
      </c>
      <c r="E24" s="2" t="s">
        <v>102</v>
      </c>
    </row>
    <row r="26" customFormat="false" ht="15" hidden="false" customHeight="false" outlineLevel="0" collapsed="false">
      <c r="A26" s="8" t="s">
        <v>103</v>
      </c>
      <c r="B26" s="9"/>
      <c r="C26" s="9"/>
      <c r="D26" s="9"/>
      <c r="E26" s="9"/>
    </row>
    <row r="27" customFormat="false" ht="15" hidden="false" customHeight="false" outlineLevel="0" collapsed="false">
      <c r="A27" s="0" t="s">
        <v>104</v>
      </c>
      <c r="B27" s="2" t="s">
        <v>105</v>
      </c>
      <c r="C27" s="12" t="n">
        <v>62.03</v>
      </c>
      <c r="D27" s="2" t="s">
        <v>50</v>
      </c>
      <c r="E27" s="2" t="s">
        <v>106</v>
      </c>
    </row>
    <row r="28" customFormat="false" ht="15" hidden="false" customHeight="false" outlineLevel="0" collapsed="false">
      <c r="A28" s="0" t="s">
        <v>107</v>
      </c>
      <c r="B28" s="2" t="s">
        <v>108</v>
      </c>
      <c r="C28" s="12" t="n">
        <v>0</v>
      </c>
      <c r="D28" s="2" t="s">
        <v>50</v>
      </c>
      <c r="E28" s="2" t="s">
        <v>109</v>
      </c>
    </row>
    <row r="29" customFormat="false" ht="15" hidden="false" customHeight="false" outlineLevel="0" collapsed="false">
      <c r="A29" s="0" t="s">
        <v>110</v>
      </c>
      <c r="B29" s="2" t="s">
        <v>111</v>
      </c>
      <c r="C29" s="12" t="n">
        <v>0</v>
      </c>
      <c r="D29" s="2" t="s">
        <v>50</v>
      </c>
      <c r="E29" s="2" t="s">
        <v>112</v>
      </c>
    </row>
    <row r="30" customFormat="false" ht="15" hidden="false" customHeight="false" outlineLevel="0" collapsed="false">
      <c r="A30" s="0" t="s">
        <v>113</v>
      </c>
      <c r="B30" s="2" t="s">
        <v>114</v>
      </c>
      <c r="C30" s="12" t="n">
        <v>219.11</v>
      </c>
      <c r="D30" s="2" t="s">
        <v>50</v>
      </c>
      <c r="E30" s="2" t="s">
        <v>115</v>
      </c>
    </row>
    <row r="31" customFormat="false" ht="15" hidden="false" customHeight="false" outlineLevel="0" collapsed="false">
      <c r="A31" s="0" t="s">
        <v>116</v>
      </c>
      <c r="B31" s="2" t="s">
        <v>117</v>
      </c>
      <c r="C31" s="12" t="n">
        <v>5.8</v>
      </c>
      <c r="D31" s="2" t="s">
        <v>50</v>
      </c>
      <c r="E31" s="2" t="s">
        <v>118</v>
      </c>
    </row>
    <row r="32" customFormat="false" ht="15" hidden="false" customHeight="false" outlineLevel="0" collapsed="false">
      <c r="A32" s="0" t="s">
        <v>119</v>
      </c>
      <c r="B32" s="2" t="s">
        <v>120</v>
      </c>
      <c r="C32" s="12" t="n">
        <v>0</v>
      </c>
      <c r="D32" s="2" t="s">
        <v>50</v>
      </c>
      <c r="E32" s="2"/>
    </row>
    <row r="33" customFormat="false" ht="15" hidden="false" customHeight="false" outlineLevel="0" collapsed="false">
      <c r="A33" s="0" t="s">
        <v>121</v>
      </c>
      <c r="B33" s="2" t="s">
        <v>122</v>
      </c>
      <c r="C33" s="12" t="n">
        <v>305.55</v>
      </c>
      <c r="D33" s="2" t="s">
        <v>50</v>
      </c>
      <c r="E33" s="2" t="s">
        <v>123</v>
      </c>
    </row>
    <row r="34" customFormat="false" ht="15" hidden="false" customHeight="false" outlineLevel="0" collapsed="false">
      <c r="A34" s="0" t="s">
        <v>124</v>
      </c>
      <c r="B34" s="2" t="s">
        <v>125</v>
      </c>
      <c r="C34" s="12" t="n">
        <v>8.7</v>
      </c>
      <c r="D34" s="2" t="s">
        <v>50</v>
      </c>
      <c r="E34" s="2" t="s">
        <v>118</v>
      </c>
    </row>
    <row r="35" customFormat="false" ht="15" hidden="false" customHeight="false" outlineLevel="0" collapsed="false">
      <c r="A35" s="0" t="s">
        <v>126</v>
      </c>
      <c r="B35" s="2" t="s">
        <v>127</v>
      </c>
      <c r="C35" s="12" t="n">
        <v>0</v>
      </c>
      <c r="D35" s="2" t="s">
        <v>50</v>
      </c>
      <c r="E35" s="2"/>
    </row>
    <row r="36" customFormat="false" ht="15" hidden="false" customHeight="false" outlineLevel="0" collapsed="false">
      <c r="A36" s="0" t="s">
        <v>128</v>
      </c>
      <c r="B36" s="2" t="s">
        <v>129</v>
      </c>
      <c r="C36" s="11" t="n">
        <v>0.01</v>
      </c>
      <c r="D36" s="2" t="s">
        <v>58</v>
      </c>
      <c r="E36" s="2" t="s">
        <v>130</v>
      </c>
    </row>
    <row r="37" customFormat="false" ht="15" hidden="false" customHeight="false" outlineLevel="0" collapsed="false">
      <c r="A37" s="0" t="s">
        <v>131</v>
      </c>
      <c r="B37" s="2" t="s">
        <v>132</v>
      </c>
      <c r="C37" s="11" t="n">
        <v>0.02</v>
      </c>
      <c r="D37" s="2" t="s">
        <v>58</v>
      </c>
      <c r="E37" s="2" t="s">
        <v>133</v>
      </c>
    </row>
    <row r="38" customFormat="false" ht="15" hidden="false" customHeight="false" outlineLevel="0" collapsed="false">
      <c r="A38" s="0" t="s">
        <v>134</v>
      </c>
      <c r="B38" s="2" t="s">
        <v>135</v>
      </c>
      <c r="C38" s="12" t="n">
        <v>11</v>
      </c>
      <c r="D38" s="2" t="s">
        <v>50</v>
      </c>
      <c r="E38" s="2" t="s">
        <v>136</v>
      </c>
    </row>
    <row r="39" customFormat="false" ht="15" hidden="false" customHeight="false" outlineLevel="0" collapsed="false">
      <c r="A39" s="0" t="s">
        <v>137</v>
      </c>
      <c r="B39" s="2" t="s">
        <v>138</v>
      </c>
      <c r="C39" s="12" t="n">
        <v>4</v>
      </c>
      <c r="D39" s="2" t="s">
        <v>50</v>
      </c>
      <c r="E39" s="2" t="s">
        <v>139</v>
      </c>
    </row>
    <row r="40" customFormat="false" ht="15" hidden="false" customHeight="false" outlineLevel="0" collapsed="false">
      <c r="A40" s="0" t="s">
        <v>140</v>
      </c>
      <c r="B40" s="2" t="s">
        <v>141</v>
      </c>
      <c r="C40" s="12" t="n">
        <v>6</v>
      </c>
      <c r="D40" s="2" t="s">
        <v>50</v>
      </c>
      <c r="E40" s="2" t="s">
        <v>142</v>
      </c>
    </row>
    <row r="41" customFormat="false" ht="15" hidden="false" customHeight="false" outlineLevel="0" collapsed="false">
      <c r="A41" s="0" t="s">
        <v>143</v>
      </c>
      <c r="B41" s="2" t="s">
        <v>144</v>
      </c>
      <c r="C41" s="11" t="n">
        <v>0.029</v>
      </c>
      <c r="D41" s="2" t="s">
        <v>58</v>
      </c>
      <c r="E41" s="2" t="s">
        <v>145</v>
      </c>
    </row>
    <row r="42" customFormat="false" ht="15" hidden="false" customHeight="false" outlineLevel="0" collapsed="false">
      <c r="A42" s="0" t="s">
        <v>146</v>
      </c>
      <c r="B42" s="2" t="s">
        <v>147</v>
      </c>
      <c r="C42" s="12" t="n">
        <v>0.3</v>
      </c>
      <c r="D42" s="2" t="s">
        <v>50</v>
      </c>
      <c r="E42" s="2"/>
    </row>
    <row r="44" customFormat="false" ht="15" hidden="false" customHeight="false" outlineLevel="0" collapsed="false">
      <c r="A44" s="8" t="s">
        <v>148</v>
      </c>
      <c r="B44" s="9"/>
      <c r="C44" s="9"/>
      <c r="D44" s="9"/>
      <c r="E44" s="9"/>
    </row>
    <row r="45" customFormat="false" ht="15" hidden="false" customHeight="false" outlineLevel="0" collapsed="false">
      <c r="A45" s="0" t="s">
        <v>149</v>
      </c>
      <c r="B45" s="2" t="s">
        <v>150</v>
      </c>
      <c r="C45" s="10" t="n">
        <v>4000</v>
      </c>
      <c r="D45" s="2" t="s">
        <v>151</v>
      </c>
      <c r="E45" s="2" t="s">
        <v>152</v>
      </c>
    </row>
    <row r="46" customFormat="false" ht="15" hidden="false" customHeight="false" outlineLevel="0" collapsed="false">
      <c r="A46" s="0" t="s">
        <v>153</v>
      </c>
      <c r="B46" s="2" t="s">
        <v>154</v>
      </c>
      <c r="C46" s="10" t="n">
        <v>1000</v>
      </c>
      <c r="D46" s="2" t="s">
        <v>151</v>
      </c>
      <c r="E46" s="2" t="s">
        <v>155</v>
      </c>
    </row>
    <row r="47" customFormat="false" ht="15" hidden="false" customHeight="false" outlineLevel="0" collapsed="false">
      <c r="A47" s="0" t="s">
        <v>156</v>
      </c>
      <c r="B47" s="2" t="s">
        <v>157</v>
      </c>
      <c r="C47" s="11" t="n">
        <v>0.45</v>
      </c>
      <c r="D47" s="2" t="s">
        <v>58</v>
      </c>
      <c r="E47" s="2" t="s">
        <v>158</v>
      </c>
    </row>
    <row r="48" customFormat="false" ht="15" hidden="false" customHeight="false" outlineLevel="0" collapsed="false">
      <c r="A48" s="0" t="s">
        <v>159</v>
      </c>
      <c r="B48" s="2" t="s">
        <v>160</v>
      </c>
      <c r="C48" s="11" t="n">
        <v>0.15</v>
      </c>
      <c r="D48" s="2" t="s">
        <v>58</v>
      </c>
      <c r="E48" s="2" t="s">
        <v>161</v>
      </c>
    </row>
    <row r="49" customFormat="false" ht="15" hidden="false" customHeight="false" outlineLevel="0" collapsed="false">
      <c r="A49" s="0" t="s">
        <v>162</v>
      </c>
      <c r="B49" s="2" t="s">
        <v>163</v>
      </c>
      <c r="C49" s="11" t="n">
        <v>0.05</v>
      </c>
      <c r="D49" s="2" t="s">
        <v>58</v>
      </c>
      <c r="E49" s="2" t="s">
        <v>164</v>
      </c>
    </row>
    <row r="50" customFormat="false" ht="15" hidden="false" customHeight="false" outlineLevel="0" collapsed="false">
      <c r="A50" s="0" t="s">
        <v>165</v>
      </c>
      <c r="B50" s="2" t="s">
        <v>166</v>
      </c>
      <c r="C50" s="11" t="n">
        <v>0.03</v>
      </c>
      <c r="D50" s="2" t="s">
        <v>58</v>
      </c>
      <c r="E50" s="2" t="s">
        <v>167</v>
      </c>
    </row>
    <row r="51" customFormat="false" ht="15" hidden="false" customHeight="false" outlineLevel="0" collapsed="false">
      <c r="A51" s="0" t="s">
        <v>168</v>
      </c>
      <c r="B51" s="2" t="s">
        <v>169</v>
      </c>
      <c r="C51" s="12" t="n">
        <v>0.2</v>
      </c>
      <c r="D51" s="2" t="s">
        <v>50</v>
      </c>
      <c r="E51" s="2"/>
    </row>
    <row r="52" customFormat="false" ht="15" hidden="false" customHeight="false" outlineLevel="0" collapsed="false">
      <c r="A52" s="0" t="s">
        <v>170</v>
      </c>
      <c r="B52" s="2" t="s">
        <v>171</v>
      </c>
      <c r="C52" s="12" t="n">
        <v>1.15</v>
      </c>
      <c r="D52" s="2" t="s">
        <v>151</v>
      </c>
      <c r="E52" s="2" t="s">
        <v>172</v>
      </c>
    </row>
    <row r="54" customFormat="false" ht="15" hidden="false" customHeight="false" outlineLevel="0" collapsed="false">
      <c r="A54" s="8" t="s">
        <v>173</v>
      </c>
      <c r="B54" s="9"/>
      <c r="C54" s="9"/>
      <c r="D54" s="9"/>
      <c r="E54" s="9"/>
    </row>
    <row r="55" customFormat="false" ht="15" hidden="false" customHeight="false" outlineLevel="0" collapsed="false">
      <c r="A55" s="0" t="s">
        <v>174</v>
      </c>
      <c r="B55" s="2" t="s">
        <v>175</v>
      </c>
      <c r="C55" s="12" t="n">
        <v>9.99</v>
      </c>
      <c r="D55" s="2" t="s">
        <v>176</v>
      </c>
      <c r="E55" s="2" t="s">
        <v>177</v>
      </c>
    </row>
    <row r="56" customFormat="false" ht="15" hidden="false" customHeight="false" outlineLevel="0" collapsed="false">
      <c r="A56" s="0" t="s">
        <v>178</v>
      </c>
      <c r="B56" s="2" t="s">
        <v>179</v>
      </c>
      <c r="C56" s="11" t="n">
        <v>0.86</v>
      </c>
      <c r="D56" s="2" t="s">
        <v>58</v>
      </c>
      <c r="E56" s="2" t="s">
        <v>180</v>
      </c>
    </row>
    <row r="57" customFormat="false" ht="15" hidden="false" customHeight="false" outlineLevel="0" collapsed="false">
      <c r="A57" s="0" t="s">
        <v>181</v>
      </c>
      <c r="B57" s="2" t="s">
        <v>182</v>
      </c>
      <c r="C57" s="10" t="n">
        <v>3</v>
      </c>
      <c r="D57" s="2" t="s">
        <v>183</v>
      </c>
      <c r="E57" s="2" t="s">
        <v>177</v>
      </c>
    </row>
    <row r="58" customFormat="false" ht="15" hidden="false" customHeight="false" outlineLevel="0" collapsed="false">
      <c r="A58" s="0" t="s">
        <v>184</v>
      </c>
      <c r="B58" s="2" t="s">
        <v>185</v>
      </c>
      <c r="C58" s="11" t="n">
        <v>0.28</v>
      </c>
      <c r="D58" s="2" t="s">
        <v>58</v>
      </c>
      <c r="E58" s="2" t="s">
        <v>186</v>
      </c>
    </row>
    <row r="59" customFormat="false" ht="15" hidden="false" customHeight="false" outlineLevel="0" collapsed="false">
      <c r="A59" s="0" t="s">
        <v>187</v>
      </c>
      <c r="B59" s="2" t="s">
        <v>188</v>
      </c>
      <c r="C59" s="11" t="n">
        <v>0.4</v>
      </c>
      <c r="D59" s="2" t="s">
        <v>58</v>
      </c>
      <c r="E59" s="2" t="s">
        <v>189</v>
      </c>
    </row>
    <row r="60" customFormat="false" ht="15" hidden="false" customHeight="false" outlineLevel="0" collapsed="false">
      <c r="A60" s="0" t="s">
        <v>190</v>
      </c>
      <c r="B60" s="2" t="s">
        <v>191</v>
      </c>
      <c r="C60" s="11" t="n">
        <v>0.55</v>
      </c>
      <c r="D60" s="2" t="s">
        <v>58</v>
      </c>
      <c r="E60" s="2" t="s">
        <v>192</v>
      </c>
    </row>
    <row r="61" customFormat="false" ht="15" hidden="false" customHeight="false" outlineLevel="0" collapsed="false">
      <c r="A61" s="0" t="s">
        <v>193</v>
      </c>
      <c r="B61" s="2" t="s">
        <v>194</v>
      </c>
      <c r="C61" s="11" t="n">
        <v>0.06</v>
      </c>
      <c r="D61" s="2" t="s">
        <v>195</v>
      </c>
      <c r="E61" s="2" t="s">
        <v>196</v>
      </c>
    </row>
    <row r="62" customFormat="false" ht="15" hidden="false" customHeight="false" outlineLevel="0" collapsed="false">
      <c r="A62" s="0" t="s">
        <v>197</v>
      </c>
      <c r="B62" s="2" t="s">
        <v>198</v>
      </c>
      <c r="C62" s="12" t="n">
        <v>32</v>
      </c>
      <c r="D62" s="2" t="s">
        <v>50</v>
      </c>
      <c r="E62" s="2" t="s">
        <v>199</v>
      </c>
    </row>
    <row r="63" customFormat="false" ht="15" hidden="false" customHeight="false" outlineLevel="0" collapsed="false">
      <c r="A63" s="0" t="s">
        <v>200</v>
      </c>
      <c r="B63" s="2" t="s">
        <v>201</v>
      </c>
      <c r="C63" s="12" t="n">
        <v>0.03</v>
      </c>
      <c r="D63" s="2" t="s">
        <v>202</v>
      </c>
      <c r="E63" s="2" t="s">
        <v>203</v>
      </c>
    </row>
    <row r="64" customFormat="false" ht="15" hidden="false" customHeight="false" outlineLevel="0" collapsed="false">
      <c r="A64" s="0" t="s">
        <v>204</v>
      </c>
      <c r="B64" s="2" t="s">
        <v>205</v>
      </c>
      <c r="C64" s="11" t="n">
        <v>0.02</v>
      </c>
      <c r="D64" s="2" t="s">
        <v>195</v>
      </c>
      <c r="E64" s="2" t="s">
        <v>206</v>
      </c>
    </row>
    <row r="66" customFormat="false" ht="15" hidden="false" customHeight="false" outlineLevel="0" collapsed="false">
      <c r="A66" s="8" t="s">
        <v>207</v>
      </c>
      <c r="B66" s="9"/>
      <c r="C66" s="9"/>
      <c r="D66" s="9"/>
      <c r="E66" s="9"/>
    </row>
    <row r="67" customFormat="false" ht="15" hidden="false" customHeight="false" outlineLevel="0" collapsed="false">
      <c r="A67" s="0" t="s">
        <v>208</v>
      </c>
      <c r="B67" s="2" t="s">
        <v>209</v>
      </c>
      <c r="C67" s="12" t="n">
        <v>0.3</v>
      </c>
      <c r="D67" s="2" t="s">
        <v>210</v>
      </c>
      <c r="E67" s="2" t="s">
        <v>211</v>
      </c>
    </row>
    <row r="68" customFormat="false" ht="15" hidden="false" customHeight="false" outlineLevel="0" collapsed="false">
      <c r="A68" s="0" t="s">
        <v>212</v>
      </c>
      <c r="B68" s="2" t="s">
        <v>213</v>
      </c>
      <c r="C68" s="12" t="n">
        <v>45</v>
      </c>
      <c r="D68" s="2" t="s">
        <v>50</v>
      </c>
      <c r="E68" s="2" t="s">
        <v>214</v>
      </c>
    </row>
    <row r="69" customFormat="false" ht="15" hidden="false" customHeight="false" outlineLevel="0" collapsed="false">
      <c r="A69" s="0" t="s">
        <v>215</v>
      </c>
      <c r="B69" s="2" t="s">
        <v>216</v>
      </c>
      <c r="C69" s="11" t="n">
        <v>0.38</v>
      </c>
      <c r="D69" s="2" t="s">
        <v>58</v>
      </c>
      <c r="E69" s="2" t="s">
        <v>217</v>
      </c>
    </row>
    <row r="70" customFormat="false" ht="15" hidden="false" customHeight="false" outlineLevel="0" collapsed="false">
      <c r="A70" s="0" t="s">
        <v>218</v>
      </c>
      <c r="B70" s="2" t="s">
        <v>219</v>
      </c>
      <c r="C70" s="12" t="n">
        <v>22</v>
      </c>
      <c r="D70" s="2" t="s">
        <v>220</v>
      </c>
      <c r="E70" s="2" t="s">
        <v>221</v>
      </c>
    </row>
    <row r="71" customFormat="false" ht="15" hidden="false" customHeight="false" outlineLevel="0" collapsed="false">
      <c r="A71" s="0" t="s">
        <v>222</v>
      </c>
      <c r="B71" s="2" t="s">
        <v>223</v>
      </c>
      <c r="C71" s="12" t="n">
        <v>95</v>
      </c>
      <c r="D71" s="2" t="s">
        <v>224</v>
      </c>
      <c r="E71" s="2" t="s">
        <v>225</v>
      </c>
    </row>
    <row r="72" customFormat="false" ht="15" hidden="false" customHeight="false" outlineLevel="0" collapsed="false">
      <c r="A72" s="0" t="s">
        <v>226</v>
      </c>
      <c r="B72" s="2" t="s">
        <v>227</v>
      </c>
      <c r="C72" s="12" t="n">
        <v>3</v>
      </c>
      <c r="D72" s="2" t="s">
        <v>220</v>
      </c>
      <c r="E72" s="2"/>
    </row>
    <row r="73" customFormat="false" ht="15" hidden="false" customHeight="false" outlineLevel="0" collapsed="false">
      <c r="A73" s="0" t="s">
        <v>228</v>
      </c>
      <c r="B73" s="2" t="s">
        <v>229</v>
      </c>
      <c r="C73" s="11" t="n">
        <v>0.01</v>
      </c>
      <c r="D73" s="2" t="s">
        <v>195</v>
      </c>
      <c r="E73" s="2"/>
    </row>
    <row r="75" customFormat="false" ht="15" hidden="false" customHeight="false" outlineLevel="0" collapsed="false">
      <c r="A75" s="8" t="s">
        <v>230</v>
      </c>
      <c r="B75" s="9"/>
      <c r="C75" s="9"/>
      <c r="D75" s="9"/>
      <c r="E75" s="9"/>
    </row>
    <row r="76" customFormat="false" ht="15" hidden="false" customHeight="false" outlineLevel="0" collapsed="false">
      <c r="A76" s="0" t="s">
        <v>231</v>
      </c>
      <c r="B76" s="2" t="s">
        <v>232</v>
      </c>
      <c r="C76" s="12" t="n">
        <v>0.3</v>
      </c>
      <c r="D76" s="2" t="s">
        <v>233</v>
      </c>
      <c r="E76" s="2" t="s">
        <v>234</v>
      </c>
    </row>
    <row r="77" customFormat="false" ht="15" hidden="false" customHeight="false" outlineLevel="0" collapsed="false">
      <c r="A77" s="0" t="s">
        <v>235</v>
      </c>
      <c r="B77" s="2" t="s">
        <v>236</v>
      </c>
      <c r="C77" s="12" t="n">
        <v>0.15</v>
      </c>
      <c r="D77" s="2" t="s">
        <v>233</v>
      </c>
      <c r="E77" s="2" t="s">
        <v>237</v>
      </c>
    </row>
    <row r="78" customFormat="false" ht="15" hidden="false" customHeight="false" outlineLevel="0" collapsed="false">
      <c r="A78" s="0" t="s">
        <v>238</v>
      </c>
      <c r="B78" s="2" t="s">
        <v>239</v>
      </c>
      <c r="C78" s="12" t="n">
        <v>0.7</v>
      </c>
      <c r="D78" s="2" t="s">
        <v>233</v>
      </c>
      <c r="E78" s="2" t="s">
        <v>240</v>
      </c>
    </row>
    <row r="79" customFormat="false" ht="15" hidden="false" customHeight="false" outlineLevel="0" collapsed="false">
      <c r="A79" s="0" t="s">
        <v>241</v>
      </c>
      <c r="B79" s="2" t="s">
        <v>242</v>
      </c>
      <c r="C79" s="12" t="n">
        <v>0.25</v>
      </c>
      <c r="D79" s="2" t="s">
        <v>233</v>
      </c>
      <c r="E79" s="2"/>
    </row>
    <row r="80" customFormat="false" ht="15" hidden="false" customHeight="false" outlineLevel="0" collapsed="false">
      <c r="A80" s="0" t="s">
        <v>243</v>
      </c>
      <c r="B80" s="2" t="s">
        <v>244</v>
      </c>
      <c r="C80" s="12" t="n">
        <v>0.7</v>
      </c>
      <c r="D80" s="2" t="s">
        <v>245</v>
      </c>
      <c r="E80" s="2" t="s">
        <v>246</v>
      </c>
    </row>
    <row r="81" customFormat="false" ht="15" hidden="false" customHeight="false" outlineLevel="0" collapsed="false">
      <c r="A81" s="0" t="s">
        <v>247</v>
      </c>
      <c r="B81" s="2" t="s">
        <v>248</v>
      </c>
      <c r="C81" s="12" t="n">
        <v>1.6</v>
      </c>
      <c r="D81" s="2" t="s">
        <v>249</v>
      </c>
      <c r="E81" s="2" t="s">
        <v>250</v>
      </c>
    </row>
    <row r="82" customFormat="false" ht="15" hidden="false" customHeight="false" outlineLevel="0" collapsed="false">
      <c r="A82" s="0" t="s">
        <v>251</v>
      </c>
      <c r="B82" s="2" t="s">
        <v>252</v>
      </c>
      <c r="C82" s="11" t="n">
        <v>0.08</v>
      </c>
      <c r="D82" s="2" t="s">
        <v>253</v>
      </c>
      <c r="E82" s="2" t="s">
        <v>254</v>
      </c>
    </row>
    <row r="83" customFormat="false" ht="15" hidden="false" customHeight="false" outlineLevel="0" collapsed="false">
      <c r="A83" s="0" t="s">
        <v>255</v>
      </c>
      <c r="B83" s="2" t="s">
        <v>256</v>
      </c>
      <c r="C83" s="12" t="n">
        <v>0.12</v>
      </c>
      <c r="D83" s="2" t="s">
        <v>257</v>
      </c>
      <c r="E83" s="2" t="s">
        <v>258</v>
      </c>
    </row>
    <row r="84" customFormat="false" ht="15" hidden="false" customHeight="false" outlineLevel="0" collapsed="false">
      <c r="A84" s="0" t="s">
        <v>259</v>
      </c>
      <c r="B84" s="2" t="s">
        <v>260</v>
      </c>
      <c r="C84" s="12" t="n">
        <v>2.5</v>
      </c>
      <c r="D84" s="2" t="s">
        <v>245</v>
      </c>
      <c r="E84" s="2" t="s">
        <v>261</v>
      </c>
    </row>
    <row r="85" customFormat="false" ht="15" hidden="false" customHeight="false" outlineLevel="0" collapsed="false">
      <c r="A85" s="0" t="s">
        <v>262</v>
      </c>
      <c r="B85" s="2" t="s">
        <v>263</v>
      </c>
      <c r="C85" s="12" t="n">
        <v>0.8</v>
      </c>
      <c r="D85" s="2" t="s">
        <v>264</v>
      </c>
      <c r="E85" s="2"/>
    </row>
    <row r="86" customFormat="false" ht="15" hidden="false" customHeight="false" outlineLevel="0" collapsed="false">
      <c r="A86" s="0" t="s">
        <v>265</v>
      </c>
      <c r="B86" s="2" t="s">
        <v>266</v>
      </c>
      <c r="C86" s="11" t="n">
        <v>0.2</v>
      </c>
      <c r="D86" s="2" t="s">
        <v>54</v>
      </c>
      <c r="E86" s="2" t="s">
        <v>267</v>
      </c>
    </row>
    <row r="87" customFormat="false" ht="15" hidden="false" customHeight="false" outlineLevel="0" collapsed="false">
      <c r="A87" s="0" t="s">
        <v>268</v>
      </c>
      <c r="B87" s="2" t="s">
        <v>269</v>
      </c>
      <c r="C87" s="11" t="n">
        <v>0.08</v>
      </c>
      <c r="D87" s="2" t="s">
        <v>54</v>
      </c>
      <c r="E87" s="2"/>
    </row>
    <row r="89" customFormat="false" ht="15" hidden="false" customHeight="false" outlineLevel="0" collapsed="false">
      <c r="A89" s="8" t="s">
        <v>270</v>
      </c>
      <c r="B89" s="9"/>
      <c r="C89" s="9"/>
      <c r="D89" s="9"/>
      <c r="E89" s="9"/>
    </row>
    <row r="90" customFormat="false" ht="15" hidden="false" customHeight="false" outlineLevel="0" collapsed="false">
      <c r="A90" s="0" t="s">
        <v>271</v>
      </c>
      <c r="B90" s="2" t="s">
        <v>272</v>
      </c>
      <c r="C90" s="11" t="n">
        <v>0.3</v>
      </c>
      <c r="D90" s="2" t="s">
        <v>58</v>
      </c>
      <c r="E90" s="2" t="s">
        <v>273</v>
      </c>
    </row>
    <row r="91" customFormat="false" ht="15" hidden="false" customHeight="false" outlineLevel="0" collapsed="false">
      <c r="A91" s="0" t="s">
        <v>274</v>
      </c>
      <c r="B91" s="2" t="s">
        <v>275</v>
      </c>
      <c r="C91" s="10" t="n">
        <v>3</v>
      </c>
      <c r="D91" s="2" t="s">
        <v>183</v>
      </c>
      <c r="E91" s="2" t="s">
        <v>276</v>
      </c>
    </row>
    <row r="92" customFormat="false" ht="15" hidden="false" customHeight="false" outlineLevel="0" collapsed="false">
      <c r="A92" s="0" t="s">
        <v>277</v>
      </c>
      <c r="B92" s="2" t="s">
        <v>278</v>
      </c>
      <c r="C92" s="10" t="n">
        <v>1</v>
      </c>
      <c r="D92" s="2" t="s">
        <v>183</v>
      </c>
      <c r="E92" s="2" t="s">
        <v>279</v>
      </c>
    </row>
    <row r="93" customFormat="false" ht="15" hidden="false" customHeight="false" outlineLevel="0" collapsed="false">
      <c r="A93" s="0" t="s">
        <v>280</v>
      </c>
      <c r="B93" s="2" t="s">
        <v>281</v>
      </c>
      <c r="C93" s="10" t="n">
        <v>60</v>
      </c>
      <c r="D93" s="2" t="s">
        <v>282</v>
      </c>
      <c r="E93" s="2"/>
    </row>
    <row r="94" customFormat="false" ht="15" hidden="false" customHeight="false" outlineLevel="0" collapsed="false">
      <c r="A94" s="0" t="s">
        <v>283</v>
      </c>
      <c r="B94" s="2" t="s">
        <v>284</v>
      </c>
      <c r="C94" s="10" t="n">
        <v>45</v>
      </c>
      <c r="D94" s="2" t="s">
        <v>285</v>
      </c>
      <c r="E94" s="2" t="s">
        <v>286</v>
      </c>
    </row>
    <row r="96" customFormat="false" ht="15" hidden="false" customHeight="false" outlineLevel="0" collapsed="false">
      <c r="A96" s="8" t="s">
        <v>287</v>
      </c>
      <c r="B96" s="9"/>
      <c r="C96" s="9"/>
      <c r="D96" s="9"/>
      <c r="E96" s="9"/>
    </row>
    <row r="97" customFormat="false" ht="15" hidden="false" customHeight="false" outlineLevel="0" collapsed="false">
      <c r="A97" s="0" t="s">
        <v>288</v>
      </c>
      <c r="B97" s="2" t="s">
        <v>289</v>
      </c>
      <c r="C97" s="11" t="n">
        <v>0.06</v>
      </c>
      <c r="D97" s="2" t="s">
        <v>58</v>
      </c>
      <c r="E97" s="2"/>
    </row>
    <row r="100" customFormat="false" ht="17.35" hidden="false" customHeight="false" outlineLevel="0" collapsed="false">
      <c r="A100" s="6" t="s">
        <v>290</v>
      </c>
    </row>
    <row r="101" customFormat="false" ht="15" hidden="false" customHeight="false" outlineLevel="0" collapsed="false">
      <c r="A101" s="13" t="s">
        <v>291</v>
      </c>
      <c r="C101" s="3" t="str">
        <f aca="false">Timeline!C2</f>
        <v>Nov-26</v>
      </c>
      <c r="D101" s="3" t="str">
        <f aca="false">Timeline!D2</f>
        <v>Dec-26</v>
      </c>
      <c r="E101" s="3" t="str">
        <f aca="false">Timeline!E2</f>
        <v>Jan-27</v>
      </c>
      <c r="F101" s="3" t="str">
        <f aca="false">Timeline!F2</f>
        <v>Feb-27</v>
      </c>
      <c r="G101" s="3" t="str">
        <f aca="false">Timeline!G2</f>
        <v>Mar-27</v>
      </c>
      <c r="H101" s="3" t="str">
        <f aca="false">Timeline!H2</f>
        <v>Apr-27</v>
      </c>
      <c r="I101" s="3" t="str">
        <f aca="false">Timeline!I2</f>
        <v>May-27</v>
      </c>
      <c r="J101" s="3" t="str">
        <f aca="false">Timeline!J2</f>
        <v>Jun-27</v>
      </c>
      <c r="K101" s="3" t="str">
        <f aca="false">Timeline!K2</f>
        <v>Jul-27</v>
      </c>
      <c r="L101" s="3" t="str">
        <f aca="false">Timeline!L2</f>
        <v>Aug-27</v>
      </c>
      <c r="M101" s="3" t="str">
        <f aca="false">Timeline!M2</f>
        <v>Sep-27</v>
      </c>
      <c r="N101" s="3" t="str">
        <f aca="false">Timeline!N2</f>
        <v>Oct-27</v>
      </c>
      <c r="O101" s="3" t="str">
        <f aca="false">Timeline!O2</f>
        <v>Nov-27</v>
      </c>
      <c r="P101" s="3" t="str">
        <f aca="false">Timeline!P2</f>
        <v>Dec-27</v>
      </c>
      <c r="Q101" s="3" t="str">
        <f aca="false">Timeline!Q2</f>
        <v>Jan-28</v>
      </c>
      <c r="R101" s="3" t="str">
        <f aca="false">Timeline!R2</f>
        <v>Feb-28</v>
      </c>
      <c r="S101" s="3" t="str">
        <f aca="false">Timeline!S2</f>
        <v>Mar-28</v>
      </c>
      <c r="T101" s="3" t="str">
        <f aca="false">Timeline!T2</f>
        <v>Apr-28</v>
      </c>
      <c r="U101" s="3" t="str">
        <f aca="false">Timeline!U2</f>
        <v>May-28</v>
      </c>
      <c r="V101" s="3" t="str">
        <f aca="false">Timeline!V2</f>
        <v>Jun-28</v>
      </c>
      <c r="W101" s="3" t="str">
        <f aca="false">Timeline!W2</f>
        <v>Jul-28</v>
      </c>
      <c r="X101" s="3" t="str">
        <f aca="false">Timeline!X2</f>
        <v>Aug-28</v>
      </c>
      <c r="Y101" s="3" t="str">
        <f aca="false">Timeline!Y2</f>
        <v>Sep-28</v>
      </c>
      <c r="Z101" s="3" t="str">
        <f aca="false">Timeline!Z2</f>
        <v>Oct-28</v>
      </c>
      <c r="AA101" s="3" t="str">
        <f aca="false">Timeline!AA2</f>
        <v>Nov-28</v>
      </c>
      <c r="AB101" s="3" t="str">
        <f aca="false">Timeline!AB2</f>
        <v>Dec-28</v>
      </c>
      <c r="AC101" s="3" t="str">
        <f aca="false">Timeline!AC2</f>
        <v>FY2029</v>
      </c>
      <c r="AD101" s="3" t="str">
        <f aca="false">Timeline!AD2</f>
        <v>FY2030</v>
      </c>
      <c r="AE101" s="3" t="str">
        <f aca="false">Timeline!AE2</f>
        <v>FY2031</v>
      </c>
    </row>
    <row r="102" customFormat="false" ht="15" hidden="false" customHeight="false" outlineLevel="0" collapsed="false">
      <c r="A102" s="0" t="s">
        <v>292</v>
      </c>
      <c r="B102" s="2" t="s">
        <v>293</v>
      </c>
      <c r="C102" s="14" t="n">
        <v>0</v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1250</v>
      </c>
      <c r="R102" s="14" t="n">
        <v>1350</v>
      </c>
      <c r="S102" s="14" t="n">
        <v>1650</v>
      </c>
      <c r="T102" s="14" t="n">
        <v>2050</v>
      </c>
      <c r="U102" s="14" t="n">
        <v>2450</v>
      </c>
      <c r="V102" s="14" t="n">
        <v>2850</v>
      </c>
      <c r="W102" s="14" t="n">
        <v>3350</v>
      </c>
      <c r="X102" s="14" t="n">
        <v>3450</v>
      </c>
      <c r="Y102" s="14" t="n">
        <v>3250</v>
      </c>
      <c r="Z102" s="14" t="n">
        <v>3650</v>
      </c>
      <c r="AA102" s="14" t="n">
        <v>5250</v>
      </c>
      <c r="AB102" s="14" t="n">
        <v>7400</v>
      </c>
      <c r="AC102" s="14" t="n">
        <v>120000</v>
      </c>
      <c r="AD102" s="14" t="n">
        <v>250000</v>
      </c>
      <c r="AE102" s="14" t="n">
        <v>400000</v>
      </c>
      <c r="AG102" s="2" t="s">
        <v>294</v>
      </c>
    </row>
    <row r="103" customFormat="false" ht="15" hidden="false" customHeight="false" outlineLevel="0" collapsed="false">
      <c r="A103" s="0" t="s">
        <v>295</v>
      </c>
      <c r="B103" s="2" t="s">
        <v>296</v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0.5</v>
      </c>
      <c r="P103" s="15" t="n">
        <v>0.37</v>
      </c>
      <c r="Q103" s="15" t="n">
        <v>0.13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G103" s="2" t="s">
        <v>297</v>
      </c>
    </row>
    <row r="104" customFormat="false" ht="15" hidden="false" customHeight="false" outlineLevel="0" collapsed="false">
      <c r="A104" s="0" t="s">
        <v>298</v>
      </c>
      <c r="B104" s="2" t="s">
        <v>299</v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0.8</v>
      </c>
      <c r="K104" s="15" t="n">
        <v>0.05</v>
      </c>
      <c r="L104" s="15" t="n">
        <v>0.05</v>
      </c>
      <c r="M104" s="15" t="n">
        <v>0.05</v>
      </c>
      <c r="N104" s="15" t="n">
        <v>0.05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G104" s="2" t="s">
        <v>300</v>
      </c>
    </row>
    <row r="105" customFormat="false" ht="15" hidden="false" customHeight="false" outlineLevel="0" collapsed="false">
      <c r="A105" s="0" t="s">
        <v>301</v>
      </c>
      <c r="B105" s="2" t="s">
        <v>302</v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0</v>
      </c>
      <c r="O105" s="15" t="n">
        <v>0</v>
      </c>
      <c r="P105" s="15" t="n">
        <v>0</v>
      </c>
      <c r="Q105" s="15" t="n">
        <v>0</v>
      </c>
      <c r="R105" s="15" t="n">
        <v>0.5</v>
      </c>
      <c r="S105" s="15" t="n">
        <v>0.5</v>
      </c>
      <c r="T105" s="15" t="n">
        <v>0</v>
      </c>
      <c r="U105" s="15" t="n">
        <v>0</v>
      </c>
      <c r="V105" s="15" t="n">
        <v>0</v>
      </c>
      <c r="W105" s="15" t="n">
        <v>0</v>
      </c>
      <c r="X105" s="15" t="n">
        <v>0</v>
      </c>
      <c r="Y105" s="15" t="n">
        <v>0</v>
      </c>
      <c r="Z105" s="15" t="n">
        <v>0</v>
      </c>
      <c r="AA105" s="15" t="n">
        <v>0</v>
      </c>
      <c r="AB105" s="15" t="n">
        <v>0</v>
      </c>
      <c r="AC105" s="15" t="n">
        <v>0</v>
      </c>
      <c r="AD105" s="15" t="n">
        <v>0</v>
      </c>
      <c r="AE105" s="15" t="n">
        <v>0</v>
      </c>
      <c r="AG105" s="2" t="s">
        <v>303</v>
      </c>
    </row>
    <row r="106" customFormat="false" ht="15" hidden="false" customHeight="false" outlineLevel="0" collapsed="false">
      <c r="A106" s="0" t="s">
        <v>304</v>
      </c>
      <c r="B106" s="2" t="s">
        <v>305</v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0.1</v>
      </c>
      <c r="R106" s="15" t="n">
        <v>0.1</v>
      </c>
      <c r="S106" s="15" t="n">
        <v>0.1</v>
      </c>
      <c r="T106" s="15" t="n">
        <v>0.1</v>
      </c>
      <c r="U106" s="15" t="n">
        <v>0.1</v>
      </c>
      <c r="V106" s="15" t="n">
        <v>0.1</v>
      </c>
      <c r="W106" s="15" t="n">
        <v>0.25</v>
      </c>
      <c r="X106" s="15" t="n">
        <v>0.25</v>
      </c>
      <c r="Y106" s="15" t="n">
        <v>0.25</v>
      </c>
      <c r="Z106" s="15" t="n">
        <v>0.25</v>
      </c>
      <c r="AA106" s="15" t="n">
        <v>0.25</v>
      </c>
      <c r="AB106" s="15" t="n">
        <v>0.25</v>
      </c>
      <c r="AC106" s="15" t="n">
        <v>0.3</v>
      </c>
      <c r="AD106" s="15" t="n">
        <v>0.35</v>
      </c>
      <c r="AE106" s="15" t="n">
        <v>0.35</v>
      </c>
      <c r="AG106" s="2" t="s">
        <v>306</v>
      </c>
    </row>
    <row r="107" customFormat="false" ht="15" hidden="false" customHeight="false" outlineLevel="0" collapsed="false">
      <c r="A107" s="0" t="s">
        <v>307</v>
      </c>
      <c r="B107" s="2" t="s">
        <v>308</v>
      </c>
      <c r="C107" s="15" t="n">
        <v>0.53</v>
      </c>
      <c r="D107" s="15" t="n">
        <v>0.53</v>
      </c>
      <c r="E107" s="15" t="n">
        <v>0.53</v>
      </c>
      <c r="F107" s="15" t="n">
        <v>0.53</v>
      </c>
      <c r="G107" s="15" t="n">
        <v>0.53</v>
      </c>
      <c r="H107" s="15" t="n">
        <v>0.53</v>
      </c>
      <c r="I107" s="15" t="n">
        <v>0.53</v>
      </c>
      <c r="J107" s="15" t="n">
        <v>0.53</v>
      </c>
      <c r="K107" s="15" t="n">
        <v>0.53</v>
      </c>
      <c r="L107" s="15" t="n">
        <v>0.53</v>
      </c>
      <c r="M107" s="15" t="n">
        <v>0.53</v>
      </c>
      <c r="N107" s="15" t="n">
        <v>0.53</v>
      </c>
      <c r="O107" s="15" t="n">
        <v>0.53</v>
      </c>
      <c r="P107" s="15" t="n">
        <v>0.53</v>
      </c>
      <c r="Q107" s="15" t="n">
        <v>0.53</v>
      </c>
      <c r="R107" s="15" t="n">
        <v>0.53</v>
      </c>
      <c r="S107" s="15" t="n">
        <v>0.53</v>
      </c>
      <c r="T107" s="15" t="n">
        <v>0.45</v>
      </c>
      <c r="U107" s="15" t="n">
        <v>0.45</v>
      </c>
      <c r="V107" s="15" t="n">
        <v>0.45</v>
      </c>
      <c r="W107" s="15" t="n">
        <v>0.45</v>
      </c>
      <c r="X107" s="15" t="n">
        <v>0.45</v>
      </c>
      <c r="Y107" s="15" t="n">
        <v>0.45</v>
      </c>
      <c r="Z107" s="15" t="n">
        <v>0.45</v>
      </c>
      <c r="AA107" s="15" t="n">
        <v>0.45</v>
      </c>
      <c r="AB107" s="15" t="n">
        <v>0.45</v>
      </c>
      <c r="AC107" s="15" t="n">
        <v>0.45</v>
      </c>
      <c r="AD107" s="15" t="n">
        <v>0.45</v>
      </c>
      <c r="AE107" s="15" t="n">
        <v>0.45</v>
      </c>
    </row>
    <row r="108" customFormat="false" ht="15" hidden="false" customHeight="false" outlineLevel="0" collapsed="false">
      <c r="A108" s="0" t="s">
        <v>309</v>
      </c>
      <c r="B108" s="2" t="s">
        <v>310</v>
      </c>
      <c r="C108" s="15" t="n">
        <v>0.47</v>
      </c>
      <c r="D108" s="15" t="n">
        <v>0.47</v>
      </c>
      <c r="E108" s="15" t="n">
        <v>0.47</v>
      </c>
      <c r="F108" s="15" t="n">
        <v>0.47</v>
      </c>
      <c r="G108" s="15" t="n">
        <v>0.47</v>
      </c>
      <c r="H108" s="15" t="n">
        <v>0.47</v>
      </c>
      <c r="I108" s="15" t="n">
        <v>0.47</v>
      </c>
      <c r="J108" s="15" t="n">
        <v>0.47</v>
      </c>
      <c r="K108" s="15" t="n">
        <v>0.47</v>
      </c>
      <c r="L108" s="15" t="n">
        <v>0.47</v>
      </c>
      <c r="M108" s="15" t="n">
        <v>0.47</v>
      </c>
      <c r="N108" s="15" t="n">
        <v>0.47</v>
      </c>
      <c r="O108" s="15" t="n">
        <v>0.47</v>
      </c>
      <c r="P108" s="15" t="n">
        <v>0.47</v>
      </c>
      <c r="Q108" s="15" t="n">
        <v>0.47</v>
      </c>
      <c r="R108" s="15" t="n">
        <v>0.47</v>
      </c>
      <c r="S108" s="15" t="n">
        <v>0.47</v>
      </c>
      <c r="T108" s="15" t="n">
        <v>0.4</v>
      </c>
      <c r="U108" s="15" t="n">
        <v>0.4</v>
      </c>
      <c r="V108" s="15" t="n">
        <v>0.4</v>
      </c>
      <c r="W108" s="15" t="n">
        <v>0.4</v>
      </c>
      <c r="X108" s="15" t="n">
        <v>0.4</v>
      </c>
      <c r="Y108" s="15" t="n">
        <v>0.4</v>
      </c>
      <c r="Z108" s="15" t="n">
        <v>0.4</v>
      </c>
      <c r="AA108" s="15" t="n">
        <v>0.4</v>
      </c>
      <c r="AB108" s="15" t="n">
        <v>0.4</v>
      </c>
      <c r="AC108" s="15" t="n">
        <v>0.4</v>
      </c>
      <c r="AD108" s="15" t="n">
        <v>0.4</v>
      </c>
      <c r="AE108" s="15" t="n">
        <v>0.4</v>
      </c>
    </row>
    <row r="109" customFormat="false" ht="15" hidden="false" customHeight="false" outlineLevel="0" collapsed="false">
      <c r="A109" s="0" t="s">
        <v>311</v>
      </c>
      <c r="B109" s="2" t="s">
        <v>312</v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0.15</v>
      </c>
      <c r="U109" s="15" t="n">
        <v>0.15</v>
      </c>
      <c r="V109" s="15" t="n">
        <v>0.15</v>
      </c>
      <c r="W109" s="15" t="n">
        <v>0.15</v>
      </c>
      <c r="X109" s="15" t="n">
        <v>0.15</v>
      </c>
      <c r="Y109" s="15" t="n">
        <v>0.15</v>
      </c>
      <c r="Z109" s="15" t="n">
        <v>0.15</v>
      </c>
      <c r="AA109" s="15" t="n">
        <v>0.15</v>
      </c>
      <c r="AB109" s="15" t="n">
        <v>0.15</v>
      </c>
      <c r="AC109" s="15" t="n">
        <v>0.15</v>
      </c>
      <c r="AD109" s="15" t="n">
        <v>0.15</v>
      </c>
      <c r="AE109" s="15" t="n">
        <v>0.15</v>
      </c>
    </row>
    <row r="110" customFormat="false" ht="15" hidden="false" customHeight="false" outlineLevel="0" collapsed="false">
      <c r="A110" s="0" t="s">
        <v>313</v>
      </c>
      <c r="B110" s="2" t="s">
        <v>314</v>
      </c>
      <c r="C110" s="14" t="n">
        <v>0</v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50</v>
      </c>
      <c r="U110" s="14" t="n">
        <v>100</v>
      </c>
      <c r="V110" s="14" t="n">
        <v>150</v>
      </c>
      <c r="W110" s="14" t="n">
        <v>200</v>
      </c>
      <c r="X110" s="14" t="n">
        <v>250</v>
      </c>
      <c r="Y110" s="14" t="n">
        <v>300</v>
      </c>
      <c r="Z110" s="14" t="n">
        <v>400</v>
      </c>
      <c r="AA110" s="14" t="n">
        <v>500</v>
      </c>
      <c r="AB110" s="14" t="n">
        <v>600</v>
      </c>
      <c r="AC110" s="14" t="n">
        <v>2500</v>
      </c>
      <c r="AD110" s="14" t="n">
        <v>6000</v>
      </c>
      <c r="AE110" s="14" t="n">
        <v>11000</v>
      </c>
      <c r="AG110" s="2" t="s">
        <v>315</v>
      </c>
    </row>
    <row r="111" customFormat="false" ht="15" hidden="false" customHeight="false" outlineLevel="0" collapsed="false">
      <c r="A111" s="0" t="s">
        <v>316</v>
      </c>
      <c r="B111" s="2" t="s">
        <v>317</v>
      </c>
      <c r="C111" s="16" t="n">
        <v>1</v>
      </c>
      <c r="D111" s="16" t="n">
        <v>1</v>
      </c>
      <c r="E111" s="16" t="n">
        <v>1</v>
      </c>
      <c r="F111" s="16" t="n">
        <v>1</v>
      </c>
      <c r="G111" s="16" t="n">
        <v>1</v>
      </c>
      <c r="H111" s="16" t="n">
        <v>1</v>
      </c>
      <c r="I111" s="16" t="n">
        <v>1</v>
      </c>
      <c r="J111" s="16" t="n">
        <v>1</v>
      </c>
      <c r="K111" s="16" t="n">
        <v>1</v>
      </c>
      <c r="L111" s="16" t="n">
        <v>1</v>
      </c>
      <c r="M111" s="16" t="n">
        <v>1</v>
      </c>
      <c r="N111" s="16" t="n">
        <v>1</v>
      </c>
      <c r="O111" s="16" t="n">
        <v>1</v>
      </c>
      <c r="P111" s="16" t="n">
        <v>1</v>
      </c>
      <c r="Q111" s="16" t="n">
        <v>1</v>
      </c>
      <c r="R111" s="16" t="n">
        <v>1</v>
      </c>
      <c r="S111" s="16" t="n">
        <v>1</v>
      </c>
      <c r="T111" s="16" t="n">
        <v>1</v>
      </c>
      <c r="U111" s="16" t="n">
        <v>1</v>
      </c>
      <c r="V111" s="16" t="n">
        <v>1</v>
      </c>
      <c r="W111" s="16" t="n">
        <v>0.95</v>
      </c>
      <c r="X111" s="16" t="n">
        <v>0.95</v>
      </c>
      <c r="Y111" s="16" t="n">
        <v>0.95</v>
      </c>
      <c r="Z111" s="16" t="n">
        <v>0.95</v>
      </c>
      <c r="AA111" s="16" t="n">
        <v>0.95</v>
      </c>
      <c r="AB111" s="16" t="n">
        <v>0.95</v>
      </c>
      <c r="AC111" s="16" t="n">
        <v>0.89</v>
      </c>
      <c r="AD111" s="16" t="n">
        <v>0.82</v>
      </c>
      <c r="AE111" s="16" t="n">
        <v>0.79</v>
      </c>
      <c r="AG111" s="2" t="s">
        <v>318</v>
      </c>
    </row>
    <row r="112" customFormat="false" ht="15" hidden="false" customHeight="false" outlineLevel="0" collapsed="false">
      <c r="A112" s="0" t="s">
        <v>319</v>
      </c>
      <c r="B112" s="2" t="s">
        <v>320</v>
      </c>
      <c r="C112" s="17" t="n">
        <v>0.3</v>
      </c>
      <c r="D112" s="17" t="n">
        <v>0.3</v>
      </c>
      <c r="E112" s="17" t="n">
        <v>0.3</v>
      </c>
      <c r="F112" s="17" t="n">
        <v>0.3</v>
      </c>
      <c r="G112" s="17" t="n">
        <v>0.3</v>
      </c>
      <c r="H112" s="17" t="n">
        <v>0.3</v>
      </c>
      <c r="I112" s="17" t="n">
        <v>0.3</v>
      </c>
      <c r="J112" s="17" t="n">
        <v>0.3</v>
      </c>
      <c r="K112" s="17" t="n">
        <v>0.3</v>
      </c>
      <c r="L112" s="17" t="n">
        <v>0.3</v>
      </c>
      <c r="M112" s="17" t="n">
        <v>0.3</v>
      </c>
      <c r="N112" s="17" t="n">
        <v>0.3</v>
      </c>
      <c r="O112" s="17" t="n">
        <v>0.3</v>
      </c>
      <c r="P112" s="17" t="n">
        <v>0.3</v>
      </c>
      <c r="Q112" s="17" t="n">
        <v>0.3</v>
      </c>
      <c r="R112" s="17" t="n">
        <v>0.3</v>
      </c>
      <c r="S112" s="17" t="n">
        <v>0.3</v>
      </c>
      <c r="T112" s="17" t="n">
        <v>0.3</v>
      </c>
      <c r="U112" s="17" t="n">
        <v>0.3</v>
      </c>
      <c r="V112" s="17" t="n">
        <v>0.3</v>
      </c>
      <c r="W112" s="17" t="n">
        <v>0.3</v>
      </c>
      <c r="X112" s="17" t="n">
        <v>0.3</v>
      </c>
      <c r="Y112" s="17" t="n">
        <v>0.3</v>
      </c>
      <c r="Z112" s="17" t="n">
        <v>0.3</v>
      </c>
      <c r="AA112" s="17" t="n">
        <v>0.3</v>
      </c>
      <c r="AB112" s="17" t="n">
        <v>0.3</v>
      </c>
      <c r="AC112" s="17" t="n">
        <v>0.4</v>
      </c>
      <c r="AD112" s="17" t="n">
        <v>0.5</v>
      </c>
      <c r="AE112" s="17" t="n">
        <v>0.6</v>
      </c>
      <c r="AG112" s="2" t="s">
        <v>321</v>
      </c>
    </row>
    <row r="113" customFormat="false" ht="15" hidden="false" customHeight="false" outlineLevel="0" collapsed="false">
      <c r="A113" s="0" t="s">
        <v>322</v>
      </c>
      <c r="B113" s="2" t="s">
        <v>323</v>
      </c>
      <c r="C113" s="14" t="n">
        <v>0</v>
      </c>
      <c r="D113" s="14" t="n">
        <v>0</v>
      </c>
      <c r="E113" s="14" t="n">
        <v>45</v>
      </c>
      <c r="F113" s="14" t="n">
        <v>45</v>
      </c>
      <c r="G113" s="14" t="n">
        <v>45</v>
      </c>
      <c r="H113" s="14" t="n">
        <v>45</v>
      </c>
      <c r="I113" s="14" t="n">
        <v>45</v>
      </c>
      <c r="J113" s="14" t="n">
        <v>45</v>
      </c>
      <c r="K113" s="14" t="n">
        <v>45</v>
      </c>
      <c r="L113" s="14" t="n">
        <v>45</v>
      </c>
      <c r="M113" s="14" t="n">
        <v>45</v>
      </c>
      <c r="N113" s="14" t="n">
        <v>45</v>
      </c>
      <c r="O113" s="14" t="n">
        <v>45</v>
      </c>
      <c r="P113" s="14" t="n">
        <v>45</v>
      </c>
      <c r="Q113" s="14" t="n">
        <v>60</v>
      </c>
      <c r="R113" s="14" t="n">
        <v>60</v>
      </c>
      <c r="S113" s="14" t="n">
        <v>60</v>
      </c>
      <c r="T113" s="14" t="n">
        <v>60</v>
      </c>
      <c r="U113" s="14" t="n">
        <v>60</v>
      </c>
      <c r="V113" s="14" t="n">
        <v>60</v>
      </c>
      <c r="W113" s="14" t="n">
        <v>60</v>
      </c>
      <c r="X113" s="14" t="n">
        <v>60</v>
      </c>
      <c r="Y113" s="14" t="n">
        <v>60</v>
      </c>
      <c r="Z113" s="14" t="n">
        <v>60</v>
      </c>
      <c r="AA113" s="14" t="n">
        <v>60</v>
      </c>
      <c r="AB113" s="14" t="n">
        <v>60</v>
      </c>
      <c r="AC113" s="14" t="n">
        <v>65</v>
      </c>
      <c r="AD113" s="14" t="n">
        <v>62</v>
      </c>
      <c r="AE113" s="14" t="n">
        <v>60</v>
      </c>
      <c r="AG113" s="2" t="s">
        <v>324</v>
      </c>
    </row>
    <row r="114" customFormat="false" ht="15" hidden="false" customHeight="false" outlineLevel="0" collapsed="false">
      <c r="A114" s="0" t="s">
        <v>325</v>
      </c>
      <c r="B114" s="2" t="s">
        <v>326</v>
      </c>
      <c r="C114" s="14" t="n">
        <v>0</v>
      </c>
      <c r="D114" s="14" t="n">
        <v>0</v>
      </c>
      <c r="E114" s="14" t="n">
        <v>10000</v>
      </c>
      <c r="F114" s="14" t="n">
        <v>20000</v>
      </c>
      <c r="G114" s="14" t="n">
        <v>40000</v>
      </c>
      <c r="H114" s="14" t="n">
        <v>60000</v>
      </c>
      <c r="I114" s="14" t="n">
        <v>70000</v>
      </c>
      <c r="J114" s="14" t="n">
        <v>15000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G114" s="2" t="s">
        <v>327</v>
      </c>
    </row>
    <row r="115" customFormat="false" ht="15" hidden="false" customHeight="false" outlineLevel="0" collapsed="false">
      <c r="A115" s="0" t="s">
        <v>328</v>
      </c>
      <c r="B115" s="2" t="s">
        <v>329</v>
      </c>
      <c r="C115" s="14" t="n">
        <v>3000</v>
      </c>
      <c r="D115" s="14" t="n">
        <v>3000</v>
      </c>
      <c r="E115" s="14" t="n">
        <v>6000</v>
      </c>
      <c r="F115" s="14" t="n">
        <v>6000</v>
      </c>
      <c r="G115" s="14" t="n">
        <v>6000</v>
      </c>
      <c r="H115" s="14" t="n">
        <v>6000</v>
      </c>
      <c r="I115" s="14" t="n">
        <v>6000</v>
      </c>
      <c r="J115" s="14" t="n">
        <v>6000</v>
      </c>
      <c r="K115" s="14" t="n">
        <v>15000</v>
      </c>
      <c r="L115" s="14" t="n">
        <v>15000</v>
      </c>
      <c r="M115" s="14" t="n">
        <v>15000</v>
      </c>
      <c r="N115" s="14" t="n">
        <v>20000</v>
      </c>
      <c r="O115" s="14" t="n">
        <v>25000</v>
      </c>
      <c r="P115" s="14" t="n">
        <v>25000</v>
      </c>
      <c r="Q115" s="14" t="n">
        <v>40000</v>
      </c>
      <c r="R115" s="14" t="n">
        <v>40000</v>
      </c>
      <c r="S115" s="14" t="n">
        <v>40000</v>
      </c>
      <c r="T115" s="14" t="n">
        <v>40000</v>
      </c>
      <c r="U115" s="14" t="n">
        <v>40000</v>
      </c>
      <c r="V115" s="14" t="n">
        <v>40000</v>
      </c>
      <c r="W115" s="14" t="n">
        <v>40000</v>
      </c>
      <c r="X115" s="14" t="n">
        <v>40000</v>
      </c>
      <c r="Y115" s="14" t="n">
        <v>40000</v>
      </c>
      <c r="Z115" s="14" t="n">
        <v>40000</v>
      </c>
      <c r="AA115" s="14" t="n">
        <v>40000</v>
      </c>
      <c r="AB115" s="14" t="n">
        <v>40000</v>
      </c>
      <c r="AC115" s="14" t="n">
        <v>1200000</v>
      </c>
      <c r="AD115" s="14" t="n">
        <v>2500000</v>
      </c>
      <c r="AE115" s="14" t="n">
        <v>4000000</v>
      </c>
    </row>
    <row r="116" customFormat="false" ht="15" hidden="false" customHeight="false" outlineLevel="0" collapsed="false">
      <c r="A116" s="0" t="s">
        <v>330</v>
      </c>
      <c r="B116" s="2" t="s">
        <v>331</v>
      </c>
      <c r="C116" s="14" t="n">
        <v>25000</v>
      </c>
      <c r="D116" s="14" t="n">
        <v>25000</v>
      </c>
      <c r="E116" s="14" t="n">
        <v>20000</v>
      </c>
      <c r="F116" s="14" t="n">
        <v>15000</v>
      </c>
      <c r="G116" s="14" t="n">
        <v>10000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20000</v>
      </c>
      <c r="R116" s="14" t="n">
        <v>20000</v>
      </c>
      <c r="S116" s="14" t="n">
        <v>15000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4" t="n">
        <v>0</v>
      </c>
      <c r="AC116" s="14" t="n">
        <v>300000</v>
      </c>
      <c r="AD116" s="14" t="n">
        <v>400000</v>
      </c>
      <c r="AE116" s="14" t="n">
        <v>500000</v>
      </c>
    </row>
    <row r="117" customFormat="false" ht="15" hidden="false" customHeight="false" outlineLevel="0" collapsed="false">
      <c r="A117" s="0" t="s">
        <v>332</v>
      </c>
      <c r="B117" s="2" t="s">
        <v>333</v>
      </c>
      <c r="C117" s="14" t="n">
        <v>0</v>
      </c>
      <c r="D117" s="14" t="n">
        <v>30000</v>
      </c>
      <c r="E117" s="14" t="n">
        <v>30000</v>
      </c>
      <c r="F117" s="14" t="n">
        <v>20000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80000</v>
      </c>
      <c r="L117" s="14" t="n">
        <v>60000</v>
      </c>
      <c r="M117" s="14" t="n">
        <v>140000</v>
      </c>
      <c r="N117" s="14" t="n">
        <v>120000</v>
      </c>
      <c r="O117" s="14" t="n">
        <v>60000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600000</v>
      </c>
      <c r="AD117" s="14" t="n">
        <v>900000</v>
      </c>
      <c r="AE117" s="14" t="n">
        <v>1200000</v>
      </c>
      <c r="AG117" s="2" t="s">
        <v>334</v>
      </c>
    </row>
    <row r="118" customFormat="false" ht="15" hidden="false" customHeight="false" outlineLevel="0" collapsed="false">
      <c r="A118" s="0" t="s">
        <v>335</v>
      </c>
      <c r="B118" s="2" t="s">
        <v>336</v>
      </c>
      <c r="C118" s="14" t="n">
        <v>0</v>
      </c>
      <c r="D118" s="14" t="n">
        <v>0</v>
      </c>
      <c r="E118" s="14" t="n">
        <v>0</v>
      </c>
      <c r="F118" s="14" t="n">
        <v>35000</v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40000</v>
      </c>
      <c r="L118" s="14" t="n">
        <v>0</v>
      </c>
      <c r="M118" s="14" t="n">
        <v>60000</v>
      </c>
      <c r="N118" s="14" t="n">
        <v>0</v>
      </c>
      <c r="O118" s="14" t="n">
        <v>30000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0</v>
      </c>
      <c r="U118" s="14" t="n">
        <v>30000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14" t="n">
        <v>0</v>
      </c>
      <c r="AB118" s="14" t="n">
        <v>0</v>
      </c>
      <c r="AC118" s="14" t="n">
        <v>150000</v>
      </c>
      <c r="AD118" s="14" t="n">
        <v>200000</v>
      </c>
      <c r="AE118" s="14" t="n">
        <v>250000</v>
      </c>
      <c r="AG118" s="2" t="s">
        <v>337</v>
      </c>
    </row>
    <row r="119" customFormat="false" ht="15" hidden="false" customHeight="false" outlineLevel="0" collapsed="false">
      <c r="A119" s="0" t="s">
        <v>338</v>
      </c>
      <c r="B119" s="2" t="s">
        <v>339</v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60000</v>
      </c>
      <c r="M119" s="14" t="n">
        <v>300000</v>
      </c>
      <c r="N119" s="14" t="n">
        <v>265000</v>
      </c>
      <c r="O119" s="14" t="n">
        <v>300000</v>
      </c>
      <c r="P119" s="14" t="n">
        <v>340000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250000</v>
      </c>
      <c r="AD119" s="14" t="n">
        <v>300000</v>
      </c>
      <c r="AE119" s="14" t="n">
        <v>350000</v>
      </c>
      <c r="AG119" s="2" t="s">
        <v>340</v>
      </c>
    </row>
    <row r="120" customFormat="false" ht="15" hidden="false" customHeight="false" outlineLevel="0" collapsed="false">
      <c r="A120" s="0" t="s">
        <v>341</v>
      </c>
      <c r="B120" s="2" t="s">
        <v>342</v>
      </c>
      <c r="C120" s="14" t="n">
        <v>8000</v>
      </c>
      <c r="D120" s="14" t="n">
        <v>8000</v>
      </c>
      <c r="E120" s="14" t="n">
        <v>8000</v>
      </c>
      <c r="F120" s="14" t="n">
        <v>8000</v>
      </c>
      <c r="G120" s="14" t="n">
        <v>8000</v>
      </c>
      <c r="H120" s="14" t="n">
        <v>0</v>
      </c>
      <c r="I120" s="14" t="n">
        <v>0</v>
      </c>
      <c r="J120" s="14" t="n">
        <v>0</v>
      </c>
      <c r="K120" s="14" t="n">
        <v>10000</v>
      </c>
      <c r="L120" s="14" t="n">
        <v>10000</v>
      </c>
      <c r="M120" s="14" t="n">
        <v>10000</v>
      </c>
      <c r="N120" s="14" t="n">
        <v>10000</v>
      </c>
      <c r="O120" s="14" t="n">
        <v>10000</v>
      </c>
      <c r="P120" s="14" t="n">
        <v>10000</v>
      </c>
      <c r="Q120" s="14" t="n">
        <v>35000</v>
      </c>
      <c r="R120" s="14" t="n">
        <v>35000</v>
      </c>
      <c r="S120" s="14" t="n">
        <v>35000</v>
      </c>
      <c r="T120" s="14" t="n">
        <v>35000</v>
      </c>
      <c r="U120" s="14" t="n">
        <v>35000</v>
      </c>
      <c r="V120" s="14" t="n">
        <v>35000</v>
      </c>
      <c r="W120" s="14" t="n">
        <v>35000</v>
      </c>
      <c r="X120" s="14" t="n">
        <v>35000</v>
      </c>
      <c r="Y120" s="14" t="n">
        <v>35000</v>
      </c>
      <c r="Z120" s="14" t="n">
        <v>35000</v>
      </c>
      <c r="AA120" s="14" t="n">
        <v>35000</v>
      </c>
      <c r="AB120" s="14" t="n">
        <v>35000</v>
      </c>
      <c r="AC120" s="14" t="n">
        <v>750000</v>
      </c>
      <c r="AD120" s="14" t="n">
        <v>1000000</v>
      </c>
      <c r="AE120" s="14" t="n">
        <v>1250000</v>
      </c>
      <c r="AG120" s="2" t="s">
        <v>343</v>
      </c>
    </row>
    <row r="121" customFormat="false" ht="15" hidden="false" customHeight="false" outlineLevel="0" collapsed="false">
      <c r="A121" s="0" t="s">
        <v>344</v>
      </c>
      <c r="B121" s="2" t="s">
        <v>345</v>
      </c>
      <c r="C121" s="14" t="n">
        <v>3000</v>
      </c>
      <c r="D121" s="14" t="n">
        <v>3000</v>
      </c>
      <c r="E121" s="14" t="n">
        <v>5000</v>
      </c>
      <c r="F121" s="14" t="n">
        <v>5000</v>
      </c>
      <c r="G121" s="14" t="n">
        <v>5000</v>
      </c>
      <c r="H121" s="14" t="n">
        <v>5000</v>
      </c>
      <c r="I121" s="14" t="n">
        <v>5000</v>
      </c>
      <c r="J121" s="14" t="n">
        <v>5000</v>
      </c>
      <c r="K121" s="14" t="n">
        <v>5000</v>
      </c>
      <c r="L121" s="14" t="n">
        <v>5000</v>
      </c>
      <c r="M121" s="14" t="n">
        <v>5000</v>
      </c>
      <c r="N121" s="14" t="n">
        <v>5000</v>
      </c>
      <c r="O121" s="14" t="n">
        <v>5000</v>
      </c>
      <c r="P121" s="14" t="n">
        <v>5000</v>
      </c>
      <c r="Q121" s="14" t="n">
        <v>12000</v>
      </c>
      <c r="R121" s="14" t="n">
        <v>12000</v>
      </c>
      <c r="S121" s="14" t="n">
        <v>12000</v>
      </c>
      <c r="T121" s="14" t="n">
        <v>12000</v>
      </c>
      <c r="U121" s="14" t="n">
        <v>12000</v>
      </c>
      <c r="V121" s="14" t="n">
        <v>12000</v>
      </c>
      <c r="W121" s="14" t="n">
        <v>12000</v>
      </c>
      <c r="X121" s="14" t="n">
        <v>12000</v>
      </c>
      <c r="Y121" s="14" t="n">
        <v>12000</v>
      </c>
      <c r="Z121" s="14" t="n">
        <v>12000</v>
      </c>
      <c r="AA121" s="14" t="n">
        <v>12000</v>
      </c>
      <c r="AB121" s="14" t="n">
        <v>12000</v>
      </c>
      <c r="AC121" s="14" t="n">
        <v>250000</v>
      </c>
      <c r="AD121" s="14" t="n">
        <v>400000</v>
      </c>
      <c r="AE121" s="14" t="n">
        <v>600000</v>
      </c>
    </row>
    <row r="122" customFormat="false" ht="15" hidden="false" customHeight="false" outlineLevel="0" collapsed="false">
      <c r="A122" s="0" t="s">
        <v>346</v>
      </c>
      <c r="B122" s="2" t="s">
        <v>347</v>
      </c>
      <c r="C122" s="14" t="n">
        <v>0</v>
      </c>
      <c r="D122" s="14" t="n">
        <v>0</v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180000</v>
      </c>
      <c r="L122" s="14" t="n">
        <v>185000</v>
      </c>
      <c r="M122" s="14" t="n">
        <v>0</v>
      </c>
      <c r="N122" s="14" t="n">
        <v>330000</v>
      </c>
      <c r="O122" s="14" t="n">
        <v>0</v>
      </c>
      <c r="P122" s="14" t="n">
        <v>0</v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14" t="n">
        <v>0</v>
      </c>
      <c r="AB122" s="14" t="n">
        <v>100000</v>
      </c>
      <c r="AC122" s="14" t="n">
        <v>500000</v>
      </c>
      <c r="AD122" s="14" t="n">
        <v>800000</v>
      </c>
      <c r="AE122" s="14" t="n">
        <v>1000000</v>
      </c>
      <c r="AG122" s="2" t="s">
        <v>348</v>
      </c>
    </row>
    <row r="123" customFormat="false" ht="15" hidden="false" customHeight="false" outlineLevel="0" collapsed="false">
      <c r="A123" s="0" t="s">
        <v>349</v>
      </c>
      <c r="B123" s="2" t="s">
        <v>350</v>
      </c>
      <c r="C123" s="14" t="n">
        <v>12000</v>
      </c>
      <c r="D123" s="14" t="n">
        <v>12000</v>
      </c>
      <c r="E123" s="14" t="n">
        <v>12000</v>
      </c>
      <c r="F123" s="14" t="n">
        <v>12000</v>
      </c>
      <c r="G123" s="14" t="n">
        <v>12000</v>
      </c>
      <c r="H123" s="14" t="n">
        <v>12000</v>
      </c>
      <c r="I123" s="14" t="n">
        <v>12000</v>
      </c>
      <c r="J123" s="14" t="n">
        <v>12000</v>
      </c>
      <c r="K123" s="14" t="n">
        <v>12000</v>
      </c>
      <c r="L123" s="14" t="n">
        <v>20000</v>
      </c>
      <c r="M123" s="14" t="n">
        <v>20000</v>
      </c>
      <c r="N123" s="14" t="n">
        <v>20000</v>
      </c>
      <c r="O123" s="14" t="n">
        <v>20000</v>
      </c>
      <c r="P123" s="14" t="n">
        <v>20000</v>
      </c>
      <c r="Q123" s="14" t="n">
        <v>35000</v>
      </c>
      <c r="R123" s="14" t="n">
        <v>35000</v>
      </c>
      <c r="S123" s="14" t="n">
        <v>35000</v>
      </c>
      <c r="T123" s="14" t="n">
        <v>35000</v>
      </c>
      <c r="U123" s="14" t="n">
        <v>35000</v>
      </c>
      <c r="V123" s="14" t="n">
        <v>35000</v>
      </c>
      <c r="W123" s="14" t="n">
        <v>35000</v>
      </c>
      <c r="X123" s="14" t="n">
        <v>35000</v>
      </c>
      <c r="Y123" s="14" t="n">
        <v>35000</v>
      </c>
      <c r="Z123" s="14" t="n">
        <v>35000</v>
      </c>
      <c r="AA123" s="14" t="n">
        <v>35000</v>
      </c>
      <c r="AB123" s="14" t="n">
        <v>35000</v>
      </c>
      <c r="AC123" s="14" t="n">
        <v>600000</v>
      </c>
      <c r="AD123" s="14" t="n">
        <v>1000000</v>
      </c>
      <c r="AE123" s="14" t="n">
        <v>1500000</v>
      </c>
      <c r="AG123" s="2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6" t="s">
        <v>352</v>
      </c>
    </row>
    <row r="3" customFormat="false" ht="17.35" hidden="false" customHeight="false" outlineLevel="0" collapsed="false">
      <c r="A3" s="13" t="s">
        <v>353</v>
      </c>
      <c r="C3" s="18" t="n">
        <v>2</v>
      </c>
      <c r="D3" s="13" t="str">
        <f aca="false">CHOOSE(Scenario,"Bear","Base","Bull")</f>
        <v>Base</v>
      </c>
    </row>
    <row r="5" customFormat="false" ht="15" hidden="false" customHeight="false" outlineLevel="0" collapsed="false">
      <c r="A5" s="3" t="s">
        <v>354</v>
      </c>
      <c r="B5" s="3" t="s">
        <v>43</v>
      </c>
      <c r="C5" s="3" t="s">
        <v>355</v>
      </c>
      <c r="D5" s="3" t="s">
        <v>356</v>
      </c>
      <c r="E5" s="3" t="s">
        <v>357</v>
      </c>
      <c r="F5" s="3" t="s">
        <v>358</v>
      </c>
      <c r="G5" s="3" t="s">
        <v>359</v>
      </c>
    </row>
    <row r="6" customFormat="false" ht="15" hidden="false" customHeight="false" outlineLevel="0" collapsed="false">
      <c r="A6" s="0" t="s">
        <v>360</v>
      </c>
      <c r="B6" s="2" t="s">
        <v>361</v>
      </c>
      <c r="C6" s="16" t="n">
        <v>0.55</v>
      </c>
      <c r="D6" s="16" t="n">
        <v>1</v>
      </c>
      <c r="E6" s="16" t="n">
        <v>1.45</v>
      </c>
      <c r="F6" s="19" t="n">
        <f aca="false">CHOOSE(Scenario,C6,D6,E6)</f>
        <v>1</v>
      </c>
      <c r="G6" s="2" t="s">
        <v>362</v>
      </c>
    </row>
    <row r="7" customFormat="false" ht="15" hidden="false" customHeight="false" outlineLevel="0" collapsed="false">
      <c r="A7" s="0" t="s">
        <v>363</v>
      </c>
      <c r="B7" s="2" t="s">
        <v>364</v>
      </c>
      <c r="C7" s="16" t="n">
        <v>0.93</v>
      </c>
      <c r="D7" s="16" t="n">
        <v>1</v>
      </c>
      <c r="E7" s="16" t="n">
        <v>1</v>
      </c>
      <c r="F7" s="19" t="n">
        <f aca="false">CHOOSE(Scenario,C7,D7,E7)</f>
        <v>1</v>
      </c>
      <c r="G7" s="2" t="s">
        <v>365</v>
      </c>
    </row>
    <row r="8" customFormat="false" ht="15" hidden="false" customHeight="false" outlineLevel="0" collapsed="false">
      <c r="A8" s="0" t="s">
        <v>366</v>
      </c>
      <c r="B8" s="2" t="s">
        <v>367</v>
      </c>
      <c r="C8" s="16" t="n">
        <v>0.7</v>
      </c>
      <c r="D8" s="16" t="n">
        <v>1</v>
      </c>
      <c r="E8" s="16" t="n">
        <v>1.25</v>
      </c>
      <c r="F8" s="19" t="n">
        <f aca="false">CHOOSE(Scenario,C8,D8,E8)</f>
        <v>1</v>
      </c>
      <c r="G8" s="2" t="s">
        <v>368</v>
      </c>
    </row>
    <row r="9" customFormat="false" ht="15" hidden="false" customHeight="false" outlineLevel="0" collapsed="false">
      <c r="A9" s="0" t="s">
        <v>369</v>
      </c>
      <c r="B9" s="2" t="s">
        <v>370</v>
      </c>
      <c r="C9" s="16" t="n">
        <v>1.3</v>
      </c>
      <c r="D9" s="16" t="n">
        <v>1</v>
      </c>
      <c r="E9" s="16" t="n">
        <v>0.8</v>
      </c>
      <c r="F9" s="19" t="n">
        <f aca="false">CHOOSE(Scenario,C9,D9,E9)</f>
        <v>1</v>
      </c>
      <c r="G9" s="2" t="s">
        <v>371</v>
      </c>
    </row>
    <row r="10" customFormat="false" ht="15" hidden="false" customHeight="false" outlineLevel="0" collapsed="false">
      <c r="A10" s="0" t="s">
        <v>372</v>
      </c>
      <c r="B10" s="2" t="s">
        <v>373</v>
      </c>
      <c r="C10" s="16" t="n">
        <v>1.1</v>
      </c>
      <c r="D10" s="16" t="n">
        <v>1</v>
      </c>
      <c r="E10" s="16" t="n">
        <v>0.95</v>
      </c>
      <c r="F10" s="19" t="n">
        <f aca="false">CHOOSE(Scenario,C10,D10,E10)</f>
        <v>1</v>
      </c>
      <c r="G10" s="2" t="s">
        <v>374</v>
      </c>
    </row>
    <row r="11" customFormat="false" ht="15" hidden="false" customHeight="false" outlineLevel="0" collapsed="false">
      <c r="A11" s="0" t="s">
        <v>375</v>
      </c>
      <c r="B11" s="2" t="s">
        <v>376</v>
      </c>
      <c r="C11" s="16" t="n">
        <v>1.35</v>
      </c>
      <c r="D11" s="16" t="n">
        <v>1</v>
      </c>
      <c r="E11" s="16" t="n">
        <v>0.85</v>
      </c>
      <c r="F11" s="19" t="n">
        <f aca="false">CHOOSE(Scenario,C11,D11,E11)</f>
        <v>1</v>
      </c>
      <c r="G11" s="2" t="s">
        <v>377</v>
      </c>
    </row>
    <row r="15" customFormat="false" ht="15" hidden="false" customHeight="false" outlineLevel="0" collapsed="false">
      <c r="A15" s="20" t="s">
        <v>378</v>
      </c>
    </row>
    <row r="16" customFormat="false" ht="15" hidden="false" customHeight="false" outlineLevel="0" collapsed="false">
      <c r="A16" s="21" t="s">
        <v>379</v>
      </c>
      <c r="B16" s="21" t="s">
        <v>380</v>
      </c>
      <c r="C16" s="21" t="s">
        <v>381</v>
      </c>
      <c r="D16" s="21" t="s">
        <v>2</v>
      </c>
      <c r="E16" s="21" t="s">
        <v>3</v>
      </c>
      <c r="F16" s="21" t="s">
        <v>4</v>
      </c>
      <c r="G16" s="21" t="s">
        <v>5</v>
      </c>
      <c r="H16" s="21" t="s">
        <v>6</v>
      </c>
    </row>
    <row r="17" customFormat="false" ht="15" hidden="false" customHeight="false" outlineLevel="0" collapsed="false">
      <c r="A17" s="0" t="s">
        <v>7</v>
      </c>
      <c r="B17" s="0" t="s">
        <v>355</v>
      </c>
      <c r="C17" s="22" t="n">
        <v>0</v>
      </c>
      <c r="D17" s="22" t="n">
        <v>2033.625</v>
      </c>
      <c r="E17" s="22" t="n">
        <v>21588.875</v>
      </c>
      <c r="F17" s="22" t="n">
        <v>66000</v>
      </c>
      <c r="G17" s="22" t="n">
        <v>137500</v>
      </c>
      <c r="H17" s="22" t="n">
        <v>220000</v>
      </c>
    </row>
    <row r="18" customFormat="false" ht="15" hidden="false" customHeight="false" outlineLevel="0" collapsed="false">
      <c r="A18" s="0" t="s">
        <v>7</v>
      </c>
      <c r="B18" s="0" t="s">
        <v>356</v>
      </c>
      <c r="C18" s="22" t="n">
        <v>0</v>
      </c>
      <c r="D18" s="22" t="n">
        <v>3697.5</v>
      </c>
      <c r="E18" s="22" t="n">
        <v>39252.5</v>
      </c>
      <c r="F18" s="22" t="n">
        <v>120000</v>
      </c>
      <c r="G18" s="22" t="n">
        <v>250000</v>
      </c>
      <c r="H18" s="22" t="n">
        <v>400000</v>
      </c>
    </row>
    <row r="19" customFormat="false" ht="15" hidden="false" customHeight="false" outlineLevel="0" collapsed="false">
      <c r="A19" s="0" t="s">
        <v>7</v>
      </c>
      <c r="B19" s="0" t="s">
        <v>357</v>
      </c>
      <c r="C19" s="22" t="n">
        <v>0</v>
      </c>
      <c r="D19" s="22" t="n">
        <v>5361.375</v>
      </c>
      <c r="E19" s="22" t="n">
        <v>56916.125</v>
      </c>
      <c r="F19" s="22" t="n">
        <v>174000</v>
      </c>
      <c r="G19" s="22" t="n">
        <v>362500</v>
      </c>
      <c r="H19" s="22" t="n">
        <v>580000</v>
      </c>
    </row>
    <row r="20" customFormat="false" ht="15" hidden="false" customHeight="false" outlineLevel="0" collapsed="false">
      <c r="A20" s="0" t="s">
        <v>382</v>
      </c>
      <c r="B20" s="0" t="s">
        <v>355</v>
      </c>
      <c r="C20" s="22" t="n">
        <v>0</v>
      </c>
      <c r="D20" s="22" t="n">
        <v>335843.723655</v>
      </c>
      <c r="E20" s="22" t="n">
        <v>5099835.30831777</v>
      </c>
      <c r="F20" s="22" t="n">
        <v>16034940.9701318</v>
      </c>
      <c r="G20" s="22" t="n">
        <v>33901014.0540021</v>
      </c>
      <c r="H20" s="22" t="n">
        <v>56150489.1738692</v>
      </c>
    </row>
    <row r="21" customFormat="false" ht="15" hidden="false" customHeight="false" outlineLevel="0" collapsed="false">
      <c r="A21" s="0" t="s">
        <v>382</v>
      </c>
      <c r="B21" s="0" t="s">
        <v>356</v>
      </c>
      <c r="C21" s="22" t="n">
        <v>0</v>
      </c>
      <c r="D21" s="22" t="n">
        <v>656496.72</v>
      </c>
      <c r="E21" s="22" t="n">
        <v>10020674.1389513</v>
      </c>
      <c r="F21" s="22" t="n">
        <v>31635040.1157613</v>
      </c>
      <c r="G21" s="22" t="n">
        <v>67070782.9263516</v>
      </c>
      <c r="H21" s="22" t="n">
        <v>111334756.855649</v>
      </c>
    </row>
    <row r="22" customFormat="false" ht="15" hidden="false" customHeight="false" outlineLevel="0" collapsed="false">
      <c r="A22" s="0" t="s">
        <v>382</v>
      </c>
      <c r="B22" s="0" t="s">
        <v>357</v>
      </c>
      <c r="C22" s="22" t="n">
        <v>0</v>
      </c>
      <c r="D22" s="22" t="n">
        <v>951920.244</v>
      </c>
      <c r="E22" s="22" t="n">
        <v>14637556.7224561</v>
      </c>
      <c r="F22" s="22" t="n">
        <v>46643891.1661353</v>
      </c>
      <c r="G22" s="22" t="n">
        <v>99502274.8007419</v>
      </c>
      <c r="H22" s="22" t="n">
        <v>166125534.495291</v>
      </c>
    </row>
    <row r="23" customFormat="false" ht="15" hidden="false" customHeight="false" outlineLevel="0" collapsed="false">
      <c r="A23" s="0" t="s">
        <v>16</v>
      </c>
      <c r="B23" s="0" t="s">
        <v>355</v>
      </c>
      <c r="C23" s="23" t="n">
        <v>0</v>
      </c>
      <c r="D23" s="23" t="n">
        <v>-0.0357514267144211</v>
      </c>
      <c r="E23" s="23" t="n">
        <v>0.116619108902046</v>
      </c>
      <c r="F23" s="23" t="n">
        <v>0.191627102565752</v>
      </c>
      <c r="G23" s="23" t="n">
        <v>0.257130577471701</v>
      </c>
      <c r="H23" s="23" t="n">
        <v>0.301794413736309</v>
      </c>
    </row>
    <row r="24" customFormat="false" ht="15" hidden="false" customHeight="false" outlineLevel="0" collapsed="false">
      <c r="A24" s="0" t="s">
        <v>16</v>
      </c>
      <c r="B24" s="0" t="s">
        <v>356</v>
      </c>
      <c r="C24" s="23" t="n">
        <v>0</v>
      </c>
      <c r="D24" s="23" t="n">
        <v>0.1121405370464</v>
      </c>
      <c r="E24" s="23" t="n">
        <v>0.238550584331234</v>
      </c>
      <c r="F24" s="23" t="n">
        <v>0.302351344762522</v>
      </c>
      <c r="G24" s="23" t="n">
        <v>0.358769458038142</v>
      </c>
      <c r="H24" s="23" t="n">
        <v>0.397341158973387</v>
      </c>
    </row>
    <row r="25" customFormat="false" ht="15" hidden="false" customHeight="false" outlineLevel="0" collapsed="false">
      <c r="A25" s="0" t="s">
        <v>16</v>
      </c>
      <c r="B25" s="0" t="s">
        <v>357</v>
      </c>
      <c r="C25" s="23" t="n">
        <v>0</v>
      </c>
      <c r="D25" s="23" t="n">
        <v>0.151584359115305</v>
      </c>
      <c r="E25" s="23" t="n">
        <v>0.27288932825276</v>
      </c>
      <c r="F25" s="23" t="n">
        <v>0.336544425390191</v>
      </c>
      <c r="G25" s="23" t="n">
        <v>0.392096438323416</v>
      </c>
      <c r="H25" s="23" t="n">
        <v>0.430571904405489</v>
      </c>
    </row>
    <row r="26" customFormat="false" ht="15" hidden="false" customHeight="false" outlineLevel="0" collapsed="false">
      <c r="A26" s="0" t="s">
        <v>18</v>
      </c>
      <c r="B26" s="0" t="s">
        <v>355</v>
      </c>
      <c r="C26" s="22" t="n">
        <v>-198666.666666667</v>
      </c>
      <c r="D26" s="22" t="n">
        <v>-4159019.19447665</v>
      </c>
      <c r="E26" s="22" t="n">
        <v>-5904312.38796671</v>
      </c>
      <c r="F26" s="22" t="n">
        <v>-13066128.2349474</v>
      </c>
      <c r="G26" s="22" t="n">
        <v>-18895178.8085849</v>
      </c>
      <c r="H26" s="22" t="n">
        <v>-23192539.8636934</v>
      </c>
    </row>
    <row r="27" customFormat="false" ht="15" hidden="false" customHeight="false" outlineLevel="0" collapsed="false">
      <c r="A27" s="0" t="s">
        <v>18</v>
      </c>
      <c r="B27" s="0" t="s">
        <v>356</v>
      </c>
      <c r="C27" s="22" t="n">
        <v>-198666.666666667</v>
      </c>
      <c r="D27" s="22" t="n">
        <v>-4115400.00380072</v>
      </c>
      <c r="E27" s="22" t="n">
        <v>-4613729.56092694</v>
      </c>
      <c r="F27" s="22" t="n">
        <v>-8160796.67104991</v>
      </c>
      <c r="G27" s="22" t="n">
        <v>-6583183.85223564</v>
      </c>
      <c r="H27" s="22" t="n">
        <v>-621008.363884307</v>
      </c>
    </row>
    <row r="28" customFormat="false" ht="15" hidden="false" customHeight="false" outlineLevel="0" collapsed="false">
      <c r="A28" s="0" t="s">
        <v>18</v>
      </c>
      <c r="B28" s="0" t="s">
        <v>357</v>
      </c>
      <c r="C28" s="22" t="n">
        <v>-198666.666666667</v>
      </c>
      <c r="D28" s="22" t="n">
        <v>-4083451.38278293</v>
      </c>
      <c r="E28" s="22" t="n">
        <v>-3466513.71538894</v>
      </c>
      <c r="F28" s="22" t="n">
        <v>-3464032.00119706</v>
      </c>
      <c r="G28" s="22" t="n">
        <v>5620914.38653198</v>
      </c>
      <c r="H28" s="22" t="n">
        <v>22395092.6710893</v>
      </c>
    </row>
    <row r="29" customFormat="false" ht="15" hidden="false" customHeight="false" outlineLevel="0" collapsed="false">
      <c r="A29" s="0" t="s">
        <v>21</v>
      </c>
      <c r="B29" s="0" t="s">
        <v>355</v>
      </c>
      <c r="C29" s="22" t="n">
        <v>1305486.66666667</v>
      </c>
      <c r="D29" s="22" t="n">
        <v>2472291.22749896</v>
      </c>
      <c r="E29" s="22" t="n">
        <v>23067850.409841</v>
      </c>
      <c r="F29" s="22" t="n">
        <v>9636530.43614863</v>
      </c>
      <c r="G29" s="22" t="n">
        <v>22735517.4628701</v>
      </c>
      <c r="H29" s="22" t="n">
        <v>-3617882.70374612</v>
      </c>
    </row>
    <row r="30" customFormat="false" ht="15" hidden="false" customHeight="false" outlineLevel="0" collapsed="false">
      <c r="A30" s="0" t="s">
        <v>21</v>
      </c>
      <c r="B30" s="0" t="s">
        <v>356</v>
      </c>
      <c r="C30" s="22" t="n">
        <v>1305486.66666667</v>
      </c>
      <c r="D30" s="22" t="n">
        <v>2556526.39024591</v>
      </c>
      <c r="E30" s="22" t="n">
        <v>23250148.921424</v>
      </c>
      <c r="F30" s="22" t="n">
        <v>14378505.2468431</v>
      </c>
      <c r="G30" s="22" t="n">
        <v>38382308.0431785</v>
      </c>
      <c r="H30" s="22" t="n">
        <v>33426497.8882027</v>
      </c>
    </row>
    <row r="31" customFormat="false" ht="15" hidden="false" customHeight="false" outlineLevel="0" collapsed="false">
      <c r="A31" s="0" t="s">
        <v>21</v>
      </c>
      <c r="B31" s="0" t="s">
        <v>357</v>
      </c>
      <c r="C31" s="22" t="n">
        <v>1305486.66666667</v>
      </c>
      <c r="D31" s="22" t="n">
        <v>2619702.80070717</v>
      </c>
      <c r="E31" s="22" t="n">
        <v>23334341.21121</v>
      </c>
      <c r="F31" s="22" t="n">
        <v>18830584.3945179</v>
      </c>
      <c r="G31" s="22" t="n">
        <v>53708471.2535306</v>
      </c>
      <c r="H31" s="22" t="n">
        <v>66832262.5457711</v>
      </c>
    </row>
    <row r="32" customFormat="false" ht="15" hidden="false" customHeight="false" outlineLevel="0" collapsed="false">
      <c r="A32" s="0" t="s">
        <v>25</v>
      </c>
      <c r="B32" s="0" t="s">
        <v>355</v>
      </c>
      <c r="C32" s="22" t="n">
        <v>0</v>
      </c>
      <c r="D32" s="22" t="n">
        <v>0</v>
      </c>
      <c r="E32" s="22" t="n">
        <v>263144.625731811</v>
      </c>
      <c r="F32" s="22" t="n">
        <v>1061163.10554992</v>
      </c>
      <c r="G32" s="22" t="n">
        <v>2368511.09452143</v>
      </c>
      <c r="H32" s="22" t="n">
        <v>4173906.90608743</v>
      </c>
    </row>
    <row r="33" customFormat="false" ht="15" hidden="false" customHeight="false" outlineLevel="0" collapsed="false">
      <c r="A33" s="0" t="s">
        <v>25</v>
      </c>
      <c r="B33" s="0" t="s">
        <v>356</v>
      </c>
      <c r="C33" s="22" t="n">
        <v>0</v>
      </c>
      <c r="D33" s="22" t="n">
        <v>0</v>
      </c>
      <c r="E33" s="22" t="n">
        <v>786259.35925953</v>
      </c>
      <c r="F33" s="22" t="n">
        <v>3313746.25805697</v>
      </c>
      <c r="G33" s="22" t="n">
        <v>7591679.41389441</v>
      </c>
      <c r="H33" s="22" t="n">
        <v>13637368.2092051</v>
      </c>
    </row>
    <row r="34" customFormat="false" ht="15" hidden="false" customHeight="false" outlineLevel="0" collapsed="false">
      <c r="A34" s="0" t="s">
        <v>25</v>
      </c>
      <c r="B34" s="0" t="s">
        <v>357</v>
      </c>
      <c r="C34" s="22" t="n">
        <v>0</v>
      </c>
      <c r="D34" s="22" t="n">
        <v>0</v>
      </c>
      <c r="E34" s="22" t="n">
        <v>1492299.11752698</v>
      </c>
      <c r="F34" s="22" t="n">
        <v>6492514.98224999</v>
      </c>
      <c r="G34" s="22" t="n">
        <v>15190171.7114301</v>
      </c>
      <c r="H34" s="22" t="n">
        <v>27738297.321203</v>
      </c>
    </row>
    <row r="35" customFormat="false" ht="15" hidden="false" customHeight="false" outlineLevel="0" collapsed="false">
      <c r="A35" s="0" t="s">
        <v>383</v>
      </c>
      <c r="B35" s="0" t="s">
        <v>355</v>
      </c>
      <c r="C35" s="22" t="n">
        <v>-3617882.70374612</v>
      </c>
      <c r="D35" s="22" t="n">
        <v>74117882.7037461</v>
      </c>
      <c r="E35" s="24" t="s">
        <v>384</v>
      </c>
    </row>
    <row r="36" customFormat="false" ht="15" hidden="false" customHeight="false" outlineLevel="0" collapsed="false">
      <c r="A36" s="0" t="s">
        <v>383</v>
      </c>
      <c r="B36" s="0" t="s">
        <v>356</v>
      </c>
      <c r="C36" s="22" t="n">
        <v>420194.504670439</v>
      </c>
      <c r="D36" s="22" t="n">
        <v>37073502.1117973</v>
      </c>
      <c r="E36" s="24" t="s">
        <v>384</v>
      </c>
    </row>
    <row r="37" customFormat="false" ht="15" hidden="false" customHeight="false" outlineLevel="0" collapsed="false">
      <c r="A37" s="0" t="s">
        <v>383</v>
      </c>
      <c r="B37" s="0" t="s">
        <v>357</v>
      </c>
      <c r="C37" s="22" t="n">
        <v>420194.504670439</v>
      </c>
      <c r="D37" s="22" t="n">
        <v>16791528.7464694</v>
      </c>
      <c r="E37" s="0" t="n">
        <v>2030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385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391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392</v>
      </c>
      <c r="B10" s="2" t="s">
        <v>50</v>
      </c>
      <c r="C10" s="4" t="n">
        <f aca="false">msrp_peb*sc_price</f>
        <v>149</v>
      </c>
      <c r="D10" s="4" t="n">
        <f aca="false">msrp_peb*sc_price</f>
        <v>149</v>
      </c>
      <c r="E10" s="4" t="n">
        <f aca="false">msrp_peb*sc_price</f>
        <v>149</v>
      </c>
      <c r="F10" s="4" t="n">
        <f aca="false">msrp_peb*sc_price</f>
        <v>149</v>
      </c>
      <c r="G10" s="4" t="n">
        <f aca="false">msrp_peb*sc_price</f>
        <v>149</v>
      </c>
      <c r="H10" s="4" t="n">
        <f aca="false">msrp_peb*sc_price</f>
        <v>149</v>
      </c>
      <c r="I10" s="4" t="n">
        <f aca="false">msrp_peb*sc_price</f>
        <v>149</v>
      </c>
      <c r="J10" s="4" t="n">
        <f aca="false">msrp_peb*sc_price</f>
        <v>149</v>
      </c>
      <c r="K10" s="4" t="n">
        <f aca="false">msrp_peb*sc_price</f>
        <v>149</v>
      </c>
      <c r="L10" s="4" t="n">
        <f aca="false">msrp_peb*sc_price</f>
        <v>149</v>
      </c>
      <c r="M10" s="4" t="n">
        <f aca="false">msrp_peb*sc_price</f>
        <v>149</v>
      </c>
      <c r="N10" s="4" t="n">
        <f aca="false">msrp_peb*sc_price</f>
        <v>149</v>
      </c>
      <c r="O10" s="4" t="n">
        <f aca="false">msrp_peb*sc_price</f>
        <v>149</v>
      </c>
      <c r="P10" s="4" t="n">
        <f aca="false">msrp_peb*sc_price</f>
        <v>149</v>
      </c>
      <c r="Q10" s="4" t="n">
        <f aca="false">msrp_peb*sc_price</f>
        <v>149</v>
      </c>
      <c r="R10" s="4" t="n">
        <f aca="false">msrp_peb*sc_price</f>
        <v>149</v>
      </c>
      <c r="S10" s="4" t="n">
        <f aca="false">msrp_peb*sc_price</f>
        <v>149</v>
      </c>
      <c r="T10" s="4" t="n">
        <f aca="false">msrp_peb*sc_price</f>
        <v>149</v>
      </c>
      <c r="U10" s="4" t="n">
        <f aca="false">msrp_peb*sc_price</f>
        <v>149</v>
      </c>
      <c r="V10" s="4" t="n">
        <f aca="false">msrp_peb*sc_price</f>
        <v>149</v>
      </c>
      <c r="W10" s="4" t="n">
        <f aca="false">msrp_peb*sc_price</f>
        <v>149</v>
      </c>
      <c r="X10" s="4" t="n">
        <f aca="false">msrp_peb*sc_price</f>
        <v>149</v>
      </c>
      <c r="Y10" s="4" t="n">
        <f aca="false">msrp_peb*sc_price</f>
        <v>149</v>
      </c>
      <c r="Z10" s="4" t="n">
        <f aca="false">msrp_peb*sc_price</f>
        <v>149</v>
      </c>
      <c r="AA10" s="4" t="n">
        <f aca="false">msrp_peb*sc_price</f>
        <v>149</v>
      </c>
      <c r="AB10" s="4" t="n">
        <f aca="false">msrp_peb*sc_price</f>
        <v>149</v>
      </c>
      <c r="AC10" s="4" t="n">
        <f aca="false">msrp_peb*sc_price</f>
        <v>149</v>
      </c>
      <c r="AD10" s="4" t="n">
        <f aca="false">msrp_peb*sc_price</f>
        <v>149</v>
      </c>
      <c r="AE10" s="4" t="n">
        <f aca="false">msrp_peb*sc_price</f>
        <v>149</v>
      </c>
    </row>
    <row r="11" customFormat="false" ht="15" hidden="false" customHeight="false" outlineLevel="0" collapsed="false">
      <c r="A11" s="0" t="s">
        <v>393</v>
      </c>
      <c r="B11" s="2" t="s">
        <v>50</v>
      </c>
      <c r="C11" s="4" t="n">
        <f aca="false">msrp_sq*sc_price</f>
        <v>299</v>
      </c>
      <c r="D11" s="4" t="n">
        <f aca="false">msrp_sq*sc_price</f>
        <v>299</v>
      </c>
      <c r="E11" s="4" t="n">
        <f aca="false">msrp_sq*sc_price</f>
        <v>299</v>
      </c>
      <c r="F11" s="4" t="n">
        <f aca="false">msrp_sq*sc_price</f>
        <v>299</v>
      </c>
      <c r="G11" s="4" t="n">
        <f aca="false">msrp_sq*sc_price</f>
        <v>299</v>
      </c>
      <c r="H11" s="4" t="n">
        <f aca="false">msrp_sq*sc_price</f>
        <v>299</v>
      </c>
      <c r="I11" s="4" t="n">
        <f aca="false">msrp_sq*sc_price</f>
        <v>299</v>
      </c>
      <c r="J11" s="4" t="n">
        <f aca="false">msrp_sq*sc_price</f>
        <v>299</v>
      </c>
      <c r="K11" s="4" t="n">
        <f aca="false">msrp_sq*sc_price</f>
        <v>299</v>
      </c>
      <c r="L11" s="4" t="n">
        <f aca="false">msrp_sq*sc_price</f>
        <v>299</v>
      </c>
      <c r="M11" s="4" t="n">
        <f aca="false">msrp_sq*sc_price</f>
        <v>299</v>
      </c>
      <c r="N11" s="4" t="n">
        <f aca="false">msrp_sq*sc_price</f>
        <v>299</v>
      </c>
      <c r="O11" s="4" t="n">
        <f aca="false">msrp_sq*sc_price</f>
        <v>299</v>
      </c>
      <c r="P11" s="4" t="n">
        <f aca="false">msrp_sq*sc_price</f>
        <v>299</v>
      </c>
      <c r="Q11" s="4" t="n">
        <f aca="false">msrp_sq*sc_price</f>
        <v>299</v>
      </c>
      <c r="R11" s="4" t="n">
        <f aca="false">msrp_sq*sc_price</f>
        <v>299</v>
      </c>
      <c r="S11" s="4" t="n">
        <f aca="false">msrp_sq*sc_price</f>
        <v>299</v>
      </c>
      <c r="T11" s="4" t="n">
        <f aca="false">msrp_sq*sc_price</f>
        <v>299</v>
      </c>
      <c r="U11" s="4" t="n">
        <f aca="false">msrp_sq*sc_price</f>
        <v>299</v>
      </c>
      <c r="V11" s="4" t="n">
        <f aca="false">msrp_sq*sc_price</f>
        <v>299</v>
      </c>
      <c r="W11" s="4" t="n">
        <f aca="false">msrp_sq*sc_price</f>
        <v>299</v>
      </c>
      <c r="X11" s="4" t="n">
        <f aca="false">msrp_sq*sc_price</f>
        <v>299</v>
      </c>
      <c r="Y11" s="4" t="n">
        <f aca="false">msrp_sq*sc_price</f>
        <v>299</v>
      </c>
      <c r="Z11" s="4" t="n">
        <f aca="false">msrp_sq*sc_price</f>
        <v>299</v>
      </c>
      <c r="AA11" s="4" t="n">
        <f aca="false">msrp_sq*sc_price</f>
        <v>299</v>
      </c>
      <c r="AB11" s="4" t="n">
        <f aca="false">msrp_sq*sc_price</f>
        <v>299</v>
      </c>
      <c r="AC11" s="4" t="n">
        <f aca="false">msrp_sq*sc_price</f>
        <v>299</v>
      </c>
      <c r="AD11" s="4" t="n">
        <f aca="false">msrp_sq*sc_price</f>
        <v>299</v>
      </c>
      <c r="AE11" s="4" t="n">
        <f aca="false">msrp_sq*sc_price</f>
        <v>299</v>
      </c>
    </row>
    <row r="12" customFormat="false" ht="15" hidden="false" customHeight="false" outlineLevel="0" collapsed="false">
      <c r="A12" s="0" t="s">
        <v>394</v>
      </c>
      <c r="B12" s="2" t="s">
        <v>50</v>
      </c>
      <c r="C12" s="4" t="n">
        <f aca="false">msrp_atl*sc_price</f>
        <v>599</v>
      </c>
      <c r="D12" s="4" t="n">
        <f aca="false">msrp_atl*sc_price</f>
        <v>599</v>
      </c>
      <c r="E12" s="4" t="n">
        <f aca="false">msrp_atl*sc_price</f>
        <v>599</v>
      </c>
      <c r="F12" s="4" t="n">
        <f aca="false">msrp_atl*sc_price</f>
        <v>599</v>
      </c>
      <c r="G12" s="4" t="n">
        <f aca="false">msrp_atl*sc_price</f>
        <v>599</v>
      </c>
      <c r="H12" s="4" t="n">
        <f aca="false">msrp_atl*sc_price</f>
        <v>599</v>
      </c>
      <c r="I12" s="4" t="n">
        <f aca="false">msrp_atl*sc_price</f>
        <v>599</v>
      </c>
      <c r="J12" s="4" t="n">
        <f aca="false">msrp_atl*sc_price</f>
        <v>599</v>
      </c>
      <c r="K12" s="4" t="n">
        <f aca="false">msrp_atl*sc_price</f>
        <v>599</v>
      </c>
      <c r="L12" s="4" t="n">
        <f aca="false">msrp_atl*sc_price</f>
        <v>599</v>
      </c>
      <c r="M12" s="4" t="n">
        <f aca="false">msrp_atl*sc_price</f>
        <v>599</v>
      </c>
      <c r="N12" s="4" t="n">
        <f aca="false">msrp_atl*sc_price</f>
        <v>599</v>
      </c>
      <c r="O12" s="4" t="n">
        <f aca="false">msrp_atl*sc_price</f>
        <v>599</v>
      </c>
      <c r="P12" s="4" t="n">
        <f aca="false">msrp_atl*sc_price</f>
        <v>599</v>
      </c>
      <c r="Q12" s="4" t="n">
        <f aca="false">msrp_atl*sc_price</f>
        <v>599</v>
      </c>
      <c r="R12" s="4" t="n">
        <f aca="false">msrp_atl*sc_price</f>
        <v>599</v>
      </c>
      <c r="S12" s="4" t="n">
        <f aca="false">msrp_atl*sc_price</f>
        <v>599</v>
      </c>
      <c r="T12" s="4" t="n">
        <f aca="false">msrp_atl*sc_price</f>
        <v>599</v>
      </c>
      <c r="U12" s="4" t="n">
        <f aca="false">msrp_atl*sc_price</f>
        <v>599</v>
      </c>
      <c r="V12" s="4" t="n">
        <f aca="false">msrp_atl*sc_price</f>
        <v>599</v>
      </c>
      <c r="W12" s="4" t="n">
        <f aca="false">msrp_atl*sc_price</f>
        <v>599</v>
      </c>
      <c r="X12" s="4" t="n">
        <f aca="false">msrp_atl*sc_price</f>
        <v>599</v>
      </c>
      <c r="Y12" s="4" t="n">
        <f aca="false">msrp_atl*sc_price</f>
        <v>599</v>
      </c>
      <c r="Z12" s="4" t="n">
        <f aca="false">msrp_atl*sc_price</f>
        <v>599</v>
      </c>
      <c r="AA12" s="4" t="n">
        <f aca="false">msrp_atl*sc_price</f>
        <v>599</v>
      </c>
      <c r="AB12" s="4" t="n">
        <f aca="false">msrp_atl*sc_price</f>
        <v>599</v>
      </c>
      <c r="AC12" s="4" t="n">
        <f aca="false">msrp_atl*sc_price</f>
        <v>599</v>
      </c>
      <c r="AD12" s="4" t="n">
        <f aca="false">msrp_atl*sc_price</f>
        <v>599</v>
      </c>
      <c r="AE12" s="4" t="n">
        <f aca="false">msrp_atl*sc_price</f>
        <v>599</v>
      </c>
    </row>
    <row r="13" customFormat="false" ht="15" hidden="false" customHeight="false" outlineLevel="0" collapsed="false">
      <c r="A13" s="0" t="s">
        <v>395</v>
      </c>
      <c r="B13" s="2" t="s">
        <v>50</v>
      </c>
      <c r="C13" s="28" t="n">
        <f aca="false">'Pricing &amp; Mix'!C10*(1-dtc_disc)</f>
        <v>140.06</v>
      </c>
      <c r="D13" s="28" t="n">
        <f aca="false">'Pricing &amp; Mix'!D10*(1-dtc_disc)</f>
        <v>140.06</v>
      </c>
      <c r="E13" s="28" t="n">
        <f aca="false">'Pricing &amp; Mix'!E10*(1-dtc_disc)</f>
        <v>140.06</v>
      </c>
      <c r="F13" s="28" t="n">
        <f aca="false">'Pricing &amp; Mix'!F10*(1-dtc_disc)</f>
        <v>140.06</v>
      </c>
      <c r="G13" s="28" t="n">
        <f aca="false">'Pricing &amp; Mix'!G10*(1-dtc_disc)</f>
        <v>140.06</v>
      </c>
      <c r="H13" s="28" t="n">
        <f aca="false">'Pricing &amp; Mix'!H10*(1-dtc_disc)</f>
        <v>140.06</v>
      </c>
      <c r="I13" s="28" t="n">
        <f aca="false">'Pricing &amp; Mix'!I10*(1-dtc_disc)</f>
        <v>140.06</v>
      </c>
      <c r="J13" s="28" t="n">
        <f aca="false">'Pricing &amp; Mix'!J10*(1-dtc_disc)</f>
        <v>140.06</v>
      </c>
      <c r="K13" s="28" t="n">
        <f aca="false">'Pricing &amp; Mix'!K10*(1-dtc_disc)</f>
        <v>140.06</v>
      </c>
      <c r="L13" s="28" t="n">
        <f aca="false">'Pricing &amp; Mix'!L10*(1-dtc_disc)</f>
        <v>140.06</v>
      </c>
      <c r="M13" s="28" t="n">
        <f aca="false">'Pricing &amp; Mix'!M10*(1-dtc_disc)</f>
        <v>140.06</v>
      </c>
      <c r="N13" s="28" t="n">
        <f aca="false">'Pricing &amp; Mix'!N10*(1-dtc_disc)</f>
        <v>140.06</v>
      </c>
      <c r="O13" s="28" t="n">
        <f aca="false">'Pricing &amp; Mix'!O10*(1-dtc_disc)</f>
        <v>140.06</v>
      </c>
      <c r="P13" s="28" t="n">
        <f aca="false">'Pricing &amp; Mix'!P10*(1-dtc_disc)</f>
        <v>140.06</v>
      </c>
      <c r="Q13" s="28" t="n">
        <f aca="false">'Pricing &amp; Mix'!Q10*(1-dtc_disc)</f>
        <v>140.06</v>
      </c>
      <c r="R13" s="28" t="n">
        <f aca="false">'Pricing &amp; Mix'!R10*(1-dtc_disc)</f>
        <v>140.06</v>
      </c>
      <c r="S13" s="28" t="n">
        <f aca="false">'Pricing &amp; Mix'!S10*(1-dtc_disc)</f>
        <v>140.06</v>
      </c>
      <c r="T13" s="28" t="n">
        <f aca="false">'Pricing &amp; Mix'!T10*(1-dtc_disc)</f>
        <v>140.06</v>
      </c>
      <c r="U13" s="28" t="n">
        <f aca="false">'Pricing &amp; Mix'!U10*(1-dtc_disc)</f>
        <v>140.06</v>
      </c>
      <c r="V13" s="28" t="n">
        <f aca="false">'Pricing &amp; Mix'!V10*(1-dtc_disc)</f>
        <v>140.06</v>
      </c>
      <c r="W13" s="28" t="n">
        <f aca="false">'Pricing &amp; Mix'!W10*(1-dtc_disc)</f>
        <v>140.06</v>
      </c>
      <c r="X13" s="28" t="n">
        <f aca="false">'Pricing &amp; Mix'!X10*(1-dtc_disc)</f>
        <v>140.06</v>
      </c>
      <c r="Y13" s="28" t="n">
        <f aca="false">'Pricing &amp; Mix'!Y10*(1-dtc_disc)</f>
        <v>140.06</v>
      </c>
      <c r="Z13" s="28" t="n">
        <f aca="false">'Pricing &amp; Mix'!Z10*(1-dtc_disc)</f>
        <v>140.06</v>
      </c>
      <c r="AA13" s="28" t="n">
        <f aca="false">'Pricing &amp; Mix'!AA10*(1-dtc_disc)</f>
        <v>140.06</v>
      </c>
      <c r="AB13" s="28" t="n">
        <f aca="false">'Pricing &amp; Mix'!AB10*(1-dtc_disc)</f>
        <v>140.06</v>
      </c>
      <c r="AC13" s="28" t="n">
        <f aca="false">'Pricing &amp; Mix'!AC10*(1-dtc_disc)</f>
        <v>140.06</v>
      </c>
      <c r="AD13" s="28" t="n">
        <f aca="false">'Pricing &amp; Mix'!AD10*(1-dtc_disc)</f>
        <v>140.06</v>
      </c>
      <c r="AE13" s="28" t="n">
        <f aca="false">'Pricing &amp; Mix'!AE10*(1-dtc_disc)</f>
        <v>140.06</v>
      </c>
    </row>
    <row r="14" customFormat="false" ht="15" hidden="false" customHeight="false" outlineLevel="0" collapsed="false">
      <c r="A14" s="0" t="s">
        <v>396</v>
      </c>
      <c r="B14" s="2" t="s">
        <v>50</v>
      </c>
      <c r="C14" s="28" t="n">
        <f aca="false">'Pricing &amp; Mix'!C11*(1-dtc_disc)</f>
        <v>281.06</v>
      </c>
      <c r="D14" s="28" t="n">
        <f aca="false">'Pricing &amp; Mix'!D11*(1-dtc_disc)</f>
        <v>281.06</v>
      </c>
      <c r="E14" s="28" t="n">
        <f aca="false">'Pricing &amp; Mix'!E11*(1-dtc_disc)</f>
        <v>281.06</v>
      </c>
      <c r="F14" s="28" t="n">
        <f aca="false">'Pricing &amp; Mix'!F11*(1-dtc_disc)</f>
        <v>281.06</v>
      </c>
      <c r="G14" s="28" t="n">
        <f aca="false">'Pricing &amp; Mix'!G11*(1-dtc_disc)</f>
        <v>281.06</v>
      </c>
      <c r="H14" s="28" t="n">
        <f aca="false">'Pricing &amp; Mix'!H11*(1-dtc_disc)</f>
        <v>281.06</v>
      </c>
      <c r="I14" s="28" t="n">
        <f aca="false">'Pricing &amp; Mix'!I11*(1-dtc_disc)</f>
        <v>281.06</v>
      </c>
      <c r="J14" s="28" t="n">
        <f aca="false">'Pricing &amp; Mix'!J11*(1-dtc_disc)</f>
        <v>281.06</v>
      </c>
      <c r="K14" s="28" t="n">
        <f aca="false">'Pricing &amp; Mix'!K11*(1-dtc_disc)</f>
        <v>281.06</v>
      </c>
      <c r="L14" s="28" t="n">
        <f aca="false">'Pricing &amp; Mix'!L11*(1-dtc_disc)</f>
        <v>281.06</v>
      </c>
      <c r="M14" s="28" t="n">
        <f aca="false">'Pricing &amp; Mix'!M11*(1-dtc_disc)</f>
        <v>281.06</v>
      </c>
      <c r="N14" s="28" t="n">
        <f aca="false">'Pricing &amp; Mix'!N11*(1-dtc_disc)</f>
        <v>281.06</v>
      </c>
      <c r="O14" s="28" t="n">
        <f aca="false">'Pricing &amp; Mix'!O11*(1-dtc_disc)</f>
        <v>281.06</v>
      </c>
      <c r="P14" s="28" t="n">
        <f aca="false">'Pricing &amp; Mix'!P11*(1-dtc_disc)</f>
        <v>281.06</v>
      </c>
      <c r="Q14" s="28" t="n">
        <f aca="false">'Pricing &amp; Mix'!Q11*(1-dtc_disc)</f>
        <v>281.06</v>
      </c>
      <c r="R14" s="28" t="n">
        <f aca="false">'Pricing &amp; Mix'!R11*(1-dtc_disc)</f>
        <v>281.06</v>
      </c>
      <c r="S14" s="28" t="n">
        <f aca="false">'Pricing &amp; Mix'!S11*(1-dtc_disc)</f>
        <v>281.06</v>
      </c>
      <c r="T14" s="28" t="n">
        <f aca="false">'Pricing &amp; Mix'!T11*(1-dtc_disc)</f>
        <v>281.06</v>
      </c>
      <c r="U14" s="28" t="n">
        <f aca="false">'Pricing &amp; Mix'!U11*(1-dtc_disc)</f>
        <v>281.06</v>
      </c>
      <c r="V14" s="28" t="n">
        <f aca="false">'Pricing &amp; Mix'!V11*(1-dtc_disc)</f>
        <v>281.06</v>
      </c>
      <c r="W14" s="28" t="n">
        <f aca="false">'Pricing &amp; Mix'!W11*(1-dtc_disc)</f>
        <v>281.06</v>
      </c>
      <c r="X14" s="28" t="n">
        <f aca="false">'Pricing &amp; Mix'!X11*(1-dtc_disc)</f>
        <v>281.06</v>
      </c>
      <c r="Y14" s="28" t="n">
        <f aca="false">'Pricing &amp; Mix'!Y11*(1-dtc_disc)</f>
        <v>281.06</v>
      </c>
      <c r="Z14" s="28" t="n">
        <f aca="false">'Pricing &amp; Mix'!Z11*(1-dtc_disc)</f>
        <v>281.06</v>
      </c>
      <c r="AA14" s="28" t="n">
        <f aca="false">'Pricing &amp; Mix'!AA11*(1-dtc_disc)</f>
        <v>281.06</v>
      </c>
      <c r="AB14" s="28" t="n">
        <f aca="false">'Pricing &amp; Mix'!AB11*(1-dtc_disc)</f>
        <v>281.06</v>
      </c>
      <c r="AC14" s="28" t="n">
        <f aca="false">'Pricing &amp; Mix'!AC11*(1-dtc_disc)</f>
        <v>281.06</v>
      </c>
      <c r="AD14" s="28" t="n">
        <f aca="false">'Pricing &amp; Mix'!AD11*(1-dtc_disc)</f>
        <v>281.06</v>
      </c>
      <c r="AE14" s="28" t="n">
        <f aca="false">'Pricing &amp; Mix'!AE11*(1-dtc_disc)</f>
        <v>281.06</v>
      </c>
    </row>
    <row r="15" customFormat="false" ht="15" hidden="false" customHeight="false" outlineLevel="0" collapsed="false">
      <c r="A15" s="0" t="s">
        <v>397</v>
      </c>
      <c r="B15" s="2" t="s">
        <v>50</v>
      </c>
      <c r="C15" s="28" t="n">
        <f aca="false">'Pricing &amp; Mix'!C12*(1-dtc_disc)</f>
        <v>563.06</v>
      </c>
      <c r="D15" s="28" t="n">
        <f aca="false">'Pricing &amp; Mix'!D12*(1-dtc_disc)</f>
        <v>563.06</v>
      </c>
      <c r="E15" s="28" t="n">
        <f aca="false">'Pricing &amp; Mix'!E12*(1-dtc_disc)</f>
        <v>563.06</v>
      </c>
      <c r="F15" s="28" t="n">
        <f aca="false">'Pricing &amp; Mix'!F12*(1-dtc_disc)</f>
        <v>563.06</v>
      </c>
      <c r="G15" s="28" t="n">
        <f aca="false">'Pricing &amp; Mix'!G12*(1-dtc_disc)</f>
        <v>563.06</v>
      </c>
      <c r="H15" s="28" t="n">
        <f aca="false">'Pricing &amp; Mix'!H12*(1-dtc_disc)</f>
        <v>563.06</v>
      </c>
      <c r="I15" s="28" t="n">
        <f aca="false">'Pricing &amp; Mix'!I12*(1-dtc_disc)</f>
        <v>563.06</v>
      </c>
      <c r="J15" s="28" t="n">
        <f aca="false">'Pricing &amp; Mix'!J12*(1-dtc_disc)</f>
        <v>563.06</v>
      </c>
      <c r="K15" s="28" t="n">
        <f aca="false">'Pricing &amp; Mix'!K12*(1-dtc_disc)</f>
        <v>563.06</v>
      </c>
      <c r="L15" s="28" t="n">
        <f aca="false">'Pricing &amp; Mix'!L12*(1-dtc_disc)</f>
        <v>563.06</v>
      </c>
      <c r="M15" s="28" t="n">
        <f aca="false">'Pricing &amp; Mix'!M12*(1-dtc_disc)</f>
        <v>563.06</v>
      </c>
      <c r="N15" s="28" t="n">
        <f aca="false">'Pricing &amp; Mix'!N12*(1-dtc_disc)</f>
        <v>563.06</v>
      </c>
      <c r="O15" s="28" t="n">
        <f aca="false">'Pricing &amp; Mix'!O12*(1-dtc_disc)</f>
        <v>563.06</v>
      </c>
      <c r="P15" s="28" t="n">
        <f aca="false">'Pricing &amp; Mix'!P12*(1-dtc_disc)</f>
        <v>563.06</v>
      </c>
      <c r="Q15" s="28" t="n">
        <f aca="false">'Pricing &amp; Mix'!Q12*(1-dtc_disc)</f>
        <v>563.06</v>
      </c>
      <c r="R15" s="28" t="n">
        <f aca="false">'Pricing &amp; Mix'!R12*(1-dtc_disc)</f>
        <v>563.06</v>
      </c>
      <c r="S15" s="28" t="n">
        <f aca="false">'Pricing &amp; Mix'!S12*(1-dtc_disc)</f>
        <v>563.06</v>
      </c>
      <c r="T15" s="28" t="n">
        <f aca="false">'Pricing &amp; Mix'!T12*(1-dtc_disc)</f>
        <v>563.06</v>
      </c>
      <c r="U15" s="28" t="n">
        <f aca="false">'Pricing &amp; Mix'!U12*(1-dtc_disc)</f>
        <v>563.06</v>
      </c>
      <c r="V15" s="28" t="n">
        <f aca="false">'Pricing &amp; Mix'!V12*(1-dtc_disc)</f>
        <v>563.06</v>
      </c>
      <c r="W15" s="28" t="n">
        <f aca="false">'Pricing &amp; Mix'!W12*(1-dtc_disc)</f>
        <v>563.06</v>
      </c>
      <c r="X15" s="28" t="n">
        <f aca="false">'Pricing &amp; Mix'!X12*(1-dtc_disc)</f>
        <v>563.06</v>
      </c>
      <c r="Y15" s="28" t="n">
        <f aca="false">'Pricing &amp; Mix'!Y12*(1-dtc_disc)</f>
        <v>563.06</v>
      </c>
      <c r="Z15" s="28" t="n">
        <f aca="false">'Pricing &amp; Mix'!Z12*(1-dtc_disc)</f>
        <v>563.06</v>
      </c>
      <c r="AA15" s="28" t="n">
        <f aca="false">'Pricing &amp; Mix'!AA12*(1-dtc_disc)</f>
        <v>563.06</v>
      </c>
      <c r="AB15" s="28" t="n">
        <f aca="false">'Pricing &amp; Mix'!AB12*(1-dtc_disc)</f>
        <v>563.06</v>
      </c>
      <c r="AC15" s="28" t="n">
        <f aca="false">'Pricing &amp; Mix'!AC12*(1-dtc_disc)</f>
        <v>563.06</v>
      </c>
      <c r="AD15" s="28" t="n">
        <f aca="false">'Pricing &amp; Mix'!AD12*(1-dtc_disc)</f>
        <v>563.06</v>
      </c>
      <c r="AE15" s="28" t="n">
        <f aca="false">'Pricing &amp; Mix'!AE12*(1-dtc_disc)</f>
        <v>563.06</v>
      </c>
    </row>
    <row r="16" customFormat="false" ht="15" hidden="false" customHeight="false" outlineLevel="0" collapsed="false">
      <c r="A16" s="0" t="s">
        <v>398</v>
      </c>
      <c r="B16" s="2" t="s">
        <v>50</v>
      </c>
      <c r="C16" s="28" t="n">
        <f aca="false">'Pricing &amp; Mix'!C10*(1-retail_margin)</f>
        <v>92.38</v>
      </c>
      <c r="D16" s="28" t="n">
        <f aca="false">'Pricing &amp; Mix'!D10*(1-retail_margin)</f>
        <v>92.38</v>
      </c>
      <c r="E16" s="28" t="n">
        <f aca="false">'Pricing &amp; Mix'!E10*(1-retail_margin)</f>
        <v>92.38</v>
      </c>
      <c r="F16" s="28" t="n">
        <f aca="false">'Pricing &amp; Mix'!F10*(1-retail_margin)</f>
        <v>92.38</v>
      </c>
      <c r="G16" s="28" t="n">
        <f aca="false">'Pricing &amp; Mix'!G10*(1-retail_margin)</f>
        <v>92.38</v>
      </c>
      <c r="H16" s="28" t="n">
        <f aca="false">'Pricing &amp; Mix'!H10*(1-retail_margin)</f>
        <v>92.38</v>
      </c>
      <c r="I16" s="28" t="n">
        <f aca="false">'Pricing &amp; Mix'!I10*(1-retail_margin)</f>
        <v>92.38</v>
      </c>
      <c r="J16" s="28" t="n">
        <f aca="false">'Pricing &amp; Mix'!J10*(1-retail_margin)</f>
        <v>92.38</v>
      </c>
      <c r="K16" s="28" t="n">
        <f aca="false">'Pricing &amp; Mix'!K10*(1-retail_margin)</f>
        <v>92.38</v>
      </c>
      <c r="L16" s="28" t="n">
        <f aca="false">'Pricing &amp; Mix'!L10*(1-retail_margin)</f>
        <v>92.38</v>
      </c>
      <c r="M16" s="28" t="n">
        <f aca="false">'Pricing &amp; Mix'!M10*(1-retail_margin)</f>
        <v>92.38</v>
      </c>
      <c r="N16" s="28" t="n">
        <f aca="false">'Pricing &amp; Mix'!N10*(1-retail_margin)</f>
        <v>92.38</v>
      </c>
      <c r="O16" s="28" t="n">
        <f aca="false">'Pricing &amp; Mix'!O10*(1-retail_margin)</f>
        <v>92.38</v>
      </c>
      <c r="P16" s="28" t="n">
        <f aca="false">'Pricing &amp; Mix'!P10*(1-retail_margin)</f>
        <v>92.38</v>
      </c>
      <c r="Q16" s="28" t="n">
        <f aca="false">'Pricing &amp; Mix'!Q10*(1-retail_margin)</f>
        <v>92.38</v>
      </c>
      <c r="R16" s="28" t="n">
        <f aca="false">'Pricing &amp; Mix'!R10*(1-retail_margin)</f>
        <v>92.38</v>
      </c>
      <c r="S16" s="28" t="n">
        <f aca="false">'Pricing &amp; Mix'!S10*(1-retail_margin)</f>
        <v>92.38</v>
      </c>
      <c r="T16" s="28" t="n">
        <f aca="false">'Pricing &amp; Mix'!T10*(1-retail_margin)</f>
        <v>92.38</v>
      </c>
      <c r="U16" s="28" t="n">
        <f aca="false">'Pricing &amp; Mix'!U10*(1-retail_margin)</f>
        <v>92.38</v>
      </c>
      <c r="V16" s="28" t="n">
        <f aca="false">'Pricing &amp; Mix'!V10*(1-retail_margin)</f>
        <v>92.38</v>
      </c>
      <c r="W16" s="28" t="n">
        <f aca="false">'Pricing &amp; Mix'!W10*(1-retail_margin)</f>
        <v>92.38</v>
      </c>
      <c r="X16" s="28" t="n">
        <f aca="false">'Pricing &amp; Mix'!X10*(1-retail_margin)</f>
        <v>92.38</v>
      </c>
      <c r="Y16" s="28" t="n">
        <f aca="false">'Pricing &amp; Mix'!Y10*(1-retail_margin)</f>
        <v>92.38</v>
      </c>
      <c r="Z16" s="28" t="n">
        <f aca="false">'Pricing &amp; Mix'!Z10*(1-retail_margin)</f>
        <v>92.38</v>
      </c>
      <c r="AA16" s="28" t="n">
        <f aca="false">'Pricing &amp; Mix'!AA10*(1-retail_margin)</f>
        <v>92.38</v>
      </c>
      <c r="AB16" s="28" t="n">
        <f aca="false">'Pricing &amp; Mix'!AB10*(1-retail_margin)</f>
        <v>92.38</v>
      </c>
      <c r="AC16" s="28" t="n">
        <f aca="false">'Pricing &amp; Mix'!AC10*(1-retail_margin)</f>
        <v>92.38</v>
      </c>
      <c r="AD16" s="28" t="n">
        <f aca="false">'Pricing &amp; Mix'!AD10*(1-retail_margin)</f>
        <v>92.38</v>
      </c>
      <c r="AE16" s="28" t="n">
        <f aca="false">'Pricing &amp; Mix'!AE10*(1-retail_margin)</f>
        <v>92.38</v>
      </c>
    </row>
    <row r="17" customFormat="false" ht="15" hidden="false" customHeight="false" outlineLevel="0" collapsed="false">
      <c r="A17" s="0" t="s">
        <v>399</v>
      </c>
      <c r="B17" s="2" t="s">
        <v>50</v>
      </c>
      <c r="C17" s="28" t="n">
        <f aca="false">'Pricing &amp; Mix'!C11*(1-retail_margin)</f>
        <v>185.38</v>
      </c>
      <c r="D17" s="28" t="n">
        <f aca="false">'Pricing &amp; Mix'!D11*(1-retail_margin)</f>
        <v>185.38</v>
      </c>
      <c r="E17" s="28" t="n">
        <f aca="false">'Pricing &amp; Mix'!E11*(1-retail_margin)</f>
        <v>185.38</v>
      </c>
      <c r="F17" s="28" t="n">
        <f aca="false">'Pricing &amp; Mix'!F11*(1-retail_margin)</f>
        <v>185.38</v>
      </c>
      <c r="G17" s="28" t="n">
        <f aca="false">'Pricing &amp; Mix'!G11*(1-retail_margin)</f>
        <v>185.38</v>
      </c>
      <c r="H17" s="28" t="n">
        <f aca="false">'Pricing &amp; Mix'!H11*(1-retail_margin)</f>
        <v>185.38</v>
      </c>
      <c r="I17" s="28" t="n">
        <f aca="false">'Pricing &amp; Mix'!I11*(1-retail_margin)</f>
        <v>185.38</v>
      </c>
      <c r="J17" s="28" t="n">
        <f aca="false">'Pricing &amp; Mix'!J11*(1-retail_margin)</f>
        <v>185.38</v>
      </c>
      <c r="K17" s="28" t="n">
        <f aca="false">'Pricing &amp; Mix'!K11*(1-retail_margin)</f>
        <v>185.38</v>
      </c>
      <c r="L17" s="28" t="n">
        <f aca="false">'Pricing &amp; Mix'!L11*(1-retail_margin)</f>
        <v>185.38</v>
      </c>
      <c r="M17" s="28" t="n">
        <f aca="false">'Pricing &amp; Mix'!M11*(1-retail_margin)</f>
        <v>185.38</v>
      </c>
      <c r="N17" s="28" t="n">
        <f aca="false">'Pricing &amp; Mix'!N11*(1-retail_margin)</f>
        <v>185.38</v>
      </c>
      <c r="O17" s="28" t="n">
        <f aca="false">'Pricing &amp; Mix'!O11*(1-retail_margin)</f>
        <v>185.38</v>
      </c>
      <c r="P17" s="28" t="n">
        <f aca="false">'Pricing &amp; Mix'!P11*(1-retail_margin)</f>
        <v>185.38</v>
      </c>
      <c r="Q17" s="28" t="n">
        <f aca="false">'Pricing &amp; Mix'!Q11*(1-retail_margin)</f>
        <v>185.38</v>
      </c>
      <c r="R17" s="28" t="n">
        <f aca="false">'Pricing &amp; Mix'!R11*(1-retail_margin)</f>
        <v>185.38</v>
      </c>
      <c r="S17" s="28" t="n">
        <f aca="false">'Pricing &amp; Mix'!S11*(1-retail_margin)</f>
        <v>185.38</v>
      </c>
      <c r="T17" s="28" t="n">
        <f aca="false">'Pricing &amp; Mix'!T11*(1-retail_margin)</f>
        <v>185.38</v>
      </c>
      <c r="U17" s="28" t="n">
        <f aca="false">'Pricing &amp; Mix'!U11*(1-retail_margin)</f>
        <v>185.38</v>
      </c>
      <c r="V17" s="28" t="n">
        <f aca="false">'Pricing &amp; Mix'!V11*(1-retail_margin)</f>
        <v>185.38</v>
      </c>
      <c r="W17" s="28" t="n">
        <f aca="false">'Pricing &amp; Mix'!W11*(1-retail_margin)</f>
        <v>185.38</v>
      </c>
      <c r="X17" s="28" t="n">
        <f aca="false">'Pricing &amp; Mix'!X11*(1-retail_margin)</f>
        <v>185.38</v>
      </c>
      <c r="Y17" s="28" t="n">
        <f aca="false">'Pricing &amp; Mix'!Y11*(1-retail_margin)</f>
        <v>185.38</v>
      </c>
      <c r="Z17" s="28" t="n">
        <f aca="false">'Pricing &amp; Mix'!Z11*(1-retail_margin)</f>
        <v>185.38</v>
      </c>
      <c r="AA17" s="28" t="n">
        <f aca="false">'Pricing &amp; Mix'!AA11*(1-retail_margin)</f>
        <v>185.38</v>
      </c>
      <c r="AB17" s="28" t="n">
        <f aca="false">'Pricing &amp; Mix'!AB11*(1-retail_margin)</f>
        <v>185.38</v>
      </c>
      <c r="AC17" s="28" t="n">
        <f aca="false">'Pricing &amp; Mix'!AC11*(1-retail_margin)</f>
        <v>185.38</v>
      </c>
      <c r="AD17" s="28" t="n">
        <f aca="false">'Pricing &amp; Mix'!AD11*(1-retail_margin)</f>
        <v>185.38</v>
      </c>
      <c r="AE17" s="28" t="n">
        <f aca="false">'Pricing &amp; Mix'!AE11*(1-retail_margin)</f>
        <v>185.38</v>
      </c>
    </row>
    <row r="18" customFormat="false" ht="15" hidden="false" customHeight="false" outlineLevel="0" collapsed="false">
      <c r="A18" s="0" t="s">
        <v>400</v>
      </c>
      <c r="B18" s="2" t="s">
        <v>50</v>
      </c>
      <c r="C18" s="28" t="n">
        <f aca="false">'Pricing &amp; Mix'!C12*(1-retail_margin)</f>
        <v>371.38</v>
      </c>
      <c r="D18" s="28" t="n">
        <f aca="false">'Pricing &amp; Mix'!D12*(1-retail_margin)</f>
        <v>371.38</v>
      </c>
      <c r="E18" s="28" t="n">
        <f aca="false">'Pricing &amp; Mix'!E12*(1-retail_margin)</f>
        <v>371.38</v>
      </c>
      <c r="F18" s="28" t="n">
        <f aca="false">'Pricing &amp; Mix'!F12*(1-retail_margin)</f>
        <v>371.38</v>
      </c>
      <c r="G18" s="28" t="n">
        <f aca="false">'Pricing &amp; Mix'!G12*(1-retail_margin)</f>
        <v>371.38</v>
      </c>
      <c r="H18" s="28" t="n">
        <f aca="false">'Pricing &amp; Mix'!H12*(1-retail_margin)</f>
        <v>371.38</v>
      </c>
      <c r="I18" s="28" t="n">
        <f aca="false">'Pricing &amp; Mix'!I12*(1-retail_margin)</f>
        <v>371.38</v>
      </c>
      <c r="J18" s="28" t="n">
        <f aca="false">'Pricing &amp; Mix'!J12*(1-retail_margin)</f>
        <v>371.38</v>
      </c>
      <c r="K18" s="28" t="n">
        <f aca="false">'Pricing &amp; Mix'!K12*(1-retail_margin)</f>
        <v>371.38</v>
      </c>
      <c r="L18" s="28" t="n">
        <f aca="false">'Pricing &amp; Mix'!L12*(1-retail_margin)</f>
        <v>371.38</v>
      </c>
      <c r="M18" s="28" t="n">
        <f aca="false">'Pricing &amp; Mix'!M12*(1-retail_margin)</f>
        <v>371.38</v>
      </c>
      <c r="N18" s="28" t="n">
        <f aca="false">'Pricing &amp; Mix'!N12*(1-retail_margin)</f>
        <v>371.38</v>
      </c>
      <c r="O18" s="28" t="n">
        <f aca="false">'Pricing &amp; Mix'!O12*(1-retail_margin)</f>
        <v>371.38</v>
      </c>
      <c r="P18" s="28" t="n">
        <f aca="false">'Pricing &amp; Mix'!P12*(1-retail_margin)</f>
        <v>371.38</v>
      </c>
      <c r="Q18" s="28" t="n">
        <f aca="false">'Pricing &amp; Mix'!Q12*(1-retail_margin)</f>
        <v>371.38</v>
      </c>
      <c r="R18" s="28" t="n">
        <f aca="false">'Pricing &amp; Mix'!R12*(1-retail_margin)</f>
        <v>371.38</v>
      </c>
      <c r="S18" s="28" t="n">
        <f aca="false">'Pricing &amp; Mix'!S12*(1-retail_margin)</f>
        <v>371.38</v>
      </c>
      <c r="T18" s="28" t="n">
        <f aca="false">'Pricing &amp; Mix'!T12*(1-retail_margin)</f>
        <v>371.38</v>
      </c>
      <c r="U18" s="28" t="n">
        <f aca="false">'Pricing &amp; Mix'!U12*(1-retail_margin)</f>
        <v>371.38</v>
      </c>
      <c r="V18" s="28" t="n">
        <f aca="false">'Pricing &amp; Mix'!V12*(1-retail_margin)</f>
        <v>371.38</v>
      </c>
      <c r="W18" s="28" t="n">
        <f aca="false">'Pricing &amp; Mix'!W12*(1-retail_margin)</f>
        <v>371.38</v>
      </c>
      <c r="X18" s="28" t="n">
        <f aca="false">'Pricing &amp; Mix'!X12*(1-retail_margin)</f>
        <v>371.38</v>
      </c>
      <c r="Y18" s="28" t="n">
        <f aca="false">'Pricing &amp; Mix'!Y12*(1-retail_margin)</f>
        <v>371.38</v>
      </c>
      <c r="Z18" s="28" t="n">
        <f aca="false">'Pricing &amp; Mix'!Z12*(1-retail_margin)</f>
        <v>371.38</v>
      </c>
      <c r="AA18" s="28" t="n">
        <f aca="false">'Pricing &amp; Mix'!AA12*(1-retail_margin)</f>
        <v>371.38</v>
      </c>
      <c r="AB18" s="28" t="n">
        <f aca="false">'Pricing &amp; Mix'!AB12*(1-retail_margin)</f>
        <v>371.38</v>
      </c>
      <c r="AC18" s="28" t="n">
        <f aca="false">'Pricing &amp; Mix'!AC12*(1-retail_margin)</f>
        <v>371.38</v>
      </c>
      <c r="AD18" s="28" t="n">
        <f aca="false">'Pricing &amp; Mix'!AD12*(1-retail_margin)</f>
        <v>371.38</v>
      </c>
      <c r="AE18" s="28" t="n">
        <f aca="false">'Pricing &amp; Mix'!AE12*(1-retail_margin)</f>
        <v>371.38</v>
      </c>
    </row>
    <row r="19" customFormat="false" ht="15" hidden="false" customHeight="false" outlineLevel="0" collapsed="false">
      <c r="A19" s="0" t="s">
        <v>401</v>
      </c>
      <c r="B19" s="2" t="s">
        <v>50</v>
      </c>
      <c r="C19" s="28" t="n">
        <f aca="false">(ks_units*ks_peb+pre_units*pre_peb)/(ks_units+pre_units)*sc_price</f>
        <v>115.4</v>
      </c>
      <c r="D19" s="28" t="n">
        <f aca="false">(ks_units*ks_peb+pre_units*pre_peb)/(ks_units+pre_units)*sc_price</f>
        <v>115.4</v>
      </c>
      <c r="E19" s="28" t="n">
        <f aca="false">(ks_units*ks_peb+pre_units*pre_peb)/(ks_units+pre_units)*sc_price</f>
        <v>115.4</v>
      </c>
      <c r="F19" s="28" t="n">
        <f aca="false">(ks_units*ks_peb+pre_units*pre_peb)/(ks_units+pre_units)*sc_price</f>
        <v>115.4</v>
      </c>
      <c r="G19" s="28" t="n">
        <f aca="false">(ks_units*ks_peb+pre_units*pre_peb)/(ks_units+pre_units)*sc_price</f>
        <v>115.4</v>
      </c>
      <c r="H19" s="28" t="n">
        <f aca="false">(ks_units*ks_peb+pre_units*pre_peb)/(ks_units+pre_units)*sc_price</f>
        <v>115.4</v>
      </c>
      <c r="I19" s="28" t="n">
        <f aca="false">(ks_units*ks_peb+pre_units*pre_peb)/(ks_units+pre_units)*sc_price</f>
        <v>115.4</v>
      </c>
      <c r="J19" s="28" t="n">
        <f aca="false">(ks_units*ks_peb+pre_units*pre_peb)/(ks_units+pre_units)*sc_price</f>
        <v>115.4</v>
      </c>
      <c r="K19" s="28" t="n">
        <f aca="false">(ks_units*ks_peb+pre_units*pre_peb)/(ks_units+pre_units)*sc_price</f>
        <v>115.4</v>
      </c>
      <c r="L19" s="28" t="n">
        <f aca="false">(ks_units*ks_peb+pre_units*pre_peb)/(ks_units+pre_units)*sc_price</f>
        <v>115.4</v>
      </c>
      <c r="M19" s="28" t="n">
        <f aca="false">(ks_units*ks_peb+pre_units*pre_peb)/(ks_units+pre_units)*sc_price</f>
        <v>115.4</v>
      </c>
      <c r="N19" s="28" t="n">
        <f aca="false">(ks_units*ks_peb+pre_units*pre_peb)/(ks_units+pre_units)*sc_price</f>
        <v>115.4</v>
      </c>
      <c r="O19" s="28" t="n">
        <f aca="false">(ks_units*ks_peb+pre_units*pre_peb)/(ks_units+pre_units)*sc_price</f>
        <v>115.4</v>
      </c>
      <c r="P19" s="28" t="n">
        <f aca="false">(ks_units*ks_peb+pre_units*pre_peb)/(ks_units+pre_units)*sc_price</f>
        <v>115.4</v>
      </c>
      <c r="Q19" s="28" t="n">
        <f aca="false">(ks_units*ks_peb+pre_units*pre_peb)/(ks_units+pre_units)*sc_price</f>
        <v>115.4</v>
      </c>
      <c r="R19" s="28" t="n">
        <f aca="false">(ks_units*ks_peb+pre_units*pre_peb)/(ks_units+pre_units)*sc_price</f>
        <v>115.4</v>
      </c>
      <c r="S19" s="28" t="n">
        <f aca="false">(ks_units*ks_peb+pre_units*pre_peb)/(ks_units+pre_units)*sc_price</f>
        <v>115.4</v>
      </c>
      <c r="T19" s="28" t="n">
        <f aca="false">(ks_units*ks_peb+pre_units*pre_peb)/(ks_units+pre_units)*sc_price</f>
        <v>115.4</v>
      </c>
      <c r="U19" s="28" t="n">
        <f aca="false">(ks_units*ks_peb+pre_units*pre_peb)/(ks_units+pre_units)*sc_price</f>
        <v>115.4</v>
      </c>
      <c r="V19" s="28" t="n">
        <f aca="false">(ks_units*ks_peb+pre_units*pre_peb)/(ks_units+pre_units)*sc_price</f>
        <v>115.4</v>
      </c>
      <c r="W19" s="28" t="n">
        <f aca="false">(ks_units*ks_peb+pre_units*pre_peb)/(ks_units+pre_units)*sc_price</f>
        <v>115.4</v>
      </c>
      <c r="X19" s="28" t="n">
        <f aca="false">(ks_units*ks_peb+pre_units*pre_peb)/(ks_units+pre_units)*sc_price</f>
        <v>115.4</v>
      </c>
      <c r="Y19" s="28" t="n">
        <f aca="false">(ks_units*ks_peb+pre_units*pre_peb)/(ks_units+pre_units)*sc_price</f>
        <v>115.4</v>
      </c>
      <c r="Z19" s="28" t="n">
        <f aca="false">(ks_units*ks_peb+pre_units*pre_peb)/(ks_units+pre_units)*sc_price</f>
        <v>115.4</v>
      </c>
      <c r="AA19" s="28" t="n">
        <f aca="false">(ks_units*ks_peb+pre_units*pre_peb)/(ks_units+pre_units)*sc_price</f>
        <v>115.4</v>
      </c>
      <c r="AB19" s="28" t="n">
        <f aca="false">(ks_units*ks_peb+pre_units*pre_peb)/(ks_units+pre_units)*sc_price</f>
        <v>115.4</v>
      </c>
      <c r="AC19" s="28" t="n">
        <f aca="false">(ks_units*ks_peb+pre_units*pre_peb)/(ks_units+pre_units)*sc_price</f>
        <v>115.4</v>
      </c>
      <c r="AD19" s="28" t="n">
        <f aca="false">(ks_units*ks_peb+pre_units*pre_peb)/(ks_units+pre_units)*sc_price</f>
        <v>115.4</v>
      </c>
      <c r="AE19" s="28" t="n">
        <f aca="false">(ks_units*ks_peb+pre_units*pre_peb)/(ks_units+pre_units)*sc_price</f>
        <v>115.4</v>
      </c>
    </row>
    <row r="20" customFormat="false" ht="15" hidden="false" customHeight="false" outlineLevel="0" collapsed="false">
      <c r="A20" s="0" t="s">
        <v>402</v>
      </c>
      <c r="B20" s="2" t="s">
        <v>50</v>
      </c>
      <c r="C20" s="28" t="n">
        <f aca="false">(ks_units*ks_sq+pre_units*pre_sq)/(ks_units+pre_units)*sc_price</f>
        <v>232.6</v>
      </c>
      <c r="D20" s="28" t="n">
        <f aca="false">(ks_units*ks_sq+pre_units*pre_sq)/(ks_units+pre_units)*sc_price</f>
        <v>232.6</v>
      </c>
      <c r="E20" s="28" t="n">
        <f aca="false">(ks_units*ks_sq+pre_units*pre_sq)/(ks_units+pre_units)*sc_price</f>
        <v>232.6</v>
      </c>
      <c r="F20" s="28" t="n">
        <f aca="false">(ks_units*ks_sq+pre_units*pre_sq)/(ks_units+pre_units)*sc_price</f>
        <v>232.6</v>
      </c>
      <c r="G20" s="28" t="n">
        <f aca="false">(ks_units*ks_sq+pre_units*pre_sq)/(ks_units+pre_units)*sc_price</f>
        <v>232.6</v>
      </c>
      <c r="H20" s="28" t="n">
        <f aca="false">(ks_units*ks_sq+pre_units*pre_sq)/(ks_units+pre_units)*sc_price</f>
        <v>232.6</v>
      </c>
      <c r="I20" s="28" t="n">
        <f aca="false">(ks_units*ks_sq+pre_units*pre_sq)/(ks_units+pre_units)*sc_price</f>
        <v>232.6</v>
      </c>
      <c r="J20" s="28" t="n">
        <f aca="false">(ks_units*ks_sq+pre_units*pre_sq)/(ks_units+pre_units)*sc_price</f>
        <v>232.6</v>
      </c>
      <c r="K20" s="28" t="n">
        <f aca="false">(ks_units*ks_sq+pre_units*pre_sq)/(ks_units+pre_units)*sc_price</f>
        <v>232.6</v>
      </c>
      <c r="L20" s="28" t="n">
        <f aca="false">(ks_units*ks_sq+pre_units*pre_sq)/(ks_units+pre_units)*sc_price</f>
        <v>232.6</v>
      </c>
      <c r="M20" s="28" t="n">
        <f aca="false">(ks_units*ks_sq+pre_units*pre_sq)/(ks_units+pre_units)*sc_price</f>
        <v>232.6</v>
      </c>
      <c r="N20" s="28" t="n">
        <f aca="false">(ks_units*ks_sq+pre_units*pre_sq)/(ks_units+pre_units)*sc_price</f>
        <v>232.6</v>
      </c>
      <c r="O20" s="28" t="n">
        <f aca="false">(ks_units*ks_sq+pre_units*pre_sq)/(ks_units+pre_units)*sc_price</f>
        <v>232.6</v>
      </c>
      <c r="P20" s="28" t="n">
        <f aca="false">(ks_units*ks_sq+pre_units*pre_sq)/(ks_units+pre_units)*sc_price</f>
        <v>232.6</v>
      </c>
      <c r="Q20" s="28" t="n">
        <f aca="false">(ks_units*ks_sq+pre_units*pre_sq)/(ks_units+pre_units)*sc_price</f>
        <v>232.6</v>
      </c>
      <c r="R20" s="28" t="n">
        <f aca="false">(ks_units*ks_sq+pre_units*pre_sq)/(ks_units+pre_units)*sc_price</f>
        <v>232.6</v>
      </c>
      <c r="S20" s="28" t="n">
        <f aca="false">(ks_units*ks_sq+pre_units*pre_sq)/(ks_units+pre_units)*sc_price</f>
        <v>232.6</v>
      </c>
      <c r="T20" s="28" t="n">
        <f aca="false">(ks_units*ks_sq+pre_units*pre_sq)/(ks_units+pre_units)*sc_price</f>
        <v>232.6</v>
      </c>
      <c r="U20" s="28" t="n">
        <f aca="false">(ks_units*ks_sq+pre_units*pre_sq)/(ks_units+pre_units)*sc_price</f>
        <v>232.6</v>
      </c>
      <c r="V20" s="28" t="n">
        <f aca="false">(ks_units*ks_sq+pre_units*pre_sq)/(ks_units+pre_units)*sc_price</f>
        <v>232.6</v>
      </c>
      <c r="W20" s="28" t="n">
        <f aca="false">(ks_units*ks_sq+pre_units*pre_sq)/(ks_units+pre_units)*sc_price</f>
        <v>232.6</v>
      </c>
      <c r="X20" s="28" t="n">
        <f aca="false">(ks_units*ks_sq+pre_units*pre_sq)/(ks_units+pre_units)*sc_price</f>
        <v>232.6</v>
      </c>
      <c r="Y20" s="28" t="n">
        <f aca="false">(ks_units*ks_sq+pre_units*pre_sq)/(ks_units+pre_units)*sc_price</f>
        <v>232.6</v>
      </c>
      <c r="Z20" s="28" t="n">
        <f aca="false">(ks_units*ks_sq+pre_units*pre_sq)/(ks_units+pre_units)*sc_price</f>
        <v>232.6</v>
      </c>
      <c r="AA20" s="28" t="n">
        <f aca="false">(ks_units*ks_sq+pre_units*pre_sq)/(ks_units+pre_units)*sc_price</f>
        <v>232.6</v>
      </c>
      <c r="AB20" s="28" t="n">
        <f aca="false">(ks_units*ks_sq+pre_units*pre_sq)/(ks_units+pre_units)*sc_price</f>
        <v>232.6</v>
      </c>
      <c r="AC20" s="28" t="n">
        <f aca="false">(ks_units*ks_sq+pre_units*pre_sq)/(ks_units+pre_units)*sc_price</f>
        <v>232.6</v>
      </c>
      <c r="AD20" s="28" t="n">
        <f aca="false">(ks_units*ks_sq+pre_units*pre_sq)/(ks_units+pre_units)*sc_price</f>
        <v>232.6</v>
      </c>
      <c r="AE20" s="28" t="n">
        <f aca="false">(ks_units*ks_sq+pre_units*pre_sq)/(ks_units+pre_units)*sc_price</f>
        <v>232.6</v>
      </c>
    </row>
    <row r="21" customFormat="false" ht="15" hidden="false" customHeight="false" outlineLevel="0" collapsed="false">
      <c r="A21" s="0" t="s">
        <v>403</v>
      </c>
      <c r="B21" s="2" t="s">
        <v>50</v>
      </c>
      <c r="C21" s="28" t="n">
        <f aca="false">(ks_units*ks_atl+pre_units*pre_atl)/(ks_units+pre_units)*sc_price</f>
        <v>453.4</v>
      </c>
      <c r="D21" s="28" t="n">
        <f aca="false">(ks_units*ks_atl+pre_units*pre_atl)/(ks_units+pre_units)*sc_price</f>
        <v>453.4</v>
      </c>
      <c r="E21" s="28" t="n">
        <f aca="false">(ks_units*ks_atl+pre_units*pre_atl)/(ks_units+pre_units)*sc_price</f>
        <v>453.4</v>
      </c>
      <c r="F21" s="28" t="n">
        <f aca="false">(ks_units*ks_atl+pre_units*pre_atl)/(ks_units+pre_units)*sc_price</f>
        <v>453.4</v>
      </c>
      <c r="G21" s="28" t="n">
        <f aca="false">(ks_units*ks_atl+pre_units*pre_atl)/(ks_units+pre_units)*sc_price</f>
        <v>453.4</v>
      </c>
      <c r="H21" s="28" t="n">
        <f aca="false">(ks_units*ks_atl+pre_units*pre_atl)/(ks_units+pre_units)*sc_price</f>
        <v>453.4</v>
      </c>
      <c r="I21" s="28" t="n">
        <f aca="false">(ks_units*ks_atl+pre_units*pre_atl)/(ks_units+pre_units)*sc_price</f>
        <v>453.4</v>
      </c>
      <c r="J21" s="28" t="n">
        <f aca="false">(ks_units*ks_atl+pre_units*pre_atl)/(ks_units+pre_units)*sc_price</f>
        <v>453.4</v>
      </c>
      <c r="K21" s="28" t="n">
        <f aca="false">(ks_units*ks_atl+pre_units*pre_atl)/(ks_units+pre_units)*sc_price</f>
        <v>453.4</v>
      </c>
      <c r="L21" s="28" t="n">
        <f aca="false">(ks_units*ks_atl+pre_units*pre_atl)/(ks_units+pre_units)*sc_price</f>
        <v>453.4</v>
      </c>
      <c r="M21" s="28" t="n">
        <f aca="false">(ks_units*ks_atl+pre_units*pre_atl)/(ks_units+pre_units)*sc_price</f>
        <v>453.4</v>
      </c>
      <c r="N21" s="28" t="n">
        <f aca="false">(ks_units*ks_atl+pre_units*pre_atl)/(ks_units+pre_units)*sc_price</f>
        <v>453.4</v>
      </c>
      <c r="O21" s="28" t="n">
        <f aca="false">(ks_units*ks_atl+pre_units*pre_atl)/(ks_units+pre_units)*sc_price</f>
        <v>453.4</v>
      </c>
      <c r="P21" s="28" t="n">
        <f aca="false">(ks_units*ks_atl+pre_units*pre_atl)/(ks_units+pre_units)*sc_price</f>
        <v>453.4</v>
      </c>
      <c r="Q21" s="28" t="n">
        <f aca="false">(ks_units*ks_atl+pre_units*pre_atl)/(ks_units+pre_units)*sc_price</f>
        <v>453.4</v>
      </c>
      <c r="R21" s="28" t="n">
        <f aca="false">(ks_units*ks_atl+pre_units*pre_atl)/(ks_units+pre_units)*sc_price</f>
        <v>453.4</v>
      </c>
      <c r="S21" s="28" t="n">
        <f aca="false">(ks_units*ks_atl+pre_units*pre_atl)/(ks_units+pre_units)*sc_price</f>
        <v>453.4</v>
      </c>
      <c r="T21" s="28" t="n">
        <f aca="false">(ks_units*ks_atl+pre_units*pre_atl)/(ks_units+pre_units)*sc_price</f>
        <v>453.4</v>
      </c>
      <c r="U21" s="28" t="n">
        <f aca="false">(ks_units*ks_atl+pre_units*pre_atl)/(ks_units+pre_units)*sc_price</f>
        <v>453.4</v>
      </c>
      <c r="V21" s="28" t="n">
        <f aca="false">(ks_units*ks_atl+pre_units*pre_atl)/(ks_units+pre_units)*sc_price</f>
        <v>453.4</v>
      </c>
      <c r="W21" s="28" t="n">
        <f aca="false">(ks_units*ks_atl+pre_units*pre_atl)/(ks_units+pre_units)*sc_price</f>
        <v>453.4</v>
      </c>
      <c r="X21" s="28" t="n">
        <f aca="false">(ks_units*ks_atl+pre_units*pre_atl)/(ks_units+pre_units)*sc_price</f>
        <v>453.4</v>
      </c>
      <c r="Y21" s="28" t="n">
        <f aca="false">(ks_units*ks_atl+pre_units*pre_atl)/(ks_units+pre_units)*sc_price</f>
        <v>453.4</v>
      </c>
      <c r="Z21" s="28" t="n">
        <f aca="false">(ks_units*ks_atl+pre_units*pre_atl)/(ks_units+pre_units)*sc_price</f>
        <v>453.4</v>
      </c>
      <c r="AA21" s="28" t="n">
        <f aca="false">(ks_units*ks_atl+pre_units*pre_atl)/(ks_units+pre_units)*sc_price</f>
        <v>453.4</v>
      </c>
      <c r="AB21" s="28" t="n">
        <f aca="false">(ks_units*ks_atl+pre_units*pre_atl)/(ks_units+pre_units)*sc_price</f>
        <v>453.4</v>
      </c>
      <c r="AC21" s="28" t="n">
        <f aca="false">(ks_units*ks_atl+pre_units*pre_atl)/(ks_units+pre_units)*sc_price</f>
        <v>453.4</v>
      </c>
      <c r="AD21" s="28" t="n">
        <f aca="false">(ks_units*ks_atl+pre_units*pre_atl)/(ks_units+pre_units)*sc_price</f>
        <v>453.4</v>
      </c>
      <c r="AE21" s="28" t="n">
        <f aca="false">(ks_units*ks_atl+pre_units*pre_atl)/(ks_units+pre_units)*sc_price</f>
        <v>453.4</v>
      </c>
    </row>
    <row r="23" customFormat="false" ht="15" hidden="false" customHeight="false" outlineLevel="0" collapsed="false">
      <c r="A23" s="8" t="s">
        <v>404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customFormat="false" ht="15" hidden="false" customHeight="false" outlineLevel="0" collapsed="false">
      <c r="A24" s="0" t="s">
        <v>405</v>
      </c>
      <c r="B24" s="2" t="s">
        <v>151</v>
      </c>
      <c r="C24" s="4" t="n">
        <f aca="false">Assumptions!C102*sc_vol</f>
        <v>0</v>
      </c>
      <c r="D24" s="4" t="n">
        <f aca="false">Assumptions!D102*sc_vol</f>
        <v>0</v>
      </c>
      <c r="E24" s="4" t="n">
        <f aca="false">Assumptions!E102*sc_vol</f>
        <v>0</v>
      </c>
      <c r="F24" s="4" t="n">
        <f aca="false">Assumptions!F102*sc_vol</f>
        <v>0</v>
      </c>
      <c r="G24" s="4" t="n">
        <f aca="false">Assumptions!G102*sc_vol</f>
        <v>0</v>
      </c>
      <c r="H24" s="4" t="n">
        <f aca="false">Assumptions!H102*sc_vol</f>
        <v>0</v>
      </c>
      <c r="I24" s="4" t="n">
        <f aca="false">Assumptions!I102*sc_vol</f>
        <v>0</v>
      </c>
      <c r="J24" s="4" t="n">
        <f aca="false">Assumptions!J102*sc_vol</f>
        <v>0</v>
      </c>
      <c r="K24" s="4" t="n">
        <f aca="false">Assumptions!K102*sc_vol</f>
        <v>0</v>
      </c>
      <c r="L24" s="4" t="n">
        <f aca="false">Assumptions!L102*sc_vol</f>
        <v>0</v>
      </c>
      <c r="M24" s="4" t="n">
        <f aca="false">Assumptions!M102*sc_vol</f>
        <v>0</v>
      </c>
      <c r="N24" s="4" t="n">
        <f aca="false">Assumptions!N102*sc_vol</f>
        <v>0</v>
      </c>
      <c r="O24" s="4" t="n">
        <f aca="false">Assumptions!O102*sc_vol</f>
        <v>0</v>
      </c>
      <c r="P24" s="4" t="n">
        <f aca="false">Assumptions!P102*sc_vol</f>
        <v>0</v>
      </c>
      <c r="Q24" s="4" t="n">
        <f aca="false">Assumptions!Q102*sc_vol</f>
        <v>1250</v>
      </c>
      <c r="R24" s="4" t="n">
        <f aca="false">Assumptions!R102*sc_vol</f>
        <v>1350</v>
      </c>
      <c r="S24" s="4" t="n">
        <f aca="false">Assumptions!S102*sc_vol</f>
        <v>1650</v>
      </c>
      <c r="T24" s="4" t="n">
        <f aca="false">Assumptions!T102*sc_vol</f>
        <v>2050</v>
      </c>
      <c r="U24" s="4" t="n">
        <f aca="false">Assumptions!U102*sc_vol</f>
        <v>2450</v>
      </c>
      <c r="V24" s="4" t="n">
        <f aca="false">Assumptions!V102*sc_vol</f>
        <v>2850</v>
      </c>
      <c r="W24" s="4" t="n">
        <f aca="false">Assumptions!W102*sc_vol</f>
        <v>3350</v>
      </c>
      <c r="X24" s="4" t="n">
        <f aca="false">Assumptions!X102*sc_vol</f>
        <v>3450</v>
      </c>
      <c r="Y24" s="4" t="n">
        <f aca="false">Assumptions!Y102*sc_vol</f>
        <v>3250</v>
      </c>
      <c r="Z24" s="4" t="n">
        <f aca="false">Assumptions!Z102*sc_vol</f>
        <v>3650</v>
      </c>
      <c r="AA24" s="4" t="n">
        <f aca="false">Assumptions!AA102*sc_vol</f>
        <v>5250</v>
      </c>
      <c r="AB24" s="4" t="n">
        <f aca="false">Assumptions!AB102*sc_vol</f>
        <v>7400</v>
      </c>
      <c r="AC24" s="4" t="n">
        <f aca="false">Assumptions!AC102*sc_vol</f>
        <v>120000</v>
      </c>
      <c r="AD24" s="4" t="n">
        <f aca="false">Assumptions!AD102*sc_vol</f>
        <v>250000</v>
      </c>
      <c r="AE24" s="4" t="n">
        <f aca="false">Assumptions!AE102*sc_vol</f>
        <v>400000</v>
      </c>
      <c r="AG24" s="4" t="n">
        <f aca="false">SUMIF($C$3:$AE$3,AG$3,$C24:$AE24)</f>
        <v>0</v>
      </c>
      <c r="AH24" s="4" t="n">
        <f aca="false">SUMIF($C$3:$AE$3,AH$3,$C24:$AE24)</f>
        <v>0</v>
      </c>
      <c r="AI24" s="4" t="n">
        <f aca="false">SUMIF($C$3:$AE$3,AI$3,$C24:$AE24)</f>
        <v>37950</v>
      </c>
      <c r="AJ24" s="4" t="n">
        <f aca="false">SUMIF($C$3:$AE$3,AJ$3,$C24:$AE24)</f>
        <v>120000</v>
      </c>
      <c r="AK24" s="4" t="n">
        <f aca="false">SUMIF($C$3:$AE$3,AK$3,$C24:$AE24)</f>
        <v>250000</v>
      </c>
      <c r="AL24" s="4" t="n">
        <f aca="false">SUMIF($C$3:$AE$3,AL$3,$C24:$AE24)</f>
        <v>400000</v>
      </c>
    </row>
    <row r="25" customFormat="false" ht="15" hidden="false" customHeight="false" outlineLevel="0" collapsed="false">
      <c r="A25" s="0" t="s">
        <v>406</v>
      </c>
      <c r="B25" s="2" t="s">
        <v>58</v>
      </c>
      <c r="C25" s="5" t="n">
        <f aca="false">Assumptions!C107</f>
        <v>0.53</v>
      </c>
      <c r="D25" s="5" t="n">
        <f aca="false">Assumptions!D107</f>
        <v>0.53</v>
      </c>
      <c r="E25" s="5" t="n">
        <f aca="false">Assumptions!E107</f>
        <v>0.53</v>
      </c>
      <c r="F25" s="5" t="n">
        <f aca="false">Assumptions!F107</f>
        <v>0.53</v>
      </c>
      <c r="G25" s="5" t="n">
        <f aca="false">Assumptions!G107</f>
        <v>0.53</v>
      </c>
      <c r="H25" s="5" t="n">
        <f aca="false">Assumptions!H107</f>
        <v>0.53</v>
      </c>
      <c r="I25" s="5" t="n">
        <f aca="false">Assumptions!I107</f>
        <v>0.53</v>
      </c>
      <c r="J25" s="5" t="n">
        <f aca="false">Assumptions!J107</f>
        <v>0.53</v>
      </c>
      <c r="K25" s="5" t="n">
        <f aca="false">Assumptions!K107</f>
        <v>0.53</v>
      </c>
      <c r="L25" s="5" t="n">
        <f aca="false">Assumptions!L107</f>
        <v>0.53</v>
      </c>
      <c r="M25" s="5" t="n">
        <f aca="false">Assumptions!M107</f>
        <v>0.53</v>
      </c>
      <c r="N25" s="5" t="n">
        <f aca="false">Assumptions!N107</f>
        <v>0.53</v>
      </c>
      <c r="O25" s="5" t="n">
        <f aca="false">Assumptions!O107</f>
        <v>0.53</v>
      </c>
      <c r="P25" s="5" t="n">
        <f aca="false">Assumptions!P107</f>
        <v>0.53</v>
      </c>
      <c r="Q25" s="5" t="n">
        <f aca="false">Assumptions!Q107</f>
        <v>0.53</v>
      </c>
      <c r="R25" s="5" t="n">
        <f aca="false">Assumptions!R107</f>
        <v>0.53</v>
      </c>
      <c r="S25" s="5" t="n">
        <f aca="false">Assumptions!S107</f>
        <v>0.53</v>
      </c>
      <c r="T25" s="5" t="n">
        <f aca="false">Assumptions!T107</f>
        <v>0.45</v>
      </c>
      <c r="U25" s="5" t="n">
        <f aca="false">Assumptions!U107</f>
        <v>0.45</v>
      </c>
      <c r="V25" s="5" t="n">
        <f aca="false">Assumptions!V107</f>
        <v>0.45</v>
      </c>
      <c r="W25" s="5" t="n">
        <f aca="false">Assumptions!W107</f>
        <v>0.45</v>
      </c>
      <c r="X25" s="5" t="n">
        <f aca="false">Assumptions!X107</f>
        <v>0.45</v>
      </c>
      <c r="Y25" s="5" t="n">
        <f aca="false">Assumptions!Y107</f>
        <v>0.45</v>
      </c>
      <c r="Z25" s="5" t="n">
        <f aca="false">Assumptions!Z107</f>
        <v>0.45</v>
      </c>
      <c r="AA25" s="5" t="n">
        <f aca="false">Assumptions!AA107</f>
        <v>0.45</v>
      </c>
      <c r="AB25" s="5" t="n">
        <f aca="false">Assumptions!AB107</f>
        <v>0.45</v>
      </c>
      <c r="AC25" s="5" t="n">
        <f aca="false">Assumptions!AC107</f>
        <v>0.45</v>
      </c>
      <c r="AD25" s="5" t="n">
        <f aca="false">Assumptions!AD107</f>
        <v>0.45</v>
      </c>
      <c r="AE25" s="5" t="n">
        <f aca="false">Assumptions!AE107</f>
        <v>0.45</v>
      </c>
    </row>
    <row r="26" customFormat="false" ht="15" hidden="false" customHeight="false" outlineLevel="0" collapsed="false">
      <c r="A26" s="0" t="s">
        <v>407</v>
      </c>
      <c r="B26" s="2" t="s">
        <v>58</v>
      </c>
      <c r="C26" s="5" t="n">
        <f aca="false">Assumptions!C108</f>
        <v>0.47</v>
      </c>
      <c r="D26" s="5" t="n">
        <f aca="false">Assumptions!D108</f>
        <v>0.47</v>
      </c>
      <c r="E26" s="5" t="n">
        <f aca="false">Assumptions!E108</f>
        <v>0.47</v>
      </c>
      <c r="F26" s="5" t="n">
        <f aca="false">Assumptions!F108</f>
        <v>0.47</v>
      </c>
      <c r="G26" s="5" t="n">
        <f aca="false">Assumptions!G108</f>
        <v>0.47</v>
      </c>
      <c r="H26" s="5" t="n">
        <f aca="false">Assumptions!H108</f>
        <v>0.47</v>
      </c>
      <c r="I26" s="5" t="n">
        <f aca="false">Assumptions!I108</f>
        <v>0.47</v>
      </c>
      <c r="J26" s="5" t="n">
        <f aca="false">Assumptions!J108</f>
        <v>0.47</v>
      </c>
      <c r="K26" s="5" t="n">
        <f aca="false">Assumptions!K108</f>
        <v>0.47</v>
      </c>
      <c r="L26" s="5" t="n">
        <f aca="false">Assumptions!L108</f>
        <v>0.47</v>
      </c>
      <c r="M26" s="5" t="n">
        <f aca="false">Assumptions!M108</f>
        <v>0.47</v>
      </c>
      <c r="N26" s="5" t="n">
        <f aca="false">Assumptions!N108</f>
        <v>0.47</v>
      </c>
      <c r="O26" s="5" t="n">
        <f aca="false">Assumptions!O108</f>
        <v>0.47</v>
      </c>
      <c r="P26" s="5" t="n">
        <f aca="false">Assumptions!P108</f>
        <v>0.47</v>
      </c>
      <c r="Q26" s="5" t="n">
        <f aca="false">Assumptions!Q108</f>
        <v>0.47</v>
      </c>
      <c r="R26" s="5" t="n">
        <f aca="false">Assumptions!R108</f>
        <v>0.47</v>
      </c>
      <c r="S26" s="5" t="n">
        <f aca="false">Assumptions!S108</f>
        <v>0.47</v>
      </c>
      <c r="T26" s="5" t="n">
        <f aca="false">Assumptions!T108</f>
        <v>0.4</v>
      </c>
      <c r="U26" s="5" t="n">
        <f aca="false">Assumptions!U108</f>
        <v>0.4</v>
      </c>
      <c r="V26" s="5" t="n">
        <f aca="false">Assumptions!V108</f>
        <v>0.4</v>
      </c>
      <c r="W26" s="5" t="n">
        <f aca="false">Assumptions!W108</f>
        <v>0.4</v>
      </c>
      <c r="X26" s="5" t="n">
        <f aca="false">Assumptions!X108</f>
        <v>0.4</v>
      </c>
      <c r="Y26" s="5" t="n">
        <f aca="false">Assumptions!Y108</f>
        <v>0.4</v>
      </c>
      <c r="Z26" s="5" t="n">
        <f aca="false">Assumptions!Z108</f>
        <v>0.4</v>
      </c>
      <c r="AA26" s="5" t="n">
        <f aca="false">Assumptions!AA108</f>
        <v>0.4</v>
      </c>
      <c r="AB26" s="5" t="n">
        <f aca="false">Assumptions!AB108</f>
        <v>0.4</v>
      </c>
      <c r="AC26" s="5" t="n">
        <f aca="false">Assumptions!AC108</f>
        <v>0.4</v>
      </c>
      <c r="AD26" s="5" t="n">
        <f aca="false">Assumptions!AD108</f>
        <v>0.4</v>
      </c>
      <c r="AE26" s="5" t="n">
        <f aca="false">Assumptions!AE108</f>
        <v>0.4</v>
      </c>
    </row>
    <row r="27" customFormat="false" ht="15" hidden="false" customHeight="false" outlineLevel="0" collapsed="false">
      <c r="A27" s="0" t="s">
        <v>408</v>
      </c>
      <c r="B27" s="2" t="s">
        <v>58</v>
      </c>
      <c r="C27" s="5" t="n">
        <f aca="false">Assumptions!C109</f>
        <v>0</v>
      </c>
      <c r="D27" s="5" t="n">
        <f aca="false">Assumptions!D109</f>
        <v>0</v>
      </c>
      <c r="E27" s="5" t="n">
        <f aca="false">Assumptions!E109</f>
        <v>0</v>
      </c>
      <c r="F27" s="5" t="n">
        <f aca="false">Assumptions!F109</f>
        <v>0</v>
      </c>
      <c r="G27" s="5" t="n">
        <f aca="false">Assumptions!G109</f>
        <v>0</v>
      </c>
      <c r="H27" s="5" t="n">
        <f aca="false">Assumptions!H109</f>
        <v>0</v>
      </c>
      <c r="I27" s="5" t="n">
        <f aca="false">Assumptions!I109</f>
        <v>0</v>
      </c>
      <c r="J27" s="5" t="n">
        <f aca="false">Assumptions!J109</f>
        <v>0</v>
      </c>
      <c r="K27" s="5" t="n">
        <f aca="false">Assumptions!K109</f>
        <v>0</v>
      </c>
      <c r="L27" s="5" t="n">
        <f aca="false">Assumptions!L109</f>
        <v>0</v>
      </c>
      <c r="M27" s="5" t="n">
        <f aca="false">Assumptions!M109</f>
        <v>0</v>
      </c>
      <c r="N27" s="5" t="n">
        <f aca="false">Assumptions!N109</f>
        <v>0</v>
      </c>
      <c r="O27" s="5" t="n">
        <f aca="false">Assumptions!O109</f>
        <v>0</v>
      </c>
      <c r="P27" s="5" t="n">
        <f aca="false">Assumptions!P109</f>
        <v>0</v>
      </c>
      <c r="Q27" s="5" t="n">
        <f aca="false">Assumptions!Q109</f>
        <v>0</v>
      </c>
      <c r="R27" s="5" t="n">
        <f aca="false">Assumptions!R109</f>
        <v>0</v>
      </c>
      <c r="S27" s="5" t="n">
        <f aca="false">Assumptions!S109</f>
        <v>0</v>
      </c>
      <c r="T27" s="5" t="n">
        <f aca="false">Assumptions!T109</f>
        <v>0.15</v>
      </c>
      <c r="U27" s="5" t="n">
        <f aca="false">Assumptions!U109</f>
        <v>0.15</v>
      </c>
      <c r="V27" s="5" t="n">
        <f aca="false">Assumptions!V109</f>
        <v>0.15</v>
      </c>
      <c r="W27" s="5" t="n">
        <f aca="false">Assumptions!W109</f>
        <v>0.15</v>
      </c>
      <c r="X27" s="5" t="n">
        <f aca="false">Assumptions!X109</f>
        <v>0.15</v>
      </c>
      <c r="Y27" s="5" t="n">
        <f aca="false">Assumptions!Y109</f>
        <v>0.15</v>
      </c>
      <c r="Z27" s="5" t="n">
        <f aca="false">Assumptions!Z109</f>
        <v>0.15</v>
      </c>
      <c r="AA27" s="5" t="n">
        <f aca="false">Assumptions!AA109</f>
        <v>0.15</v>
      </c>
      <c r="AB27" s="5" t="n">
        <f aca="false">Assumptions!AB109</f>
        <v>0.15</v>
      </c>
      <c r="AC27" s="5" t="n">
        <f aca="false">Assumptions!AC109</f>
        <v>0.15</v>
      </c>
      <c r="AD27" s="5" t="n">
        <f aca="false">Assumptions!AD109</f>
        <v>0.15</v>
      </c>
      <c r="AE27" s="5" t="n">
        <f aca="false">Assumptions!AE109</f>
        <v>0.15</v>
      </c>
    </row>
    <row r="28" customFormat="false" ht="15" hidden="false" customHeight="false" outlineLevel="0" collapsed="false">
      <c r="A28" s="0" t="s">
        <v>409</v>
      </c>
      <c r="B28" s="2" t="s">
        <v>58</v>
      </c>
      <c r="C28" s="5" t="n">
        <f aca="false">Assumptions!C106</f>
        <v>0</v>
      </c>
      <c r="D28" s="5" t="n">
        <f aca="false">Assumptions!D106</f>
        <v>0</v>
      </c>
      <c r="E28" s="5" t="n">
        <f aca="false">Assumptions!E106</f>
        <v>0</v>
      </c>
      <c r="F28" s="5" t="n">
        <f aca="false">Assumptions!F106</f>
        <v>0</v>
      </c>
      <c r="G28" s="5" t="n">
        <f aca="false">Assumptions!G106</f>
        <v>0</v>
      </c>
      <c r="H28" s="5" t="n">
        <f aca="false">Assumptions!H106</f>
        <v>0</v>
      </c>
      <c r="I28" s="5" t="n">
        <f aca="false">Assumptions!I106</f>
        <v>0</v>
      </c>
      <c r="J28" s="5" t="n">
        <f aca="false">Assumptions!J106</f>
        <v>0</v>
      </c>
      <c r="K28" s="5" t="n">
        <f aca="false">Assumptions!K106</f>
        <v>0</v>
      </c>
      <c r="L28" s="5" t="n">
        <f aca="false">Assumptions!L106</f>
        <v>0</v>
      </c>
      <c r="M28" s="5" t="n">
        <f aca="false">Assumptions!M106</f>
        <v>0</v>
      </c>
      <c r="N28" s="5" t="n">
        <f aca="false">Assumptions!N106</f>
        <v>0</v>
      </c>
      <c r="O28" s="5" t="n">
        <f aca="false">Assumptions!O106</f>
        <v>0</v>
      </c>
      <c r="P28" s="5" t="n">
        <f aca="false">Assumptions!P106</f>
        <v>0</v>
      </c>
      <c r="Q28" s="5" t="n">
        <f aca="false">Assumptions!Q106</f>
        <v>0.1</v>
      </c>
      <c r="R28" s="5" t="n">
        <f aca="false">Assumptions!R106</f>
        <v>0.1</v>
      </c>
      <c r="S28" s="5" t="n">
        <f aca="false">Assumptions!S106</f>
        <v>0.1</v>
      </c>
      <c r="T28" s="5" t="n">
        <f aca="false">Assumptions!T106</f>
        <v>0.1</v>
      </c>
      <c r="U28" s="5" t="n">
        <f aca="false">Assumptions!U106</f>
        <v>0.1</v>
      </c>
      <c r="V28" s="5" t="n">
        <f aca="false">Assumptions!V106</f>
        <v>0.1</v>
      </c>
      <c r="W28" s="5" t="n">
        <f aca="false">Assumptions!W106</f>
        <v>0.25</v>
      </c>
      <c r="X28" s="5" t="n">
        <f aca="false">Assumptions!X106</f>
        <v>0.25</v>
      </c>
      <c r="Y28" s="5" t="n">
        <f aca="false">Assumptions!Y106</f>
        <v>0.25</v>
      </c>
      <c r="Z28" s="5" t="n">
        <f aca="false">Assumptions!Z106</f>
        <v>0.25</v>
      </c>
      <c r="AA28" s="5" t="n">
        <f aca="false">Assumptions!AA106</f>
        <v>0.25</v>
      </c>
      <c r="AB28" s="5" t="n">
        <f aca="false">Assumptions!AB106</f>
        <v>0.25</v>
      </c>
      <c r="AC28" s="5" t="n">
        <f aca="false">Assumptions!AC106</f>
        <v>0.3</v>
      </c>
      <c r="AD28" s="5" t="n">
        <f aca="false">Assumptions!AD106</f>
        <v>0.35</v>
      </c>
      <c r="AE28" s="5" t="n">
        <f aca="false">Assumptions!AE106</f>
        <v>0.35</v>
      </c>
    </row>
    <row r="29" customFormat="false" ht="15" hidden="false" customHeight="false" outlineLevel="0" collapsed="false">
      <c r="A29" s="0" t="s">
        <v>410</v>
      </c>
      <c r="B29" s="2" t="s">
        <v>151</v>
      </c>
      <c r="C29" s="4" t="n">
        <f aca="false">'Pricing &amp; Mix'!C24*'Pricing &amp; Mix'!C25*(1-'Pricing &amp; Mix'!C28)</f>
        <v>0</v>
      </c>
      <c r="D29" s="4" t="n">
        <f aca="false">'Pricing &amp; Mix'!D24*'Pricing &amp; Mix'!D25*(1-'Pricing &amp; Mix'!D28)</f>
        <v>0</v>
      </c>
      <c r="E29" s="4" t="n">
        <f aca="false">'Pricing &amp; Mix'!E24*'Pricing &amp; Mix'!E25*(1-'Pricing &amp; Mix'!E28)</f>
        <v>0</v>
      </c>
      <c r="F29" s="4" t="n">
        <f aca="false">'Pricing &amp; Mix'!F24*'Pricing &amp; Mix'!F25*(1-'Pricing &amp; Mix'!F28)</f>
        <v>0</v>
      </c>
      <c r="G29" s="4" t="n">
        <f aca="false">'Pricing &amp; Mix'!G24*'Pricing &amp; Mix'!G25*(1-'Pricing &amp; Mix'!G28)</f>
        <v>0</v>
      </c>
      <c r="H29" s="4" t="n">
        <f aca="false">'Pricing &amp; Mix'!H24*'Pricing &amp; Mix'!H25*(1-'Pricing &amp; Mix'!H28)</f>
        <v>0</v>
      </c>
      <c r="I29" s="4" t="n">
        <f aca="false">'Pricing &amp; Mix'!I24*'Pricing &amp; Mix'!I25*(1-'Pricing &amp; Mix'!I28)</f>
        <v>0</v>
      </c>
      <c r="J29" s="4" t="n">
        <f aca="false">'Pricing &amp; Mix'!J24*'Pricing &amp; Mix'!J25*(1-'Pricing &amp; Mix'!J28)</f>
        <v>0</v>
      </c>
      <c r="K29" s="4" t="n">
        <f aca="false">'Pricing &amp; Mix'!K24*'Pricing &amp; Mix'!K25*(1-'Pricing &amp; Mix'!K28)</f>
        <v>0</v>
      </c>
      <c r="L29" s="4" t="n">
        <f aca="false">'Pricing &amp; Mix'!L24*'Pricing &amp; Mix'!L25*(1-'Pricing &amp; Mix'!L28)</f>
        <v>0</v>
      </c>
      <c r="M29" s="4" t="n">
        <f aca="false">'Pricing &amp; Mix'!M24*'Pricing &amp; Mix'!M25*(1-'Pricing &amp; Mix'!M28)</f>
        <v>0</v>
      </c>
      <c r="N29" s="4" t="n">
        <f aca="false">'Pricing &amp; Mix'!N24*'Pricing &amp; Mix'!N25*(1-'Pricing &amp; Mix'!N28)</f>
        <v>0</v>
      </c>
      <c r="O29" s="4" t="n">
        <f aca="false">'Pricing &amp; Mix'!O24*'Pricing &amp; Mix'!O25*(1-'Pricing &amp; Mix'!O28)</f>
        <v>0</v>
      </c>
      <c r="P29" s="4" t="n">
        <f aca="false">'Pricing &amp; Mix'!P24*'Pricing &amp; Mix'!P25*(1-'Pricing &amp; Mix'!P28)</f>
        <v>0</v>
      </c>
      <c r="Q29" s="4" t="n">
        <f aca="false">'Pricing &amp; Mix'!Q24*'Pricing &amp; Mix'!Q25*(1-'Pricing &amp; Mix'!Q28)</f>
        <v>596.25</v>
      </c>
      <c r="R29" s="4" t="n">
        <f aca="false">'Pricing &amp; Mix'!R24*'Pricing &amp; Mix'!R25*(1-'Pricing &amp; Mix'!R28)</f>
        <v>643.95</v>
      </c>
      <c r="S29" s="4" t="n">
        <f aca="false">'Pricing &amp; Mix'!S24*'Pricing &amp; Mix'!S25*(1-'Pricing &amp; Mix'!S28)</f>
        <v>787.05</v>
      </c>
      <c r="T29" s="4" t="n">
        <f aca="false">'Pricing &amp; Mix'!T24*'Pricing &amp; Mix'!T25*(1-'Pricing &amp; Mix'!T28)</f>
        <v>830.25</v>
      </c>
      <c r="U29" s="4" t="n">
        <f aca="false">'Pricing &amp; Mix'!U24*'Pricing &amp; Mix'!U25*(1-'Pricing &amp; Mix'!U28)</f>
        <v>992.25</v>
      </c>
      <c r="V29" s="4" t="n">
        <f aca="false">'Pricing &amp; Mix'!V24*'Pricing &amp; Mix'!V25*(1-'Pricing &amp; Mix'!V28)</f>
        <v>1154.25</v>
      </c>
      <c r="W29" s="4" t="n">
        <f aca="false">'Pricing &amp; Mix'!W24*'Pricing &amp; Mix'!W25*(1-'Pricing &amp; Mix'!W28)</f>
        <v>1130.625</v>
      </c>
      <c r="X29" s="4" t="n">
        <f aca="false">'Pricing &amp; Mix'!X24*'Pricing &amp; Mix'!X25*(1-'Pricing &amp; Mix'!X28)</f>
        <v>1164.375</v>
      </c>
      <c r="Y29" s="4" t="n">
        <f aca="false">'Pricing &amp; Mix'!Y24*'Pricing &amp; Mix'!Y25*(1-'Pricing &amp; Mix'!Y28)</f>
        <v>1096.875</v>
      </c>
      <c r="Z29" s="4" t="n">
        <f aca="false">'Pricing &amp; Mix'!Z24*'Pricing &amp; Mix'!Z25*(1-'Pricing &amp; Mix'!Z28)</f>
        <v>1231.875</v>
      </c>
      <c r="AA29" s="4" t="n">
        <f aca="false">'Pricing &amp; Mix'!AA24*'Pricing &amp; Mix'!AA25*(1-'Pricing &amp; Mix'!AA28)</f>
        <v>1771.875</v>
      </c>
      <c r="AB29" s="4" t="n">
        <f aca="false">'Pricing &amp; Mix'!AB24*'Pricing &amp; Mix'!AB25*(1-'Pricing &amp; Mix'!AB28)</f>
        <v>2497.5</v>
      </c>
      <c r="AC29" s="4" t="n">
        <f aca="false">'Pricing &amp; Mix'!AC24*'Pricing &amp; Mix'!AC25*(1-'Pricing &amp; Mix'!AC28)</f>
        <v>37800</v>
      </c>
      <c r="AD29" s="4" t="n">
        <f aca="false">'Pricing &amp; Mix'!AD24*'Pricing &amp; Mix'!AD25*(1-'Pricing &amp; Mix'!AD28)</f>
        <v>73125</v>
      </c>
      <c r="AE29" s="4" t="n">
        <f aca="false">'Pricing &amp; Mix'!AE24*'Pricing &amp; Mix'!AE25*(1-'Pricing &amp; Mix'!AE28)</f>
        <v>117000</v>
      </c>
      <c r="AG29" s="4" t="n">
        <f aca="false">SUMIF($C$3:$AE$3,AG$3,$C29:$AE29)</f>
        <v>0</v>
      </c>
      <c r="AH29" s="4" t="n">
        <f aca="false">SUMIF($C$3:$AE$3,AH$3,$C29:$AE29)</f>
        <v>0</v>
      </c>
      <c r="AI29" s="4" t="n">
        <f aca="false">SUMIF($C$3:$AE$3,AI$3,$C29:$AE29)</f>
        <v>13897.125</v>
      </c>
      <c r="AJ29" s="4" t="n">
        <f aca="false">SUMIF($C$3:$AE$3,AJ$3,$C29:$AE29)</f>
        <v>37800</v>
      </c>
      <c r="AK29" s="4" t="n">
        <f aca="false">SUMIF($C$3:$AE$3,AK$3,$C29:$AE29)</f>
        <v>73125</v>
      </c>
      <c r="AL29" s="4" t="n">
        <f aca="false">SUMIF($C$3:$AE$3,AL$3,$C29:$AE29)</f>
        <v>117000</v>
      </c>
    </row>
    <row r="30" customFormat="false" ht="15" hidden="false" customHeight="false" outlineLevel="0" collapsed="false">
      <c r="A30" s="0" t="s">
        <v>411</v>
      </c>
      <c r="B30" s="2" t="s">
        <v>151</v>
      </c>
      <c r="C30" s="4" t="n">
        <f aca="false">'Pricing &amp; Mix'!C24*'Pricing &amp; Mix'!C26*(1-'Pricing &amp; Mix'!C28)</f>
        <v>0</v>
      </c>
      <c r="D30" s="4" t="n">
        <f aca="false">'Pricing &amp; Mix'!D24*'Pricing &amp; Mix'!D26*(1-'Pricing &amp; Mix'!D28)</f>
        <v>0</v>
      </c>
      <c r="E30" s="4" t="n">
        <f aca="false">'Pricing &amp; Mix'!E24*'Pricing &amp; Mix'!E26*(1-'Pricing &amp; Mix'!E28)</f>
        <v>0</v>
      </c>
      <c r="F30" s="4" t="n">
        <f aca="false">'Pricing &amp; Mix'!F24*'Pricing &amp; Mix'!F26*(1-'Pricing &amp; Mix'!F28)</f>
        <v>0</v>
      </c>
      <c r="G30" s="4" t="n">
        <f aca="false">'Pricing &amp; Mix'!G24*'Pricing &amp; Mix'!G26*(1-'Pricing &amp; Mix'!G28)</f>
        <v>0</v>
      </c>
      <c r="H30" s="4" t="n">
        <f aca="false">'Pricing &amp; Mix'!H24*'Pricing &amp; Mix'!H26*(1-'Pricing &amp; Mix'!H28)</f>
        <v>0</v>
      </c>
      <c r="I30" s="4" t="n">
        <f aca="false">'Pricing &amp; Mix'!I24*'Pricing &amp; Mix'!I26*(1-'Pricing &amp; Mix'!I28)</f>
        <v>0</v>
      </c>
      <c r="J30" s="4" t="n">
        <f aca="false">'Pricing &amp; Mix'!J24*'Pricing &amp; Mix'!J26*(1-'Pricing &amp; Mix'!J28)</f>
        <v>0</v>
      </c>
      <c r="K30" s="4" t="n">
        <f aca="false">'Pricing &amp; Mix'!K24*'Pricing &amp; Mix'!K26*(1-'Pricing &amp; Mix'!K28)</f>
        <v>0</v>
      </c>
      <c r="L30" s="4" t="n">
        <f aca="false">'Pricing &amp; Mix'!L24*'Pricing &amp; Mix'!L26*(1-'Pricing &amp; Mix'!L28)</f>
        <v>0</v>
      </c>
      <c r="M30" s="4" t="n">
        <f aca="false">'Pricing &amp; Mix'!M24*'Pricing &amp; Mix'!M26*(1-'Pricing &amp; Mix'!M28)</f>
        <v>0</v>
      </c>
      <c r="N30" s="4" t="n">
        <f aca="false">'Pricing &amp; Mix'!N24*'Pricing &amp; Mix'!N26*(1-'Pricing &amp; Mix'!N28)</f>
        <v>0</v>
      </c>
      <c r="O30" s="4" t="n">
        <f aca="false">'Pricing &amp; Mix'!O24*'Pricing &amp; Mix'!O26*(1-'Pricing &amp; Mix'!O28)</f>
        <v>0</v>
      </c>
      <c r="P30" s="4" t="n">
        <f aca="false">'Pricing &amp; Mix'!P24*'Pricing &amp; Mix'!P26*(1-'Pricing &amp; Mix'!P28)</f>
        <v>0</v>
      </c>
      <c r="Q30" s="4" t="n">
        <f aca="false">'Pricing &amp; Mix'!Q24*'Pricing &amp; Mix'!Q26*(1-'Pricing &amp; Mix'!Q28)</f>
        <v>528.75</v>
      </c>
      <c r="R30" s="4" t="n">
        <f aca="false">'Pricing &amp; Mix'!R24*'Pricing &amp; Mix'!R26*(1-'Pricing &amp; Mix'!R28)</f>
        <v>571.05</v>
      </c>
      <c r="S30" s="4" t="n">
        <f aca="false">'Pricing &amp; Mix'!S24*'Pricing &amp; Mix'!S26*(1-'Pricing &amp; Mix'!S28)</f>
        <v>697.95</v>
      </c>
      <c r="T30" s="4" t="n">
        <f aca="false">'Pricing &amp; Mix'!T24*'Pricing &amp; Mix'!T26*(1-'Pricing &amp; Mix'!T28)</f>
        <v>738</v>
      </c>
      <c r="U30" s="4" t="n">
        <f aca="false">'Pricing &amp; Mix'!U24*'Pricing &amp; Mix'!U26*(1-'Pricing &amp; Mix'!U28)</f>
        <v>882</v>
      </c>
      <c r="V30" s="4" t="n">
        <f aca="false">'Pricing &amp; Mix'!V24*'Pricing &amp; Mix'!V26*(1-'Pricing &amp; Mix'!V28)</f>
        <v>1026</v>
      </c>
      <c r="W30" s="4" t="n">
        <f aca="false">'Pricing &amp; Mix'!W24*'Pricing &amp; Mix'!W26*(1-'Pricing &amp; Mix'!W28)</f>
        <v>1005</v>
      </c>
      <c r="X30" s="4" t="n">
        <f aca="false">'Pricing &amp; Mix'!X24*'Pricing &amp; Mix'!X26*(1-'Pricing &amp; Mix'!X28)</f>
        <v>1035</v>
      </c>
      <c r="Y30" s="4" t="n">
        <f aca="false">'Pricing &amp; Mix'!Y24*'Pricing &amp; Mix'!Y26*(1-'Pricing &amp; Mix'!Y28)</f>
        <v>975</v>
      </c>
      <c r="Z30" s="4" t="n">
        <f aca="false">'Pricing &amp; Mix'!Z24*'Pricing &amp; Mix'!Z26*(1-'Pricing &amp; Mix'!Z28)</f>
        <v>1095</v>
      </c>
      <c r="AA30" s="4" t="n">
        <f aca="false">'Pricing &amp; Mix'!AA24*'Pricing &amp; Mix'!AA26*(1-'Pricing &amp; Mix'!AA28)</f>
        <v>1575</v>
      </c>
      <c r="AB30" s="4" t="n">
        <f aca="false">'Pricing &amp; Mix'!AB24*'Pricing &amp; Mix'!AB26*(1-'Pricing &amp; Mix'!AB28)</f>
        <v>2220</v>
      </c>
      <c r="AC30" s="4" t="n">
        <f aca="false">'Pricing &amp; Mix'!AC24*'Pricing &amp; Mix'!AC26*(1-'Pricing &amp; Mix'!AC28)</f>
        <v>33600</v>
      </c>
      <c r="AD30" s="4" t="n">
        <f aca="false">'Pricing &amp; Mix'!AD24*'Pricing &amp; Mix'!AD26*(1-'Pricing &amp; Mix'!AD28)</f>
        <v>65000</v>
      </c>
      <c r="AE30" s="4" t="n">
        <f aca="false">'Pricing &amp; Mix'!AE24*'Pricing &amp; Mix'!AE26*(1-'Pricing &amp; Mix'!AE28)</f>
        <v>104000</v>
      </c>
      <c r="AG30" s="4" t="n">
        <f aca="false">SUMIF($C$3:$AE$3,AG$3,$C30:$AE30)</f>
        <v>0</v>
      </c>
      <c r="AH30" s="4" t="n">
        <f aca="false">SUMIF($C$3:$AE$3,AH$3,$C30:$AE30)</f>
        <v>0</v>
      </c>
      <c r="AI30" s="4" t="n">
        <f aca="false">SUMIF($C$3:$AE$3,AI$3,$C30:$AE30)</f>
        <v>12348.75</v>
      </c>
      <c r="AJ30" s="4" t="n">
        <f aca="false">SUMIF($C$3:$AE$3,AJ$3,$C30:$AE30)</f>
        <v>33600</v>
      </c>
      <c r="AK30" s="4" t="n">
        <f aca="false">SUMIF($C$3:$AE$3,AK$3,$C30:$AE30)</f>
        <v>65000</v>
      </c>
      <c r="AL30" s="4" t="n">
        <f aca="false">SUMIF($C$3:$AE$3,AL$3,$C30:$AE30)</f>
        <v>104000</v>
      </c>
    </row>
    <row r="31" customFormat="false" ht="15" hidden="false" customHeight="false" outlineLevel="0" collapsed="false">
      <c r="A31" s="0" t="s">
        <v>412</v>
      </c>
      <c r="B31" s="2" t="s">
        <v>151</v>
      </c>
      <c r="C31" s="4" t="n">
        <f aca="false">'Pricing &amp; Mix'!C24*'Pricing &amp; Mix'!C27*(1-'Pricing &amp; Mix'!C28)</f>
        <v>0</v>
      </c>
      <c r="D31" s="4" t="n">
        <f aca="false">'Pricing &amp; Mix'!D24*'Pricing &amp; Mix'!D27*(1-'Pricing &amp; Mix'!D28)</f>
        <v>0</v>
      </c>
      <c r="E31" s="4" t="n">
        <f aca="false">'Pricing &amp; Mix'!E24*'Pricing &amp; Mix'!E27*(1-'Pricing &amp; Mix'!E28)</f>
        <v>0</v>
      </c>
      <c r="F31" s="4" t="n">
        <f aca="false">'Pricing &amp; Mix'!F24*'Pricing &amp; Mix'!F27*(1-'Pricing &amp; Mix'!F28)</f>
        <v>0</v>
      </c>
      <c r="G31" s="4" t="n">
        <f aca="false">'Pricing &amp; Mix'!G24*'Pricing &amp; Mix'!G27*(1-'Pricing &amp; Mix'!G28)</f>
        <v>0</v>
      </c>
      <c r="H31" s="4" t="n">
        <f aca="false">'Pricing &amp; Mix'!H24*'Pricing &amp; Mix'!H27*(1-'Pricing &amp; Mix'!H28)</f>
        <v>0</v>
      </c>
      <c r="I31" s="4" t="n">
        <f aca="false">'Pricing &amp; Mix'!I24*'Pricing &amp; Mix'!I27*(1-'Pricing &amp; Mix'!I28)</f>
        <v>0</v>
      </c>
      <c r="J31" s="4" t="n">
        <f aca="false">'Pricing &amp; Mix'!J24*'Pricing &amp; Mix'!J27*(1-'Pricing &amp; Mix'!J28)</f>
        <v>0</v>
      </c>
      <c r="K31" s="4" t="n">
        <f aca="false">'Pricing &amp; Mix'!K24*'Pricing &amp; Mix'!K27*(1-'Pricing &amp; Mix'!K28)</f>
        <v>0</v>
      </c>
      <c r="L31" s="4" t="n">
        <f aca="false">'Pricing &amp; Mix'!L24*'Pricing &amp; Mix'!L27*(1-'Pricing &amp; Mix'!L28)</f>
        <v>0</v>
      </c>
      <c r="M31" s="4" t="n">
        <f aca="false">'Pricing &amp; Mix'!M24*'Pricing &amp; Mix'!M27*(1-'Pricing &amp; Mix'!M28)</f>
        <v>0</v>
      </c>
      <c r="N31" s="4" t="n">
        <f aca="false">'Pricing &amp; Mix'!N24*'Pricing &amp; Mix'!N27*(1-'Pricing &amp; Mix'!N28)</f>
        <v>0</v>
      </c>
      <c r="O31" s="4" t="n">
        <f aca="false">'Pricing &amp; Mix'!O24*'Pricing &amp; Mix'!O27*(1-'Pricing &amp; Mix'!O28)</f>
        <v>0</v>
      </c>
      <c r="P31" s="4" t="n">
        <f aca="false">'Pricing &amp; Mix'!P24*'Pricing &amp; Mix'!P27*(1-'Pricing &amp; Mix'!P28)</f>
        <v>0</v>
      </c>
      <c r="Q31" s="4" t="n">
        <f aca="false">'Pricing &amp; Mix'!Q24*'Pricing &amp; Mix'!Q27*(1-'Pricing &amp; Mix'!Q28)</f>
        <v>0</v>
      </c>
      <c r="R31" s="4" t="n">
        <f aca="false">'Pricing &amp; Mix'!R24*'Pricing &amp; Mix'!R27*(1-'Pricing &amp; Mix'!R28)</f>
        <v>0</v>
      </c>
      <c r="S31" s="4" t="n">
        <f aca="false">'Pricing &amp; Mix'!S24*'Pricing &amp; Mix'!S27*(1-'Pricing &amp; Mix'!S28)</f>
        <v>0</v>
      </c>
      <c r="T31" s="4" t="n">
        <f aca="false">'Pricing &amp; Mix'!T24*'Pricing &amp; Mix'!T27*(1-'Pricing &amp; Mix'!T28)</f>
        <v>276.75</v>
      </c>
      <c r="U31" s="4" t="n">
        <f aca="false">'Pricing &amp; Mix'!U24*'Pricing &amp; Mix'!U27*(1-'Pricing &amp; Mix'!U28)</f>
        <v>330.75</v>
      </c>
      <c r="V31" s="4" t="n">
        <f aca="false">'Pricing &amp; Mix'!V24*'Pricing &amp; Mix'!V27*(1-'Pricing &amp; Mix'!V28)</f>
        <v>384.75</v>
      </c>
      <c r="W31" s="4" t="n">
        <f aca="false">'Pricing &amp; Mix'!W24*'Pricing &amp; Mix'!W27*(1-'Pricing &amp; Mix'!W28)</f>
        <v>376.875</v>
      </c>
      <c r="X31" s="4" t="n">
        <f aca="false">'Pricing &amp; Mix'!X24*'Pricing &amp; Mix'!X27*(1-'Pricing &amp; Mix'!X28)</f>
        <v>388.125</v>
      </c>
      <c r="Y31" s="4" t="n">
        <f aca="false">'Pricing &amp; Mix'!Y24*'Pricing &amp; Mix'!Y27*(1-'Pricing &amp; Mix'!Y28)</f>
        <v>365.625</v>
      </c>
      <c r="Z31" s="4" t="n">
        <f aca="false">'Pricing &amp; Mix'!Z24*'Pricing &amp; Mix'!Z27*(1-'Pricing &amp; Mix'!Z28)</f>
        <v>410.625</v>
      </c>
      <c r="AA31" s="4" t="n">
        <f aca="false">'Pricing &amp; Mix'!AA24*'Pricing &amp; Mix'!AA27*(1-'Pricing &amp; Mix'!AA28)</f>
        <v>590.625</v>
      </c>
      <c r="AB31" s="4" t="n">
        <f aca="false">'Pricing &amp; Mix'!AB24*'Pricing &amp; Mix'!AB27*(1-'Pricing &amp; Mix'!AB28)</f>
        <v>832.5</v>
      </c>
      <c r="AC31" s="4" t="n">
        <f aca="false">'Pricing &amp; Mix'!AC24*'Pricing &amp; Mix'!AC27*(1-'Pricing &amp; Mix'!AC28)</f>
        <v>12600</v>
      </c>
      <c r="AD31" s="4" t="n">
        <f aca="false">'Pricing &amp; Mix'!AD24*'Pricing &amp; Mix'!AD27*(1-'Pricing &amp; Mix'!AD28)</f>
        <v>24375</v>
      </c>
      <c r="AE31" s="4" t="n">
        <f aca="false">'Pricing &amp; Mix'!AE24*'Pricing &amp; Mix'!AE27*(1-'Pricing &amp; Mix'!AE28)</f>
        <v>39000</v>
      </c>
      <c r="AG31" s="4" t="n">
        <f aca="false">SUMIF($C$3:$AE$3,AG$3,$C31:$AE31)</f>
        <v>0</v>
      </c>
      <c r="AH31" s="4" t="n">
        <f aca="false">SUMIF($C$3:$AE$3,AH$3,$C31:$AE31)</f>
        <v>0</v>
      </c>
      <c r="AI31" s="4" t="n">
        <f aca="false">SUMIF($C$3:$AE$3,AI$3,$C31:$AE31)</f>
        <v>3956.625</v>
      </c>
      <c r="AJ31" s="4" t="n">
        <f aca="false">SUMIF($C$3:$AE$3,AJ$3,$C31:$AE31)</f>
        <v>12600</v>
      </c>
      <c r="AK31" s="4" t="n">
        <f aca="false">SUMIF($C$3:$AE$3,AK$3,$C31:$AE31)</f>
        <v>24375</v>
      </c>
      <c r="AL31" s="4" t="n">
        <f aca="false">SUMIF($C$3:$AE$3,AL$3,$C31:$AE31)</f>
        <v>39000</v>
      </c>
    </row>
    <row r="32" customFormat="false" ht="15" hidden="false" customHeight="false" outlineLevel="0" collapsed="false">
      <c r="A32" s="0" t="s">
        <v>413</v>
      </c>
      <c r="B32" s="2" t="s">
        <v>151</v>
      </c>
      <c r="C32" s="4" t="n">
        <f aca="false">'Pricing &amp; Mix'!C24*'Pricing &amp; Mix'!C25*'Pricing &amp; Mix'!C28</f>
        <v>0</v>
      </c>
      <c r="D32" s="4" t="n">
        <f aca="false">'Pricing &amp; Mix'!D24*'Pricing &amp; Mix'!D25*'Pricing &amp; Mix'!D28</f>
        <v>0</v>
      </c>
      <c r="E32" s="4" t="n">
        <f aca="false">'Pricing &amp; Mix'!E24*'Pricing &amp; Mix'!E25*'Pricing &amp; Mix'!E28</f>
        <v>0</v>
      </c>
      <c r="F32" s="4" t="n">
        <f aca="false">'Pricing &amp; Mix'!F24*'Pricing &amp; Mix'!F25*'Pricing &amp; Mix'!F28</f>
        <v>0</v>
      </c>
      <c r="G32" s="4" t="n">
        <f aca="false">'Pricing &amp; Mix'!G24*'Pricing &amp; Mix'!G25*'Pricing &amp; Mix'!G28</f>
        <v>0</v>
      </c>
      <c r="H32" s="4" t="n">
        <f aca="false">'Pricing &amp; Mix'!H24*'Pricing &amp; Mix'!H25*'Pricing &amp; Mix'!H28</f>
        <v>0</v>
      </c>
      <c r="I32" s="4" t="n">
        <f aca="false">'Pricing &amp; Mix'!I24*'Pricing &amp; Mix'!I25*'Pricing &amp; Mix'!I28</f>
        <v>0</v>
      </c>
      <c r="J32" s="4" t="n">
        <f aca="false">'Pricing &amp; Mix'!J24*'Pricing &amp; Mix'!J25*'Pricing &amp; Mix'!J28</f>
        <v>0</v>
      </c>
      <c r="K32" s="4" t="n">
        <f aca="false">'Pricing &amp; Mix'!K24*'Pricing &amp; Mix'!K25*'Pricing &amp; Mix'!K28</f>
        <v>0</v>
      </c>
      <c r="L32" s="4" t="n">
        <f aca="false">'Pricing &amp; Mix'!L24*'Pricing &amp; Mix'!L25*'Pricing &amp; Mix'!L28</f>
        <v>0</v>
      </c>
      <c r="M32" s="4" t="n">
        <f aca="false">'Pricing &amp; Mix'!M24*'Pricing &amp; Mix'!M25*'Pricing &amp; Mix'!M28</f>
        <v>0</v>
      </c>
      <c r="N32" s="4" t="n">
        <f aca="false">'Pricing &amp; Mix'!N24*'Pricing &amp; Mix'!N25*'Pricing &amp; Mix'!N28</f>
        <v>0</v>
      </c>
      <c r="O32" s="4" t="n">
        <f aca="false">'Pricing &amp; Mix'!O24*'Pricing &amp; Mix'!O25*'Pricing &amp; Mix'!O28</f>
        <v>0</v>
      </c>
      <c r="P32" s="4" t="n">
        <f aca="false">'Pricing &amp; Mix'!P24*'Pricing &amp; Mix'!P25*'Pricing &amp; Mix'!P28</f>
        <v>0</v>
      </c>
      <c r="Q32" s="4" t="n">
        <f aca="false">'Pricing &amp; Mix'!Q24*'Pricing &amp; Mix'!Q25*'Pricing &amp; Mix'!Q28</f>
        <v>66.25</v>
      </c>
      <c r="R32" s="4" t="n">
        <f aca="false">'Pricing &amp; Mix'!R24*'Pricing &amp; Mix'!R25*'Pricing &amp; Mix'!R28</f>
        <v>71.55</v>
      </c>
      <c r="S32" s="4" t="n">
        <f aca="false">'Pricing &amp; Mix'!S24*'Pricing &amp; Mix'!S25*'Pricing &amp; Mix'!S28</f>
        <v>87.45</v>
      </c>
      <c r="T32" s="4" t="n">
        <f aca="false">'Pricing &amp; Mix'!T24*'Pricing &amp; Mix'!T25*'Pricing &amp; Mix'!T28</f>
        <v>92.25</v>
      </c>
      <c r="U32" s="4" t="n">
        <f aca="false">'Pricing &amp; Mix'!U24*'Pricing &amp; Mix'!U25*'Pricing &amp; Mix'!U28</f>
        <v>110.25</v>
      </c>
      <c r="V32" s="4" t="n">
        <f aca="false">'Pricing &amp; Mix'!V24*'Pricing &amp; Mix'!V25*'Pricing &amp; Mix'!V28</f>
        <v>128.25</v>
      </c>
      <c r="W32" s="4" t="n">
        <f aca="false">'Pricing &amp; Mix'!W24*'Pricing &amp; Mix'!W25*'Pricing &amp; Mix'!W28</f>
        <v>376.875</v>
      </c>
      <c r="X32" s="4" t="n">
        <f aca="false">'Pricing &amp; Mix'!X24*'Pricing &amp; Mix'!X25*'Pricing &amp; Mix'!X28</f>
        <v>388.125</v>
      </c>
      <c r="Y32" s="4" t="n">
        <f aca="false">'Pricing &amp; Mix'!Y24*'Pricing &amp; Mix'!Y25*'Pricing &amp; Mix'!Y28</f>
        <v>365.625</v>
      </c>
      <c r="Z32" s="4" t="n">
        <f aca="false">'Pricing &amp; Mix'!Z24*'Pricing &amp; Mix'!Z25*'Pricing &amp; Mix'!Z28</f>
        <v>410.625</v>
      </c>
      <c r="AA32" s="4" t="n">
        <f aca="false">'Pricing &amp; Mix'!AA24*'Pricing &amp; Mix'!AA25*'Pricing &amp; Mix'!AA28</f>
        <v>590.625</v>
      </c>
      <c r="AB32" s="4" t="n">
        <f aca="false">'Pricing &amp; Mix'!AB24*'Pricing &amp; Mix'!AB25*'Pricing &amp; Mix'!AB28</f>
        <v>832.5</v>
      </c>
      <c r="AC32" s="4" t="n">
        <f aca="false">'Pricing &amp; Mix'!AC24*'Pricing &amp; Mix'!AC25*'Pricing &amp; Mix'!AC28</f>
        <v>16200</v>
      </c>
      <c r="AD32" s="4" t="n">
        <f aca="false">'Pricing &amp; Mix'!AD24*'Pricing &amp; Mix'!AD25*'Pricing &amp; Mix'!AD28</f>
        <v>39375</v>
      </c>
      <c r="AE32" s="4" t="n">
        <f aca="false">'Pricing &amp; Mix'!AE24*'Pricing &amp; Mix'!AE25*'Pricing &amp; Mix'!AE28</f>
        <v>63000</v>
      </c>
      <c r="AG32" s="4" t="n">
        <f aca="false">SUMIF($C$3:$AE$3,AG$3,$C32:$AE32)</f>
        <v>0</v>
      </c>
      <c r="AH32" s="4" t="n">
        <f aca="false">SUMIF($C$3:$AE$3,AH$3,$C32:$AE32)</f>
        <v>0</v>
      </c>
      <c r="AI32" s="4" t="n">
        <f aca="false">SUMIF($C$3:$AE$3,AI$3,$C32:$AE32)</f>
        <v>3520.375</v>
      </c>
      <c r="AJ32" s="4" t="n">
        <f aca="false">SUMIF($C$3:$AE$3,AJ$3,$C32:$AE32)</f>
        <v>16200</v>
      </c>
      <c r="AK32" s="4" t="n">
        <f aca="false">SUMIF($C$3:$AE$3,AK$3,$C32:$AE32)</f>
        <v>39375</v>
      </c>
      <c r="AL32" s="4" t="n">
        <f aca="false">SUMIF($C$3:$AE$3,AL$3,$C32:$AE32)</f>
        <v>63000</v>
      </c>
    </row>
    <row r="33" customFormat="false" ht="15" hidden="false" customHeight="false" outlineLevel="0" collapsed="false">
      <c r="A33" s="0" t="s">
        <v>414</v>
      </c>
      <c r="B33" s="2" t="s">
        <v>151</v>
      </c>
      <c r="C33" s="4" t="n">
        <f aca="false">'Pricing &amp; Mix'!C24*'Pricing &amp; Mix'!C26*'Pricing &amp; Mix'!C28</f>
        <v>0</v>
      </c>
      <c r="D33" s="4" t="n">
        <f aca="false">'Pricing &amp; Mix'!D24*'Pricing &amp; Mix'!D26*'Pricing &amp; Mix'!D28</f>
        <v>0</v>
      </c>
      <c r="E33" s="4" t="n">
        <f aca="false">'Pricing &amp; Mix'!E24*'Pricing &amp; Mix'!E26*'Pricing &amp; Mix'!E28</f>
        <v>0</v>
      </c>
      <c r="F33" s="4" t="n">
        <f aca="false">'Pricing &amp; Mix'!F24*'Pricing &amp; Mix'!F26*'Pricing &amp; Mix'!F28</f>
        <v>0</v>
      </c>
      <c r="G33" s="4" t="n">
        <f aca="false">'Pricing &amp; Mix'!G24*'Pricing &amp; Mix'!G26*'Pricing &amp; Mix'!G28</f>
        <v>0</v>
      </c>
      <c r="H33" s="4" t="n">
        <f aca="false">'Pricing &amp; Mix'!H24*'Pricing &amp; Mix'!H26*'Pricing &amp; Mix'!H28</f>
        <v>0</v>
      </c>
      <c r="I33" s="4" t="n">
        <f aca="false">'Pricing &amp; Mix'!I24*'Pricing &amp; Mix'!I26*'Pricing &amp; Mix'!I28</f>
        <v>0</v>
      </c>
      <c r="J33" s="4" t="n">
        <f aca="false">'Pricing &amp; Mix'!J24*'Pricing &amp; Mix'!J26*'Pricing &amp; Mix'!J28</f>
        <v>0</v>
      </c>
      <c r="K33" s="4" t="n">
        <f aca="false">'Pricing &amp; Mix'!K24*'Pricing &amp; Mix'!K26*'Pricing &amp; Mix'!K28</f>
        <v>0</v>
      </c>
      <c r="L33" s="4" t="n">
        <f aca="false">'Pricing &amp; Mix'!L24*'Pricing &amp; Mix'!L26*'Pricing &amp; Mix'!L28</f>
        <v>0</v>
      </c>
      <c r="M33" s="4" t="n">
        <f aca="false">'Pricing &amp; Mix'!M24*'Pricing &amp; Mix'!M26*'Pricing &amp; Mix'!M28</f>
        <v>0</v>
      </c>
      <c r="N33" s="4" t="n">
        <f aca="false">'Pricing &amp; Mix'!N24*'Pricing &amp; Mix'!N26*'Pricing &amp; Mix'!N28</f>
        <v>0</v>
      </c>
      <c r="O33" s="4" t="n">
        <f aca="false">'Pricing &amp; Mix'!O24*'Pricing &amp; Mix'!O26*'Pricing &amp; Mix'!O28</f>
        <v>0</v>
      </c>
      <c r="P33" s="4" t="n">
        <f aca="false">'Pricing &amp; Mix'!P24*'Pricing &amp; Mix'!P26*'Pricing &amp; Mix'!P28</f>
        <v>0</v>
      </c>
      <c r="Q33" s="4" t="n">
        <f aca="false">'Pricing &amp; Mix'!Q24*'Pricing &amp; Mix'!Q26*'Pricing &amp; Mix'!Q28</f>
        <v>58.75</v>
      </c>
      <c r="R33" s="4" t="n">
        <f aca="false">'Pricing &amp; Mix'!R24*'Pricing &amp; Mix'!R26*'Pricing &amp; Mix'!R28</f>
        <v>63.45</v>
      </c>
      <c r="S33" s="4" t="n">
        <f aca="false">'Pricing &amp; Mix'!S24*'Pricing &amp; Mix'!S26*'Pricing &amp; Mix'!S28</f>
        <v>77.55</v>
      </c>
      <c r="T33" s="4" t="n">
        <f aca="false">'Pricing &amp; Mix'!T24*'Pricing &amp; Mix'!T26*'Pricing &amp; Mix'!T28</f>
        <v>82</v>
      </c>
      <c r="U33" s="4" t="n">
        <f aca="false">'Pricing &amp; Mix'!U24*'Pricing &amp; Mix'!U26*'Pricing &amp; Mix'!U28</f>
        <v>98</v>
      </c>
      <c r="V33" s="4" t="n">
        <f aca="false">'Pricing &amp; Mix'!V24*'Pricing &amp; Mix'!V26*'Pricing &amp; Mix'!V28</f>
        <v>114</v>
      </c>
      <c r="W33" s="4" t="n">
        <f aca="false">'Pricing &amp; Mix'!W24*'Pricing &amp; Mix'!W26*'Pricing &amp; Mix'!W28</f>
        <v>335</v>
      </c>
      <c r="X33" s="4" t="n">
        <f aca="false">'Pricing &amp; Mix'!X24*'Pricing &amp; Mix'!X26*'Pricing &amp; Mix'!X28</f>
        <v>345</v>
      </c>
      <c r="Y33" s="4" t="n">
        <f aca="false">'Pricing &amp; Mix'!Y24*'Pricing &amp; Mix'!Y26*'Pricing &amp; Mix'!Y28</f>
        <v>325</v>
      </c>
      <c r="Z33" s="4" t="n">
        <f aca="false">'Pricing &amp; Mix'!Z24*'Pricing &amp; Mix'!Z26*'Pricing &amp; Mix'!Z28</f>
        <v>365</v>
      </c>
      <c r="AA33" s="4" t="n">
        <f aca="false">'Pricing &amp; Mix'!AA24*'Pricing &amp; Mix'!AA26*'Pricing &amp; Mix'!AA28</f>
        <v>525</v>
      </c>
      <c r="AB33" s="4" t="n">
        <f aca="false">'Pricing &amp; Mix'!AB24*'Pricing &amp; Mix'!AB26*'Pricing &amp; Mix'!AB28</f>
        <v>740</v>
      </c>
      <c r="AC33" s="4" t="n">
        <f aca="false">'Pricing &amp; Mix'!AC24*'Pricing &amp; Mix'!AC26*'Pricing &amp; Mix'!AC28</f>
        <v>14400</v>
      </c>
      <c r="AD33" s="4" t="n">
        <f aca="false">'Pricing &amp; Mix'!AD24*'Pricing &amp; Mix'!AD26*'Pricing &amp; Mix'!AD28</f>
        <v>35000</v>
      </c>
      <c r="AE33" s="4" t="n">
        <f aca="false">'Pricing &amp; Mix'!AE24*'Pricing &amp; Mix'!AE26*'Pricing &amp; Mix'!AE28</f>
        <v>56000</v>
      </c>
      <c r="AG33" s="4" t="n">
        <f aca="false">SUMIF($C$3:$AE$3,AG$3,$C33:$AE33)</f>
        <v>0</v>
      </c>
      <c r="AH33" s="4" t="n">
        <f aca="false">SUMIF($C$3:$AE$3,AH$3,$C33:$AE33)</f>
        <v>0</v>
      </c>
      <c r="AI33" s="4" t="n">
        <f aca="false">SUMIF($C$3:$AE$3,AI$3,$C33:$AE33)</f>
        <v>3128.75</v>
      </c>
      <c r="AJ33" s="4" t="n">
        <f aca="false">SUMIF($C$3:$AE$3,AJ$3,$C33:$AE33)</f>
        <v>14400</v>
      </c>
      <c r="AK33" s="4" t="n">
        <f aca="false">SUMIF($C$3:$AE$3,AK$3,$C33:$AE33)</f>
        <v>35000</v>
      </c>
      <c r="AL33" s="4" t="n">
        <f aca="false">SUMIF($C$3:$AE$3,AL$3,$C33:$AE33)</f>
        <v>56000</v>
      </c>
    </row>
    <row r="34" customFormat="false" ht="15" hidden="false" customHeight="false" outlineLevel="0" collapsed="false">
      <c r="A34" s="0" t="s">
        <v>415</v>
      </c>
      <c r="B34" s="2" t="s">
        <v>151</v>
      </c>
      <c r="C34" s="4" t="n">
        <f aca="false">'Pricing &amp; Mix'!C24*'Pricing &amp; Mix'!C27*'Pricing &amp; Mix'!C28</f>
        <v>0</v>
      </c>
      <c r="D34" s="4" t="n">
        <f aca="false">'Pricing &amp; Mix'!D24*'Pricing &amp; Mix'!D27*'Pricing &amp; Mix'!D28</f>
        <v>0</v>
      </c>
      <c r="E34" s="4" t="n">
        <f aca="false">'Pricing &amp; Mix'!E24*'Pricing &amp; Mix'!E27*'Pricing &amp; Mix'!E28</f>
        <v>0</v>
      </c>
      <c r="F34" s="4" t="n">
        <f aca="false">'Pricing &amp; Mix'!F24*'Pricing &amp; Mix'!F27*'Pricing &amp; Mix'!F28</f>
        <v>0</v>
      </c>
      <c r="G34" s="4" t="n">
        <f aca="false">'Pricing &amp; Mix'!G24*'Pricing &amp; Mix'!G27*'Pricing &amp; Mix'!G28</f>
        <v>0</v>
      </c>
      <c r="H34" s="4" t="n">
        <f aca="false">'Pricing &amp; Mix'!H24*'Pricing &amp; Mix'!H27*'Pricing &amp; Mix'!H28</f>
        <v>0</v>
      </c>
      <c r="I34" s="4" t="n">
        <f aca="false">'Pricing &amp; Mix'!I24*'Pricing &amp; Mix'!I27*'Pricing &amp; Mix'!I28</f>
        <v>0</v>
      </c>
      <c r="J34" s="4" t="n">
        <f aca="false">'Pricing &amp; Mix'!J24*'Pricing &amp; Mix'!J27*'Pricing &amp; Mix'!J28</f>
        <v>0</v>
      </c>
      <c r="K34" s="4" t="n">
        <f aca="false">'Pricing &amp; Mix'!K24*'Pricing &amp; Mix'!K27*'Pricing &amp; Mix'!K28</f>
        <v>0</v>
      </c>
      <c r="L34" s="4" t="n">
        <f aca="false">'Pricing &amp; Mix'!L24*'Pricing &amp; Mix'!L27*'Pricing &amp; Mix'!L28</f>
        <v>0</v>
      </c>
      <c r="M34" s="4" t="n">
        <f aca="false">'Pricing &amp; Mix'!M24*'Pricing &amp; Mix'!M27*'Pricing &amp; Mix'!M28</f>
        <v>0</v>
      </c>
      <c r="N34" s="4" t="n">
        <f aca="false">'Pricing &amp; Mix'!N24*'Pricing &amp; Mix'!N27*'Pricing &amp; Mix'!N28</f>
        <v>0</v>
      </c>
      <c r="O34" s="4" t="n">
        <f aca="false">'Pricing &amp; Mix'!O24*'Pricing &amp; Mix'!O27*'Pricing &amp; Mix'!O28</f>
        <v>0</v>
      </c>
      <c r="P34" s="4" t="n">
        <f aca="false">'Pricing &amp; Mix'!P24*'Pricing &amp; Mix'!P27*'Pricing &amp; Mix'!P28</f>
        <v>0</v>
      </c>
      <c r="Q34" s="4" t="n">
        <f aca="false">'Pricing &amp; Mix'!Q24*'Pricing &amp; Mix'!Q27*'Pricing &amp; Mix'!Q28</f>
        <v>0</v>
      </c>
      <c r="R34" s="4" t="n">
        <f aca="false">'Pricing &amp; Mix'!R24*'Pricing &amp; Mix'!R27*'Pricing &amp; Mix'!R28</f>
        <v>0</v>
      </c>
      <c r="S34" s="4" t="n">
        <f aca="false">'Pricing &amp; Mix'!S24*'Pricing &amp; Mix'!S27*'Pricing &amp; Mix'!S28</f>
        <v>0</v>
      </c>
      <c r="T34" s="4" t="n">
        <f aca="false">'Pricing &amp; Mix'!T24*'Pricing &amp; Mix'!T27*'Pricing &amp; Mix'!T28</f>
        <v>30.75</v>
      </c>
      <c r="U34" s="4" t="n">
        <f aca="false">'Pricing &amp; Mix'!U24*'Pricing &amp; Mix'!U27*'Pricing &amp; Mix'!U28</f>
        <v>36.75</v>
      </c>
      <c r="V34" s="4" t="n">
        <f aca="false">'Pricing &amp; Mix'!V24*'Pricing &amp; Mix'!V27*'Pricing &amp; Mix'!V28</f>
        <v>42.75</v>
      </c>
      <c r="W34" s="4" t="n">
        <f aca="false">'Pricing &amp; Mix'!W24*'Pricing &amp; Mix'!W27*'Pricing &amp; Mix'!W28</f>
        <v>125.625</v>
      </c>
      <c r="X34" s="4" t="n">
        <f aca="false">'Pricing &amp; Mix'!X24*'Pricing &amp; Mix'!X27*'Pricing &amp; Mix'!X28</f>
        <v>129.375</v>
      </c>
      <c r="Y34" s="4" t="n">
        <f aca="false">'Pricing &amp; Mix'!Y24*'Pricing &amp; Mix'!Y27*'Pricing &amp; Mix'!Y28</f>
        <v>121.875</v>
      </c>
      <c r="Z34" s="4" t="n">
        <f aca="false">'Pricing &amp; Mix'!Z24*'Pricing &amp; Mix'!Z27*'Pricing &amp; Mix'!Z28</f>
        <v>136.875</v>
      </c>
      <c r="AA34" s="4" t="n">
        <f aca="false">'Pricing &amp; Mix'!AA24*'Pricing &amp; Mix'!AA27*'Pricing &amp; Mix'!AA28</f>
        <v>196.875</v>
      </c>
      <c r="AB34" s="4" t="n">
        <f aca="false">'Pricing &amp; Mix'!AB24*'Pricing &amp; Mix'!AB27*'Pricing &amp; Mix'!AB28</f>
        <v>277.5</v>
      </c>
      <c r="AC34" s="4" t="n">
        <f aca="false">'Pricing &amp; Mix'!AC24*'Pricing &amp; Mix'!AC27*'Pricing &amp; Mix'!AC28</f>
        <v>5400</v>
      </c>
      <c r="AD34" s="4" t="n">
        <f aca="false">'Pricing &amp; Mix'!AD24*'Pricing &amp; Mix'!AD27*'Pricing &amp; Mix'!AD28</f>
        <v>13125</v>
      </c>
      <c r="AE34" s="4" t="n">
        <f aca="false">'Pricing &amp; Mix'!AE24*'Pricing &amp; Mix'!AE27*'Pricing &amp; Mix'!AE28</f>
        <v>21000</v>
      </c>
      <c r="AG34" s="4" t="n">
        <f aca="false">SUMIF($C$3:$AE$3,AG$3,$C34:$AE34)</f>
        <v>0</v>
      </c>
      <c r="AH34" s="4" t="n">
        <f aca="false">SUMIF($C$3:$AE$3,AH$3,$C34:$AE34)</f>
        <v>0</v>
      </c>
      <c r="AI34" s="4" t="n">
        <f aca="false">SUMIF($C$3:$AE$3,AI$3,$C34:$AE34)</f>
        <v>1098.375</v>
      </c>
      <c r="AJ34" s="4" t="n">
        <f aca="false">SUMIF($C$3:$AE$3,AJ$3,$C34:$AE34)</f>
        <v>5400</v>
      </c>
      <c r="AK34" s="4" t="n">
        <f aca="false">SUMIF($C$3:$AE$3,AK$3,$C34:$AE34)</f>
        <v>13125</v>
      </c>
      <c r="AL34" s="4" t="n">
        <f aca="false">SUMIF($C$3:$AE$3,AL$3,$C34:$AE34)</f>
        <v>21000</v>
      </c>
    </row>
    <row r="35" customFormat="false" ht="15" hidden="false" customHeight="false" outlineLevel="0" collapsed="false">
      <c r="A35" s="0" t="s">
        <v>416</v>
      </c>
      <c r="B35" s="2" t="s">
        <v>151</v>
      </c>
      <c r="C35" s="4" t="n">
        <f aca="false">(ks_units+pre_units)*sc_vol*Assumptions!C103*pre_mix_peb</f>
        <v>0</v>
      </c>
      <c r="D35" s="4" t="n">
        <f aca="false">(ks_units+pre_units)*sc_vol*Assumptions!D103*pre_mix_peb</f>
        <v>0</v>
      </c>
      <c r="E35" s="4" t="n">
        <f aca="false">(ks_units+pre_units)*sc_vol*Assumptions!E103*pre_mix_peb</f>
        <v>0</v>
      </c>
      <c r="F35" s="4" t="n">
        <f aca="false">(ks_units+pre_units)*sc_vol*Assumptions!F103*pre_mix_peb</f>
        <v>0</v>
      </c>
      <c r="G35" s="4" t="n">
        <f aca="false">(ks_units+pre_units)*sc_vol*Assumptions!G103*pre_mix_peb</f>
        <v>0</v>
      </c>
      <c r="H35" s="4" t="n">
        <f aca="false">(ks_units+pre_units)*sc_vol*Assumptions!H103*pre_mix_peb</f>
        <v>0</v>
      </c>
      <c r="I35" s="4" t="n">
        <f aca="false">(ks_units+pre_units)*sc_vol*Assumptions!I103*pre_mix_peb</f>
        <v>0</v>
      </c>
      <c r="J35" s="4" t="n">
        <f aca="false">(ks_units+pre_units)*sc_vol*Assumptions!J103*pre_mix_peb</f>
        <v>0</v>
      </c>
      <c r="K35" s="4" t="n">
        <f aca="false">(ks_units+pre_units)*sc_vol*Assumptions!K103*pre_mix_peb</f>
        <v>0</v>
      </c>
      <c r="L35" s="4" t="n">
        <f aca="false">(ks_units+pre_units)*sc_vol*Assumptions!L103*pre_mix_peb</f>
        <v>0</v>
      </c>
      <c r="M35" s="4" t="n">
        <f aca="false">(ks_units+pre_units)*sc_vol*Assumptions!M103*pre_mix_peb</f>
        <v>0</v>
      </c>
      <c r="N35" s="4" t="n">
        <f aca="false">(ks_units+pre_units)*sc_vol*Assumptions!N103*pre_mix_peb</f>
        <v>0</v>
      </c>
      <c r="O35" s="4" t="n">
        <f aca="false">(ks_units+pre_units)*sc_vol*Assumptions!O103*pre_mix_peb</f>
        <v>1125</v>
      </c>
      <c r="P35" s="4" t="n">
        <f aca="false">(ks_units+pre_units)*sc_vol*Assumptions!P103*pre_mix_peb</f>
        <v>832.5</v>
      </c>
      <c r="Q35" s="4" t="n">
        <f aca="false">(ks_units+pre_units)*sc_vol*Assumptions!Q103*pre_mix_peb</f>
        <v>292.5</v>
      </c>
      <c r="R35" s="4" t="n">
        <f aca="false">(ks_units+pre_units)*sc_vol*Assumptions!R103*pre_mix_peb</f>
        <v>0</v>
      </c>
      <c r="S35" s="4" t="n">
        <f aca="false">(ks_units+pre_units)*sc_vol*Assumptions!S103*pre_mix_peb</f>
        <v>0</v>
      </c>
      <c r="T35" s="4" t="n">
        <f aca="false">(ks_units+pre_units)*sc_vol*Assumptions!T103*pre_mix_peb</f>
        <v>0</v>
      </c>
      <c r="U35" s="4" t="n">
        <f aca="false">(ks_units+pre_units)*sc_vol*Assumptions!U103*pre_mix_peb</f>
        <v>0</v>
      </c>
      <c r="V35" s="4" t="n">
        <f aca="false">(ks_units+pre_units)*sc_vol*Assumptions!V103*pre_mix_peb</f>
        <v>0</v>
      </c>
      <c r="W35" s="4" t="n">
        <f aca="false">(ks_units+pre_units)*sc_vol*Assumptions!W103*pre_mix_peb</f>
        <v>0</v>
      </c>
      <c r="X35" s="4" t="n">
        <f aca="false">(ks_units+pre_units)*sc_vol*Assumptions!X103*pre_mix_peb</f>
        <v>0</v>
      </c>
      <c r="Y35" s="4" t="n">
        <f aca="false">(ks_units+pre_units)*sc_vol*Assumptions!Y103*pre_mix_peb</f>
        <v>0</v>
      </c>
      <c r="Z35" s="4" t="n">
        <f aca="false">(ks_units+pre_units)*sc_vol*Assumptions!Z103*pre_mix_peb</f>
        <v>0</v>
      </c>
      <c r="AA35" s="4" t="n">
        <f aca="false">(ks_units+pre_units)*sc_vol*Assumptions!AA103*pre_mix_peb</f>
        <v>0</v>
      </c>
      <c r="AB35" s="4" t="n">
        <f aca="false">(ks_units+pre_units)*sc_vol*Assumptions!AB103*pre_mix_peb</f>
        <v>0</v>
      </c>
      <c r="AC35" s="4" t="n">
        <f aca="false">(ks_units+pre_units)*sc_vol*Assumptions!AC103*pre_mix_peb</f>
        <v>0</v>
      </c>
      <c r="AD35" s="4" t="n">
        <f aca="false">(ks_units+pre_units)*sc_vol*Assumptions!AD103*pre_mix_peb</f>
        <v>0</v>
      </c>
      <c r="AE35" s="4" t="n">
        <f aca="false">(ks_units+pre_units)*sc_vol*Assumptions!AE103*pre_mix_peb</f>
        <v>0</v>
      </c>
      <c r="AG35" s="4" t="n">
        <f aca="false">SUMIF($C$3:$AE$3,AG$3,$C35:$AE35)</f>
        <v>0</v>
      </c>
      <c r="AH35" s="4" t="n">
        <f aca="false">SUMIF($C$3:$AE$3,AH$3,$C35:$AE35)</f>
        <v>1957.5</v>
      </c>
      <c r="AI35" s="4" t="n">
        <f aca="false">SUMIF($C$3:$AE$3,AI$3,$C35:$AE35)</f>
        <v>292.5</v>
      </c>
      <c r="AJ35" s="4" t="n">
        <f aca="false">SUMIF($C$3:$AE$3,AJ$3,$C35:$AE35)</f>
        <v>0</v>
      </c>
      <c r="AK35" s="4" t="n">
        <f aca="false">SUMIF($C$3:$AE$3,AK$3,$C35:$AE35)</f>
        <v>0</v>
      </c>
      <c r="AL35" s="4" t="n">
        <f aca="false">SUMIF($C$3:$AE$3,AL$3,$C35:$AE35)</f>
        <v>0</v>
      </c>
    </row>
    <row r="36" customFormat="false" ht="15" hidden="false" customHeight="false" outlineLevel="0" collapsed="false">
      <c r="A36" s="0" t="s">
        <v>417</v>
      </c>
      <c r="B36" s="2" t="s">
        <v>151</v>
      </c>
      <c r="C36" s="4" t="n">
        <f aca="false">(ks_units+pre_units)*sc_vol*Assumptions!C103*(1-pre_mix_peb-pre_mix_atl)</f>
        <v>0</v>
      </c>
      <c r="D36" s="4" t="n">
        <f aca="false">(ks_units+pre_units)*sc_vol*Assumptions!D103*(1-pre_mix_peb-pre_mix_atl)</f>
        <v>0</v>
      </c>
      <c r="E36" s="4" t="n">
        <f aca="false">(ks_units+pre_units)*sc_vol*Assumptions!E103*(1-pre_mix_peb-pre_mix_atl)</f>
        <v>0</v>
      </c>
      <c r="F36" s="4" t="n">
        <f aca="false">(ks_units+pre_units)*sc_vol*Assumptions!F103*(1-pre_mix_peb-pre_mix_atl)</f>
        <v>0</v>
      </c>
      <c r="G36" s="4" t="n">
        <f aca="false">(ks_units+pre_units)*sc_vol*Assumptions!G103*(1-pre_mix_peb-pre_mix_atl)</f>
        <v>0</v>
      </c>
      <c r="H36" s="4" t="n">
        <f aca="false">(ks_units+pre_units)*sc_vol*Assumptions!H103*(1-pre_mix_peb-pre_mix_atl)</f>
        <v>0</v>
      </c>
      <c r="I36" s="4" t="n">
        <f aca="false">(ks_units+pre_units)*sc_vol*Assumptions!I103*(1-pre_mix_peb-pre_mix_atl)</f>
        <v>0</v>
      </c>
      <c r="J36" s="4" t="n">
        <f aca="false">(ks_units+pre_units)*sc_vol*Assumptions!J103*(1-pre_mix_peb-pre_mix_atl)</f>
        <v>0</v>
      </c>
      <c r="K36" s="4" t="n">
        <f aca="false">(ks_units+pre_units)*sc_vol*Assumptions!K103*(1-pre_mix_peb-pre_mix_atl)</f>
        <v>0</v>
      </c>
      <c r="L36" s="4" t="n">
        <f aca="false">(ks_units+pre_units)*sc_vol*Assumptions!L103*(1-pre_mix_peb-pre_mix_atl)</f>
        <v>0</v>
      </c>
      <c r="M36" s="4" t="n">
        <f aca="false">(ks_units+pre_units)*sc_vol*Assumptions!M103*(1-pre_mix_peb-pre_mix_atl)</f>
        <v>0</v>
      </c>
      <c r="N36" s="4" t="n">
        <f aca="false">(ks_units+pre_units)*sc_vol*Assumptions!N103*(1-pre_mix_peb-pre_mix_atl)</f>
        <v>0</v>
      </c>
      <c r="O36" s="4" t="n">
        <f aca="false">(ks_units+pre_units)*sc_vol*Assumptions!O103*(1-pre_mix_peb-pre_mix_atl)</f>
        <v>1000</v>
      </c>
      <c r="P36" s="4" t="n">
        <f aca="false">(ks_units+pre_units)*sc_vol*Assumptions!P103*(1-pre_mix_peb-pre_mix_atl)</f>
        <v>740</v>
      </c>
      <c r="Q36" s="4" t="n">
        <f aca="false">(ks_units+pre_units)*sc_vol*Assumptions!Q103*(1-pre_mix_peb-pre_mix_atl)</f>
        <v>260</v>
      </c>
      <c r="R36" s="4" t="n">
        <f aca="false">(ks_units+pre_units)*sc_vol*Assumptions!R103*(1-pre_mix_peb-pre_mix_atl)</f>
        <v>0</v>
      </c>
      <c r="S36" s="4" t="n">
        <f aca="false">(ks_units+pre_units)*sc_vol*Assumptions!S103*(1-pre_mix_peb-pre_mix_atl)</f>
        <v>0</v>
      </c>
      <c r="T36" s="4" t="n">
        <f aca="false">(ks_units+pre_units)*sc_vol*Assumptions!T103*(1-pre_mix_peb-pre_mix_atl)</f>
        <v>0</v>
      </c>
      <c r="U36" s="4" t="n">
        <f aca="false">(ks_units+pre_units)*sc_vol*Assumptions!U103*(1-pre_mix_peb-pre_mix_atl)</f>
        <v>0</v>
      </c>
      <c r="V36" s="4" t="n">
        <f aca="false">(ks_units+pre_units)*sc_vol*Assumptions!V103*(1-pre_mix_peb-pre_mix_atl)</f>
        <v>0</v>
      </c>
      <c r="W36" s="4" t="n">
        <f aca="false">(ks_units+pre_units)*sc_vol*Assumptions!W103*(1-pre_mix_peb-pre_mix_atl)</f>
        <v>0</v>
      </c>
      <c r="X36" s="4" t="n">
        <f aca="false">(ks_units+pre_units)*sc_vol*Assumptions!X103*(1-pre_mix_peb-pre_mix_atl)</f>
        <v>0</v>
      </c>
      <c r="Y36" s="4" t="n">
        <f aca="false">(ks_units+pre_units)*sc_vol*Assumptions!Y103*(1-pre_mix_peb-pre_mix_atl)</f>
        <v>0</v>
      </c>
      <c r="Z36" s="4" t="n">
        <f aca="false">(ks_units+pre_units)*sc_vol*Assumptions!Z103*(1-pre_mix_peb-pre_mix_atl)</f>
        <v>0</v>
      </c>
      <c r="AA36" s="4" t="n">
        <f aca="false">(ks_units+pre_units)*sc_vol*Assumptions!AA103*(1-pre_mix_peb-pre_mix_atl)</f>
        <v>0</v>
      </c>
      <c r="AB36" s="4" t="n">
        <f aca="false">(ks_units+pre_units)*sc_vol*Assumptions!AB103*(1-pre_mix_peb-pre_mix_atl)</f>
        <v>0</v>
      </c>
      <c r="AC36" s="4" t="n">
        <f aca="false">(ks_units+pre_units)*sc_vol*Assumptions!AC103*(1-pre_mix_peb-pre_mix_atl)</f>
        <v>0</v>
      </c>
      <c r="AD36" s="4" t="n">
        <f aca="false">(ks_units+pre_units)*sc_vol*Assumptions!AD103*(1-pre_mix_peb-pre_mix_atl)</f>
        <v>0</v>
      </c>
      <c r="AE36" s="4" t="n">
        <f aca="false">(ks_units+pre_units)*sc_vol*Assumptions!AE103*(1-pre_mix_peb-pre_mix_atl)</f>
        <v>0</v>
      </c>
      <c r="AG36" s="4" t="n">
        <f aca="false">SUMIF($C$3:$AE$3,AG$3,$C36:$AE36)</f>
        <v>0</v>
      </c>
      <c r="AH36" s="4" t="n">
        <f aca="false">SUMIF($C$3:$AE$3,AH$3,$C36:$AE36)</f>
        <v>1740</v>
      </c>
      <c r="AI36" s="4" t="n">
        <f aca="false">SUMIF($C$3:$AE$3,AI$3,$C36:$AE36)</f>
        <v>260</v>
      </c>
      <c r="AJ36" s="4" t="n">
        <f aca="false">SUMIF($C$3:$AE$3,AJ$3,$C36:$AE36)</f>
        <v>0</v>
      </c>
      <c r="AK36" s="4" t="n">
        <f aca="false">SUMIF($C$3:$AE$3,AK$3,$C36:$AE36)</f>
        <v>0</v>
      </c>
      <c r="AL36" s="4" t="n">
        <f aca="false">SUMIF($C$3:$AE$3,AL$3,$C36:$AE36)</f>
        <v>0</v>
      </c>
    </row>
    <row r="37" customFormat="false" ht="15" hidden="false" customHeight="false" outlineLevel="0" collapsed="false">
      <c r="A37" s="0" t="s">
        <v>418</v>
      </c>
      <c r="B37" s="2" t="s">
        <v>151</v>
      </c>
      <c r="C37" s="4" t="n">
        <f aca="false">(ks_units+pre_units)*sc_vol*Assumptions!C105*pre_mix_atl</f>
        <v>0</v>
      </c>
      <c r="D37" s="4" t="n">
        <f aca="false">(ks_units+pre_units)*sc_vol*Assumptions!D105*pre_mix_atl</f>
        <v>0</v>
      </c>
      <c r="E37" s="4" t="n">
        <f aca="false">(ks_units+pre_units)*sc_vol*Assumptions!E105*pre_mix_atl</f>
        <v>0</v>
      </c>
      <c r="F37" s="4" t="n">
        <f aca="false">(ks_units+pre_units)*sc_vol*Assumptions!F105*pre_mix_atl</f>
        <v>0</v>
      </c>
      <c r="G37" s="4" t="n">
        <f aca="false">(ks_units+pre_units)*sc_vol*Assumptions!G105*pre_mix_atl</f>
        <v>0</v>
      </c>
      <c r="H37" s="4" t="n">
        <f aca="false">(ks_units+pre_units)*sc_vol*Assumptions!H105*pre_mix_atl</f>
        <v>0</v>
      </c>
      <c r="I37" s="4" t="n">
        <f aca="false">(ks_units+pre_units)*sc_vol*Assumptions!I105*pre_mix_atl</f>
        <v>0</v>
      </c>
      <c r="J37" s="4" t="n">
        <f aca="false">(ks_units+pre_units)*sc_vol*Assumptions!J105*pre_mix_atl</f>
        <v>0</v>
      </c>
      <c r="K37" s="4" t="n">
        <f aca="false">(ks_units+pre_units)*sc_vol*Assumptions!K105*pre_mix_atl</f>
        <v>0</v>
      </c>
      <c r="L37" s="4" t="n">
        <f aca="false">(ks_units+pre_units)*sc_vol*Assumptions!L105*pre_mix_atl</f>
        <v>0</v>
      </c>
      <c r="M37" s="4" t="n">
        <f aca="false">(ks_units+pre_units)*sc_vol*Assumptions!M105*pre_mix_atl</f>
        <v>0</v>
      </c>
      <c r="N37" s="4" t="n">
        <f aca="false">(ks_units+pre_units)*sc_vol*Assumptions!N105*pre_mix_atl</f>
        <v>0</v>
      </c>
      <c r="O37" s="4" t="n">
        <f aca="false">(ks_units+pre_units)*sc_vol*Assumptions!O105*pre_mix_atl</f>
        <v>0</v>
      </c>
      <c r="P37" s="4" t="n">
        <f aca="false">(ks_units+pre_units)*sc_vol*Assumptions!P105*pre_mix_atl</f>
        <v>0</v>
      </c>
      <c r="Q37" s="4" t="n">
        <f aca="false">(ks_units+pre_units)*sc_vol*Assumptions!Q105*pre_mix_atl</f>
        <v>0</v>
      </c>
      <c r="R37" s="4" t="n">
        <f aca="false">(ks_units+pre_units)*sc_vol*Assumptions!R105*pre_mix_atl</f>
        <v>375</v>
      </c>
      <c r="S37" s="4" t="n">
        <f aca="false">(ks_units+pre_units)*sc_vol*Assumptions!S105*pre_mix_atl</f>
        <v>375</v>
      </c>
      <c r="T37" s="4" t="n">
        <f aca="false">(ks_units+pre_units)*sc_vol*Assumptions!T105*pre_mix_atl</f>
        <v>0</v>
      </c>
      <c r="U37" s="4" t="n">
        <f aca="false">(ks_units+pre_units)*sc_vol*Assumptions!U105*pre_mix_atl</f>
        <v>0</v>
      </c>
      <c r="V37" s="4" t="n">
        <f aca="false">(ks_units+pre_units)*sc_vol*Assumptions!V105*pre_mix_atl</f>
        <v>0</v>
      </c>
      <c r="W37" s="4" t="n">
        <f aca="false">(ks_units+pre_units)*sc_vol*Assumptions!W105*pre_mix_atl</f>
        <v>0</v>
      </c>
      <c r="X37" s="4" t="n">
        <f aca="false">(ks_units+pre_units)*sc_vol*Assumptions!X105*pre_mix_atl</f>
        <v>0</v>
      </c>
      <c r="Y37" s="4" t="n">
        <f aca="false">(ks_units+pre_units)*sc_vol*Assumptions!Y105*pre_mix_atl</f>
        <v>0</v>
      </c>
      <c r="Z37" s="4" t="n">
        <f aca="false">(ks_units+pre_units)*sc_vol*Assumptions!Z105*pre_mix_atl</f>
        <v>0</v>
      </c>
      <c r="AA37" s="4" t="n">
        <f aca="false">(ks_units+pre_units)*sc_vol*Assumptions!AA105*pre_mix_atl</f>
        <v>0</v>
      </c>
      <c r="AB37" s="4" t="n">
        <f aca="false">(ks_units+pre_units)*sc_vol*Assumptions!AB105*pre_mix_atl</f>
        <v>0</v>
      </c>
      <c r="AC37" s="4" t="n">
        <f aca="false">(ks_units+pre_units)*sc_vol*Assumptions!AC105*pre_mix_atl</f>
        <v>0</v>
      </c>
      <c r="AD37" s="4" t="n">
        <f aca="false">(ks_units+pre_units)*sc_vol*Assumptions!AD105*pre_mix_atl</f>
        <v>0</v>
      </c>
      <c r="AE37" s="4" t="n">
        <f aca="false">(ks_units+pre_units)*sc_vol*Assumptions!AE105*pre_mix_atl</f>
        <v>0</v>
      </c>
      <c r="AG37" s="4" t="n">
        <f aca="false">SUMIF($C$3:$AE$3,AG$3,$C37:$AE37)</f>
        <v>0</v>
      </c>
      <c r="AH37" s="4" t="n">
        <f aca="false">SUMIF($C$3:$AE$3,AH$3,$C37:$AE37)</f>
        <v>0</v>
      </c>
      <c r="AI37" s="4" t="n">
        <f aca="false">SUMIF($C$3:$AE$3,AI$3,$C37:$AE37)</f>
        <v>750</v>
      </c>
      <c r="AJ37" s="4" t="n">
        <f aca="false">SUMIF($C$3:$AE$3,AJ$3,$C37:$AE37)</f>
        <v>0</v>
      </c>
      <c r="AK37" s="4" t="n">
        <f aca="false">SUMIF($C$3:$AE$3,AK$3,$C37:$AE37)</f>
        <v>0</v>
      </c>
      <c r="AL37" s="4" t="n">
        <f aca="false">SUMIF($C$3:$AE$3,AL$3,$C37:$AE37)</f>
        <v>0</v>
      </c>
    </row>
    <row r="38" customFormat="false" ht="15" hidden="false" customHeight="false" outlineLevel="0" collapsed="false">
      <c r="A38" s="0" t="s">
        <v>419</v>
      </c>
      <c r="B38" s="2" t="s">
        <v>151</v>
      </c>
      <c r="C38" s="4" t="n">
        <f aca="false">'Pricing &amp; Mix'!C35+'Pricing &amp; Mix'!C36+'Pricing &amp; Mix'!C37</f>
        <v>0</v>
      </c>
      <c r="D38" s="4" t="n">
        <f aca="false">'Pricing &amp; Mix'!D35+'Pricing &amp; Mix'!D36+'Pricing &amp; Mix'!D37</f>
        <v>0</v>
      </c>
      <c r="E38" s="4" t="n">
        <f aca="false">'Pricing &amp; Mix'!E35+'Pricing &amp; Mix'!E36+'Pricing &amp; Mix'!E37</f>
        <v>0</v>
      </c>
      <c r="F38" s="4" t="n">
        <f aca="false">'Pricing &amp; Mix'!F35+'Pricing &amp; Mix'!F36+'Pricing &amp; Mix'!F37</f>
        <v>0</v>
      </c>
      <c r="G38" s="4" t="n">
        <f aca="false">'Pricing &amp; Mix'!G35+'Pricing &amp; Mix'!G36+'Pricing &amp; Mix'!G37</f>
        <v>0</v>
      </c>
      <c r="H38" s="4" t="n">
        <f aca="false">'Pricing &amp; Mix'!H35+'Pricing &amp; Mix'!H36+'Pricing &amp; Mix'!H37</f>
        <v>0</v>
      </c>
      <c r="I38" s="4" t="n">
        <f aca="false">'Pricing &amp; Mix'!I35+'Pricing &amp; Mix'!I36+'Pricing &amp; Mix'!I37</f>
        <v>0</v>
      </c>
      <c r="J38" s="4" t="n">
        <f aca="false">'Pricing &amp; Mix'!J35+'Pricing &amp; Mix'!J36+'Pricing &amp; Mix'!J37</f>
        <v>0</v>
      </c>
      <c r="K38" s="4" t="n">
        <f aca="false">'Pricing &amp; Mix'!K35+'Pricing &amp; Mix'!K36+'Pricing &amp; Mix'!K37</f>
        <v>0</v>
      </c>
      <c r="L38" s="4" t="n">
        <f aca="false">'Pricing &amp; Mix'!L35+'Pricing &amp; Mix'!L36+'Pricing &amp; Mix'!L37</f>
        <v>0</v>
      </c>
      <c r="M38" s="4" t="n">
        <f aca="false">'Pricing &amp; Mix'!M35+'Pricing &amp; Mix'!M36+'Pricing &amp; Mix'!M37</f>
        <v>0</v>
      </c>
      <c r="N38" s="4" t="n">
        <f aca="false">'Pricing &amp; Mix'!N35+'Pricing &amp; Mix'!N36+'Pricing &amp; Mix'!N37</f>
        <v>0</v>
      </c>
      <c r="O38" s="4" t="n">
        <f aca="false">'Pricing &amp; Mix'!O35+'Pricing &amp; Mix'!O36+'Pricing &amp; Mix'!O37</f>
        <v>2125</v>
      </c>
      <c r="P38" s="4" t="n">
        <f aca="false">'Pricing &amp; Mix'!P35+'Pricing &amp; Mix'!P36+'Pricing &amp; Mix'!P37</f>
        <v>1572.5</v>
      </c>
      <c r="Q38" s="4" t="n">
        <f aca="false">'Pricing &amp; Mix'!Q35+'Pricing &amp; Mix'!Q36+'Pricing &amp; Mix'!Q37</f>
        <v>552.5</v>
      </c>
      <c r="R38" s="4" t="n">
        <f aca="false">'Pricing &amp; Mix'!R35+'Pricing &amp; Mix'!R36+'Pricing &amp; Mix'!R37</f>
        <v>375</v>
      </c>
      <c r="S38" s="4" t="n">
        <f aca="false">'Pricing &amp; Mix'!S35+'Pricing &amp; Mix'!S36+'Pricing &amp; Mix'!S37</f>
        <v>375</v>
      </c>
      <c r="T38" s="4" t="n">
        <f aca="false">'Pricing &amp; Mix'!T35+'Pricing &amp; Mix'!T36+'Pricing &amp; Mix'!T37</f>
        <v>0</v>
      </c>
      <c r="U38" s="4" t="n">
        <f aca="false">'Pricing &amp; Mix'!U35+'Pricing &amp; Mix'!U36+'Pricing &amp; Mix'!U37</f>
        <v>0</v>
      </c>
      <c r="V38" s="4" t="n">
        <f aca="false">'Pricing &amp; Mix'!V35+'Pricing &amp; Mix'!V36+'Pricing &amp; Mix'!V37</f>
        <v>0</v>
      </c>
      <c r="W38" s="4" t="n">
        <f aca="false">'Pricing &amp; Mix'!W35+'Pricing &amp; Mix'!W36+'Pricing &amp; Mix'!W37</f>
        <v>0</v>
      </c>
      <c r="X38" s="4" t="n">
        <f aca="false">'Pricing &amp; Mix'!X35+'Pricing &amp; Mix'!X36+'Pricing &amp; Mix'!X37</f>
        <v>0</v>
      </c>
      <c r="Y38" s="4" t="n">
        <f aca="false">'Pricing &amp; Mix'!Y35+'Pricing &amp; Mix'!Y36+'Pricing &amp; Mix'!Y37</f>
        <v>0</v>
      </c>
      <c r="Z38" s="4" t="n">
        <f aca="false">'Pricing &amp; Mix'!Z35+'Pricing &amp; Mix'!Z36+'Pricing &amp; Mix'!Z37</f>
        <v>0</v>
      </c>
      <c r="AA38" s="4" t="n">
        <f aca="false">'Pricing &amp; Mix'!AA35+'Pricing &amp; Mix'!AA36+'Pricing &amp; Mix'!AA37</f>
        <v>0</v>
      </c>
      <c r="AB38" s="4" t="n">
        <f aca="false">'Pricing &amp; Mix'!AB35+'Pricing &amp; Mix'!AB36+'Pricing &amp; Mix'!AB37</f>
        <v>0</v>
      </c>
      <c r="AC38" s="4" t="n">
        <f aca="false">'Pricing &amp; Mix'!AC35+'Pricing &amp; Mix'!AC36+'Pricing &amp; Mix'!AC37</f>
        <v>0</v>
      </c>
      <c r="AD38" s="4" t="n">
        <f aca="false">'Pricing &amp; Mix'!AD35+'Pricing &amp; Mix'!AD36+'Pricing &amp; Mix'!AD37</f>
        <v>0</v>
      </c>
      <c r="AE38" s="4" t="n">
        <f aca="false">'Pricing &amp; Mix'!AE35+'Pricing &amp; Mix'!AE36+'Pricing &amp; Mix'!AE37</f>
        <v>0</v>
      </c>
      <c r="AG38" s="4" t="n">
        <f aca="false">SUMIF($C$3:$AE$3,AG$3,$C38:$AE38)</f>
        <v>0</v>
      </c>
      <c r="AH38" s="4" t="n">
        <f aca="false">SUMIF($C$3:$AE$3,AH$3,$C38:$AE38)</f>
        <v>3697.5</v>
      </c>
      <c r="AI38" s="4" t="n">
        <f aca="false">SUMIF($C$3:$AE$3,AI$3,$C38:$AE38)</f>
        <v>1302.5</v>
      </c>
      <c r="AJ38" s="4" t="n">
        <f aca="false">SUMIF($C$3:$AE$3,AJ$3,$C38:$AE38)</f>
        <v>0</v>
      </c>
      <c r="AK38" s="4" t="n">
        <f aca="false">SUMIF($C$3:$AE$3,AK$3,$C38:$AE38)</f>
        <v>0</v>
      </c>
      <c r="AL38" s="4" t="n">
        <f aca="false">SUMIF($C$3:$AE$3,AL$3,$C38:$AE38)</f>
        <v>0</v>
      </c>
    </row>
    <row r="39" customFormat="false" ht="15" hidden="false" customHeight="false" outlineLevel="0" collapsed="false">
      <c r="A39" s="0" t="s">
        <v>420</v>
      </c>
      <c r="B39" s="2" t="s">
        <v>151</v>
      </c>
      <c r="C39" s="4" t="n">
        <f aca="false">'Pricing &amp; Mix'!C29+'Pricing &amp; Mix'!C32+'Pricing &amp; Mix'!C35</f>
        <v>0</v>
      </c>
      <c r="D39" s="4" t="n">
        <f aca="false">'Pricing &amp; Mix'!D29+'Pricing &amp; Mix'!D32+'Pricing &amp; Mix'!D35</f>
        <v>0</v>
      </c>
      <c r="E39" s="4" t="n">
        <f aca="false">'Pricing &amp; Mix'!E29+'Pricing &amp; Mix'!E32+'Pricing &amp; Mix'!E35</f>
        <v>0</v>
      </c>
      <c r="F39" s="4" t="n">
        <f aca="false">'Pricing &amp; Mix'!F29+'Pricing &amp; Mix'!F32+'Pricing &amp; Mix'!F35</f>
        <v>0</v>
      </c>
      <c r="G39" s="4" t="n">
        <f aca="false">'Pricing &amp; Mix'!G29+'Pricing &amp; Mix'!G32+'Pricing &amp; Mix'!G35</f>
        <v>0</v>
      </c>
      <c r="H39" s="4" t="n">
        <f aca="false">'Pricing &amp; Mix'!H29+'Pricing &amp; Mix'!H32+'Pricing &amp; Mix'!H35</f>
        <v>0</v>
      </c>
      <c r="I39" s="4" t="n">
        <f aca="false">'Pricing &amp; Mix'!I29+'Pricing &amp; Mix'!I32+'Pricing &amp; Mix'!I35</f>
        <v>0</v>
      </c>
      <c r="J39" s="4" t="n">
        <f aca="false">'Pricing &amp; Mix'!J29+'Pricing &amp; Mix'!J32+'Pricing &amp; Mix'!J35</f>
        <v>0</v>
      </c>
      <c r="K39" s="4" t="n">
        <f aca="false">'Pricing &amp; Mix'!K29+'Pricing &amp; Mix'!K32+'Pricing &amp; Mix'!K35</f>
        <v>0</v>
      </c>
      <c r="L39" s="4" t="n">
        <f aca="false">'Pricing &amp; Mix'!L29+'Pricing &amp; Mix'!L32+'Pricing &amp; Mix'!L35</f>
        <v>0</v>
      </c>
      <c r="M39" s="4" t="n">
        <f aca="false">'Pricing &amp; Mix'!M29+'Pricing &amp; Mix'!M32+'Pricing &amp; Mix'!M35</f>
        <v>0</v>
      </c>
      <c r="N39" s="4" t="n">
        <f aca="false">'Pricing &amp; Mix'!N29+'Pricing &amp; Mix'!N32+'Pricing &amp; Mix'!N35</f>
        <v>0</v>
      </c>
      <c r="O39" s="4" t="n">
        <f aca="false">'Pricing &amp; Mix'!O29+'Pricing &amp; Mix'!O32+'Pricing &amp; Mix'!O35</f>
        <v>1125</v>
      </c>
      <c r="P39" s="4" t="n">
        <f aca="false">'Pricing &amp; Mix'!P29+'Pricing &amp; Mix'!P32+'Pricing &amp; Mix'!P35</f>
        <v>832.5</v>
      </c>
      <c r="Q39" s="4" t="n">
        <f aca="false">'Pricing &amp; Mix'!Q29+'Pricing &amp; Mix'!Q32+'Pricing &amp; Mix'!Q35</f>
        <v>955</v>
      </c>
      <c r="R39" s="4" t="n">
        <f aca="false">'Pricing &amp; Mix'!R29+'Pricing &amp; Mix'!R32+'Pricing &amp; Mix'!R35</f>
        <v>715.5</v>
      </c>
      <c r="S39" s="4" t="n">
        <f aca="false">'Pricing &amp; Mix'!S29+'Pricing &amp; Mix'!S32+'Pricing &amp; Mix'!S35</f>
        <v>874.5</v>
      </c>
      <c r="T39" s="4" t="n">
        <f aca="false">'Pricing &amp; Mix'!T29+'Pricing &amp; Mix'!T32+'Pricing &amp; Mix'!T35</f>
        <v>922.5</v>
      </c>
      <c r="U39" s="4" t="n">
        <f aca="false">'Pricing &amp; Mix'!U29+'Pricing &amp; Mix'!U32+'Pricing &amp; Mix'!U35</f>
        <v>1102.5</v>
      </c>
      <c r="V39" s="4" t="n">
        <f aca="false">'Pricing &amp; Mix'!V29+'Pricing &amp; Mix'!V32+'Pricing &amp; Mix'!V35</f>
        <v>1282.5</v>
      </c>
      <c r="W39" s="4" t="n">
        <f aca="false">'Pricing &amp; Mix'!W29+'Pricing &amp; Mix'!W32+'Pricing &amp; Mix'!W35</f>
        <v>1507.5</v>
      </c>
      <c r="X39" s="4" t="n">
        <f aca="false">'Pricing &amp; Mix'!X29+'Pricing &amp; Mix'!X32+'Pricing &amp; Mix'!X35</f>
        <v>1552.5</v>
      </c>
      <c r="Y39" s="4" t="n">
        <f aca="false">'Pricing &amp; Mix'!Y29+'Pricing &amp; Mix'!Y32+'Pricing &amp; Mix'!Y35</f>
        <v>1462.5</v>
      </c>
      <c r="Z39" s="4" t="n">
        <f aca="false">'Pricing &amp; Mix'!Z29+'Pricing &amp; Mix'!Z32+'Pricing &amp; Mix'!Z35</f>
        <v>1642.5</v>
      </c>
      <c r="AA39" s="4" t="n">
        <f aca="false">'Pricing &amp; Mix'!AA29+'Pricing &amp; Mix'!AA32+'Pricing &amp; Mix'!AA35</f>
        <v>2362.5</v>
      </c>
      <c r="AB39" s="4" t="n">
        <f aca="false">'Pricing &amp; Mix'!AB29+'Pricing &amp; Mix'!AB32+'Pricing &amp; Mix'!AB35</f>
        <v>3330</v>
      </c>
      <c r="AC39" s="4" t="n">
        <f aca="false">'Pricing &amp; Mix'!AC29+'Pricing &amp; Mix'!AC32+'Pricing &amp; Mix'!AC35</f>
        <v>54000</v>
      </c>
      <c r="AD39" s="4" t="n">
        <f aca="false">'Pricing &amp; Mix'!AD29+'Pricing &amp; Mix'!AD32+'Pricing &amp; Mix'!AD35</f>
        <v>112500</v>
      </c>
      <c r="AE39" s="4" t="n">
        <f aca="false">'Pricing &amp; Mix'!AE29+'Pricing &amp; Mix'!AE32+'Pricing &amp; Mix'!AE35</f>
        <v>180000</v>
      </c>
      <c r="AG39" s="4" t="n">
        <f aca="false">SUMIF($C$3:$AE$3,AG$3,$C39:$AE39)</f>
        <v>0</v>
      </c>
      <c r="AH39" s="4" t="n">
        <f aca="false">SUMIF($C$3:$AE$3,AH$3,$C39:$AE39)</f>
        <v>1957.5</v>
      </c>
      <c r="AI39" s="4" t="n">
        <f aca="false">SUMIF($C$3:$AE$3,AI$3,$C39:$AE39)</f>
        <v>17710</v>
      </c>
      <c r="AJ39" s="4" t="n">
        <f aca="false">SUMIF($C$3:$AE$3,AJ$3,$C39:$AE39)</f>
        <v>54000</v>
      </c>
      <c r="AK39" s="4" t="n">
        <f aca="false">SUMIF($C$3:$AE$3,AK$3,$C39:$AE39)</f>
        <v>112500</v>
      </c>
      <c r="AL39" s="4" t="n">
        <f aca="false">SUMIF($C$3:$AE$3,AL$3,$C39:$AE39)</f>
        <v>180000</v>
      </c>
    </row>
    <row r="40" customFormat="false" ht="15" hidden="false" customHeight="false" outlineLevel="0" collapsed="false">
      <c r="A40" s="0" t="s">
        <v>421</v>
      </c>
      <c r="B40" s="2" t="s">
        <v>151</v>
      </c>
      <c r="C40" s="4" t="n">
        <f aca="false">'Pricing &amp; Mix'!C30+'Pricing &amp; Mix'!C33+'Pricing &amp; Mix'!C36</f>
        <v>0</v>
      </c>
      <c r="D40" s="4" t="n">
        <f aca="false">'Pricing &amp; Mix'!D30+'Pricing &amp; Mix'!D33+'Pricing &amp; Mix'!D36</f>
        <v>0</v>
      </c>
      <c r="E40" s="4" t="n">
        <f aca="false">'Pricing &amp; Mix'!E30+'Pricing &amp; Mix'!E33+'Pricing &amp; Mix'!E36</f>
        <v>0</v>
      </c>
      <c r="F40" s="4" t="n">
        <f aca="false">'Pricing &amp; Mix'!F30+'Pricing &amp; Mix'!F33+'Pricing &amp; Mix'!F36</f>
        <v>0</v>
      </c>
      <c r="G40" s="4" t="n">
        <f aca="false">'Pricing &amp; Mix'!G30+'Pricing &amp; Mix'!G33+'Pricing &amp; Mix'!G36</f>
        <v>0</v>
      </c>
      <c r="H40" s="4" t="n">
        <f aca="false">'Pricing &amp; Mix'!H30+'Pricing &amp; Mix'!H33+'Pricing &amp; Mix'!H36</f>
        <v>0</v>
      </c>
      <c r="I40" s="4" t="n">
        <f aca="false">'Pricing &amp; Mix'!I30+'Pricing &amp; Mix'!I33+'Pricing &amp; Mix'!I36</f>
        <v>0</v>
      </c>
      <c r="J40" s="4" t="n">
        <f aca="false">'Pricing &amp; Mix'!J30+'Pricing &amp; Mix'!J33+'Pricing &amp; Mix'!J36</f>
        <v>0</v>
      </c>
      <c r="K40" s="4" t="n">
        <f aca="false">'Pricing &amp; Mix'!K30+'Pricing &amp; Mix'!K33+'Pricing &amp; Mix'!K36</f>
        <v>0</v>
      </c>
      <c r="L40" s="4" t="n">
        <f aca="false">'Pricing &amp; Mix'!L30+'Pricing &amp; Mix'!L33+'Pricing &amp; Mix'!L36</f>
        <v>0</v>
      </c>
      <c r="M40" s="4" t="n">
        <f aca="false">'Pricing &amp; Mix'!M30+'Pricing &amp; Mix'!M33+'Pricing &amp; Mix'!M36</f>
        <v>0</v>
      </c>
      <c r="N40" s="4" t="n">
        <f aca="false">'Pricing &amp; Mix'!N30+'Pricing &amp; Mix'!N33+'Pricing &amp; Mix'!N36</f>
        <v>0</v>
      </c>
      <c r="O40" s="4" t="n">
        <f aca="false">'Pricing &amp; Mix'!O30+'Pricing &amp; Mix'!O33+'Pricing &amp; Mix'!O36</f>
        <v>1000</v>
      </c>
      <c r="P40" s="4" t="n">
        <f aca="false">'Pricing &amp; Mix'!P30+'Pricing &amp; Mix'!P33+'Pricing &amp; Mix'!P36</f>
        <v>740</v>
      </c>
      <c r="Q40" s="4" t="n">
        <f aca="false">'Pricing &amp; Mix'!Q30+'Pricing &amp; Mix'!Q33+'Pricing &amp; Mix'!Q36</f>
        <v>847.5</v>
      </c>
      <c r="R40" s="4" t="n">
        <f aca="false">'Pricing &amp; Mix'!R30+'Pricing &amp; Mix'!R33+'Pricing &amp; Mix'!R36</f>
        <v>634.5</v>
      </c>
      <c r="S40" s="4" t="n">
        <f aca="false">'Pricing &amp; Mix'!S30+'Pricing &amp; Mix'!S33+'Pricing &amp; Mix'!S36</f>
        <v>775.5</v>
      </c>
      <c r="T40" s="4" t="n">
        <f aca="false">'Pricing &amp; Mix'!T30+'Pricing &amp; Mix'!T33+'Pricing &amp; Mix'!T36</f>
        <v>820</v>
      </c>
      <c r="U40" s="4" t="n">
        <f aca="false">'Pricing &amp; Mix'!U30+'Pricing &amp; Mix'!U33+'Pricing &amp; Mix'!U36</f>
        <v>980</v>
      </c>
      <c r="V40" s="4" t="n">
        <f aca="false">'Pricing &amp; Mix'!V30+'Pricing &amp; Mix'!V33+'Pricing &amp; Mix'!V36</f>
        <v>1140</v>
      </c>
      <c r="W40" s="4" t="n">
        <f aca="false">'Pricing &amp; Mix'!W30+'Pricing &amp; Mix'!W33+'Pricing &amp; Mix'!W36</f>
        <v>1340</v>
      </c>
      <c r="X40" s="4" t="n">
        <f aca="false">'Pricing &amp; Mix'!X30+'Pricing &amp; Mix'!X33+'Pricing &amp; Mix'!X36</f>
        <v>1380</v>
      </c>
      <c r="Y40" s="4" t="n">
        <f aca="false">'Pricing &amp; Mix'!Y30+'Pricing &amp; Mix'!Y33+'Pricing &amp; Mix'!Y36</f>
        <v>1300</v>
      </c>
      <c r="Z40" s="4" t="n">
        <f aca="false">'Pricing &amp; Mix'!Z30+'Pricing &amp; Mix'!Z33+'Pricing &amp; Mix'!Z36</f>
        <v>1460</v>
      </c>
      <c r="AA40" s="4" t="n">
        <f aca="false">'Pricing &amp; Mix'!AA30+'Pricing &amp; Mix'!AA33+'Pricing &amp; Mix'!AA36</f>
        <v>2100</v>
      </c>
      <c r="AB40" s="4" t="n">
        <f aca="false">'Pricing &amp; Mix'!AB30+'Pricing &amp; Mix'!AB33+'Pricing &amp; Mix'!AB36</f>
        <v>2960</v>
      </c>
      <c r="AC40" s="4" t="n">
        <f aca="false">'Pricing &amp; Mix'!AC30+'Pricing &amp; Mix'!AC33+'Pricing &amp; Mix'!AC36</f>
        <v>48000</v>
      </c>
      <c r="AD40" s="4" t="n">
        <f aca="false">'Pricing &amp; Mix'!AD30+'Pricing &amp; Mix'!AD33+'Pricing &amp; Mix'!AD36</f>
        <v>100000</v>
      </c>
      <c r="AE40" s="4" t="n">
        <f aca="false">'Pricing &amp; Mix'!AE30+'Pricing &amp; Mix'!AE33+'Pricing &amp; Mix'!AE36</f>
        <v>160000</v>
      </c>
      <c r="AG40" s="4" t="n">
        <f aca="false">SUMIF($C$3:$AE$3,AG$3,$C40:$AE40)</f>
        <v>0</v>
      </c>
      <c r="AH40" s="4" t="n">
        <f aca="false">SUMIF($C$3:$AE$3,AH$3,$C40:$AE40)</f>
        <v>1740</v>
      </c>
      <c r="AI40" s="4" t="n">
        <f aca="false">SUMIF($C$3:$AE$3,AI$3,$C40:$AE40)</f>
        <v>15737.5</v>
      </c>
      <c r="AJ40" s="4" t="n">
        <f aca="false">SUMIF($C$3:$AE$3,AJ$3,$C40:$AE40)</f>
        <v>48000</v>
      </c>
      <c r="AK40" s="4" t="n">
        <f aca="false">SUMIF($C$3:$AE$3,AK$3,$C40:$AE40)</f>
        <v>100000</v>
      </c>
      <c r="AL40" s="4" t="n">
        <f aca="false">SUMIF($C$3:$AE$3,AL$3,$C40:$AE40)</f>
        <v>160000</v>
      </c>
    </row>
    <row r="41" customFormat="false" ht="15" hidden="false" customHeight="false" outlineLevel="0" collapsed="false">
      <c r="A41" s="0" t="s">
        <v>422</v>
      </c>
      <c r="B41" s="2" t="s">
        <v>151</v>
      </c>
      <c r="C41" s="4" t="n">
        <f aca="false">'Pricing &amp; Mix'!C31+'Pricing &amp; Mix'!C34+'Pricing &amp; Mix'!C37</f>
        <v>0</v>
      </c>
      <c r="D41" s="4" t="n">
        <f aca="false">'Pricing &amp; Mix'!D31+'Pricing &amp; Mix'!D34+'Pricing &amp; Mix'!D37</f>
        <v>0</v>
      </c>
      <c r="E41" s="4" t="n">
        <f aca="false">'Pricing &amp; Mix'!E31+'Pricing &amp; Mix'!E34+'Pricing &amp; Mix'!E37</f>
        <v>0</v>
      </c>
      <c r="F41" s="4" t="n">
        <f aca="false">'Pricing &amp; Mix'!F31+'Pricing &amp; Mix'!F34+'Pricing &amp; Mix'!F37</f>
        <v>0</v>
      </c>
      <c r="G41" s="4" t="n">
        <f aca="false">'Pricing &amp; Mix'!G31+'Pricing &amp; Mix'!G34+'Pricing &amp; Mix'!G37</f>
        <v>0</v>
      </c>
      <c r="H41" s="4" t="n">
        <f aca="false">'Pricing &amp; Mix'!H31+'Pricing &amp; Mix'!H34+'Pricing &amp; Mix'!H37</f>
        <v>0</v>
      </c>
      <c r="I41" s="4" t="n">
        <f aca="false">'Pricing &amp; Mix'!I31+'Pricing &amp; Mix'!I34+'Pricing &amp; Mix'!I37</f>
        <v>0</v>
      </c>
      <c r="J41" s="4" t="n">
        <f aca="false">'Pricing &amp; Mix'!J31+'Pricing &amp; Mix'!J34+'Pricing &amp; Mix'!J37</f>
        <v>0</v>
      </c>
      <c r="K41" s="4" t="n">
        <f aca="false">'Pricing &amp; Mix'!K31+'Pricing &amp; Mix'!K34+'Pricing &amp; Mix'!K37</f>
        <v>0</v>
      </c>
      <c r="L41" s="4" t="n">
        <f aca="false">'Pricing &amp; Mix'!L31+'Pricing &amp; Mix'!L34+'Pricing &amp; Mix'!L37</f>
        <v>0</v>
      </c>
      <c r="M41" s="4" t="n">
        <f aca="false">'Pricing &amp; Mix'!M31+'Pricing &amp; Mix'!M34+'Pricing &amp; Mix'!M37</f>
        <v>0</v>
      </c>
      <c r="N41" s="4" t="n">
        <f aca="false">'Pricing &amp; Mix'!N31+'Pricing &amp; Mix'!N34+'Pricing &amp; Mix'!N37</f>
        <v>0</v>
      </c>
      <c r="O41" s="4" t="n">
        <f aca="false">'Pricing &amp; Mix'!O31+'Pricing &amp; Mix'!O34+'Pricing &amp; Mix'!O37</f>
        <v>0</v>
      </c>
      <c r="P41" s="4" t="n">
        <f aca="false">'Pricing &amp; Mix'!P31+'Pricing &amp; Mix'!P34+'Pricing &amp; Mix'!P37</f>
        <v>0</v>
      </c>
      <c r="Q41" s="4" t="n">
        <f aca="false">'Pricing &amp; Mix'!Q31+'Pricing &amp; Mix'!Q34+'Pricing &amp; Mix'!Q37</f>
        <v>0</v>
      </c>
      <c r="R41" s="4" t="n">
        <f aca="false">'Pricing &amp; Mix'!R31+'Pricing &amp; Mix'!R34+'Pricing &amp; Mix'!R37</f>
        <v>375</v>
      </c>
      <c r="S41" s="4" t="n">
        <f aca="false">'Pricing &amp; Mix'!S31+'Pricing &amp; Mix'!S34+'Pricing &amp; Mix'!S37</f>
        <v>375</v>
      </c>
      <c r="T41" s="4" t="n">
        <f aca="false">'Pricing &amp; Mix'!T31+'Pricing &amp; Mix'!T34+'Pricing &amp; Mix'!T37</f>
        <v>307.5</v>
      </c>
      <c r="U41" s="4" t="n">
        <f aca="false">'Pricing &amp; Mix'!U31+'Pricing &amp; Mix'!U34+'Pricing &amp; Mix'!U37</f>
        <v>367.5</v>
      </c>
      <c r="V41" s="4" t="n">
        <f aca="false">'Pricing &amp; Mix'!V31+'Pricing &amp; Mix'!V34+'Pricing &amp; Mix'!V37</f>
        <v>427.5</v>
      </c>
      <c r="W41" s="4" t="n">
        <f aca="false">'Pricing &amp; Mix'!W31+'Pricing &amp; Mix'!W34+'Pricing &amp; Mix'!W37</f>
        <v>502.5</v>
      </c>
      <c r="X41" s="4" t="n">
        <f aca="false">'Pricing &amp; Mix'!X31+'Pricing &amp; Mix'!X34+'Pricing &amp; Mix'!X37</f>
        <v>517.5</v>
      </c>
      <c r="Y41" s="4" t="n">
        <f aca="false">'Pricing &amp; Mix'!Y31+'Pricing &amp; Mix'!Y34+'Pricing &amp; Mix'!Y37</f>
        <v>487.5</v>
      </c>
      <c r="Z41" s="4" t="n">
        <f aca="false">'Pricing &amp; Mix'!Z31+'Pricing &amp; Mix'!Z34+'Pricing &amp; Mix'!Z37</f>
        <v>547.5</v>
      </c>
      <c r="AA41" s="4" t="n">
        <f aca="false">'Pricing &amp; Mix'!AA31+'Pricing &amp; Mix'!AA34+'Pricing &amp; Mix'!AA37</f>
        <v>787.5</v>
      </c>
      <c r="AB41" s="4" t="n">
        <f aca="false">'Pricing &amp; Mix'!AB31+'Pricing &amp; Mix'!AB34+'Pricing &amp; Mix'!AB37</f>
        <v>1110</v>
      </c>
      <c r="AC41" s="4" t="n">
        <f aca="false">'Pricing &amp; Mix'!AC31+'Pricing &amp; Mix'!AC34+'Pricing &amp; Mix'!AC37</f>
        <v>18000</v>
      </c>
      <c r="AD41" s="4" t="n">
        <f aca="false">'Pricing &amp; Mix'!AD31+'Pricing &amp; Mix'!AD34+'Pricing &amp; Mix'!AD37</f>
        <v>37500</v>
      </c>
      <c r="AE41" s="4" t="n">
        <f aca="false">'Pricing &amp; Mix'!AE31+'Pricing &amp; Mix'!AE34+'Pricing &amp; Mix'!AE37</f>
        <v>60000</v>
      </c>
      <c r="AG41" s="4" t="n">
        <f aca="false">SUMIF($C$3:$AE$3,AG$3,$C41:$AE41)</f>
        <v>0</v>
      </c>
      <c r="AH41" s="4" t="n">
        <f aca="false">SUMIF($C$3:$AE$3,AH$3,$C41:$AE41)</f>
        <v>0</v>
      </c>
      <c r="AI41" s="4" t="n">
        <f aca="false">SUMIF($C$3:$AE$3,AI$3,$C41:$AE41)</f>
        <v>5805</v>
      </c>
      <c r="AJ41" s="4" t="n">
        <f aca="false">SUMIF($C$3:$AE$3,AJ$3,$C41:$AE41)</f>
        <v>18000</v>
      </c>
      <c r="AK41" s="4" t="n">
        <f aca="false">SUMIF($C$3:$AE$3,AK$3,$C41:$AE41)</f>
        <v>37500</v>
      </c>
      <c r="AL41" s="4" t="n">
        <f aca="false">SUMIF($C$3:$AE$3,AL$3,$C41:$AE41)</f>
        <v>60000</v>
      </c>
    </row>
    <row r="42" customFormat="false" ht="15" hidden="false" customHeight="false" outlineLevel="0" collapsed="false">
      <c r="A42" s="13" t="s">
        <v>423</v>
      </c>
      <c r="B42" s="2" t="s">
        <v>151</v>
      </c>
      <c r="C42" s="29" t="n">
        <f aca="false">'Pricing &amp; Mix'!C39+'Pricing &amp; Mix'!C40+'Pricing &amp; Mix'!C41</f>
        <v>0</v>
      </c>
      <c r="D42" s="29" t="n">
        <f aca="false">'Pricing &amp; Mix'!D39+'Pricing &amp; Mix'!D40+'Pricing &amp; Mix'!D41</f>
        <v>0</v>
      </c>
      <c r="E42" s="29" t="n">
        <f aca="false">'Pricing &amp; Mix'!E39+'Pricing &amp; Mix'!E40+'Pricing &amp; Mix'!E41</f>
        <v>0</v>
      </c>
      <c r="F42" s="29" t="n">
        <f aca="false">'Pricing &amp; Mix'!F39+'Pricing &amp; Mix'!F40+'Pricing &amp; Mix'!F41</f>
        <v>0</v>
      </c>
      <c r="G42" s="29" t="n">
        <f aca="false">'Pricing &amp; Mix'!G39+'Pricing &amp; Mix'!G40+'Pricing &amp; Mix'!G41</f>
        <v>0</v>
      </c>
      <c r="H42" s="29" t="n">
        <f aca="false">'Pricing &amp; Mix'!H39+'Pricing &amp; Mix'!H40+'Pricing &amp; Mix'!H41</f>
        <v>0</v>
      </c>
      <c r="I42" s="29" t="n">
        <f aca="false">'Pricing &amp; Mix'!I39+'Pricing &amp; Mix'!I40+'Pricing &amp; Mix'!I41</f>
        <v>0</v>
      </c>
      <c r="J42" s="29" t="n">
        <f aca="false">'Pricing &amp; Mix'!J39+'Pricing &amp; Mix'!J40+'Pricing &amp; Mix'!J41</f>
        <v>0</v>
      </c>
      <c r="K42" s="29" t="n">
        <f aca="false">'Pricing &amp; Mix'!K39+'Pricing &amp; Mix'!K40+'Pricing &amp; Mix'!K41</f>
        <v>0</v>
      </c>
      <c r="L42" s="29" t="n">
        <f aca="false">'Pricing &amp; Mix'!L39+'Pricing &amp; Mix'!L40+'Pricing &amp; Mix'!L41</f>
        <v>0</v>
      </c>
      <c r="M42" s="29" t="n">
        <f aca="false">'Pricing &amp; Mix'!M39+'Pricing &amp; Mix'!M40+'Pricing &amp; Mix'!M41</f>
        <v>0</v>
      </c>
      <c r="N42" s="29" t="n">
        <f aca="false">'Pricing &amp; Mix'!N39+'Pricing &amp; Mix'!N40+'Pricing &amp; Mix'!N41</f>
        <v>0</v>
      </c>
      <c r="O42" s="29" t="n">
        <f aca="false">'Pricing &amp; Mix'!O39+'Pricing &amp; Mix'!O40+'Pricing &amp; Mix'!O41</f>
        <v>2125</v>
      </c>
      <c r="P42" s="29" t="n">
        <f aca="false">'Pricing &amp; Mix'!P39+'Pricing &amp; Mix'!P40+'Pricing &amp; Mix'!P41</f>
        <v>1572.5</v>
      </c>
      <c r="Q42" s="29" t="n">
        <f aca="false">'Pricing &amp; Mix'!Q39+'Pricing &amp; Mix'!Q40+'Pricing &amp; Mix'!Q41</f>
        <v>1802.5</v>
      </c>
      <c r="R42" s="29" t="n">
        <f aca="false">'Pricing &amp; Mix'!R39+'Pricing &amp; Mix'!R40+'Pricing &amp; Mix'!R41</f>
        <v>1725</v>
      </c>
      <c r="S42" s="29" t="n">
        <f aca="false">'Pricing &amp; Mix'!S39+'Pricing &amp; Mix'!S40+'Pricing &amp; Mix'!S41</f>
        <v>2025</v>
      </c>
      <c r="T42" s="29" t="n">
        <f aca="false">'Pricing &amp; Mix'!T39+'Pricing &amp; Mix'!T40+'Pricing &amp; Mix'!T41</f>
        <v>2050</v>
      </c>
      <c r="U42" s="29" t="n">
        <f aca="false">'Pricing &amp; Mix'!U39+'Pricing &amp; Mix'!U40+'Pricing &amp; Mix'!U41</f>
        <v>2450</v>
      </c>
      <c r="V42" s="29" t="n">
        <f aca="false">'Pricing &amp; Mix'!V39+'Pricing &amp; Mix'!V40+'Pricing &amp; Mix'!V41</f>
        <v>2850</v>
      </c>
      <c r="W42" s="29" t="n">
        <f aca="false">'Pricing &amp; Mix'!W39+'Pricing &amp; Mix'!W40+'Pricing &amp; Mix'!W41</f>
        <v>3350</v>
      </c>
      <c r="X42" s="29" t="n">
        <f aca="false">'Pricing &amp; Mix'!X39+'Pricing &amp; Mix'!X40+'Pricing &amp; Mix'!X41</f>
        <v>3450</v>
      </c>
      <c r="Y42" s="29" t="n">
        <f aca="false">'Pricing &amp; Mix'!Y39+'Pricing &amp; Mix'!Y40+'Pricing &amp; Mix'!Y41</f>
        <v>3250</v>
      </c>
      <c r="Z42" s="29" t="n">
        <f aca="false">'Pricing &amp; Mix'!Z39+'Pricing &amp; Mix'!Z40+'Pricing &amp; Mix'!Z41</f>
        <v>3650</v>
      </c>
      <c r="AA42" s="29" t="n">
        <f aca="false">'Pricing &amp; Mix'!AA39+'Pricing &amp; Mix'!AA40+'Pricing &amp; Mix'!AA41</f>
        <v>5250</v>
      </c>
      <c r="AB42" s="29" t="n">
        <f aca="false">'Pricing &amp; Mix'!AB39+'Pricing &amp; Mix'!AB40+'Pricing &amp; Mix'!AB41</f>
        <v>7400</v>
      </c>
      <c r="AC42" s="29" t="n">
        <f aca="false">'Pricing &amp; Mix'!AC39+'Pricing &amp; Mix'!AC40+'Pricing &amp; Mix'!AC41</f>
        <v>120000</v>
      </c>
      <c r="AD42" s="29" t="n">
        <f aca="false">'Pricing &amp; Mix'!AD39+'Pricing &amp; Mix'!AD40+'Pricing &amp; Mix'!AD41</f>
        <v>250000</v>
      </c>
      <c r="AE42" s="29" t="n">
        <f aca="false">'Pricing &amp; Mix'!AE39+'Pricing &amp; Mix'!AE40+'Pricing &amp; Mix'!AE41</f>
        <v>400000</v>
      </c>
      <c r="AG42" s="29" t="n">
        <f aca="false">SUMIF($C$3:$AE$3,AG$3,$C42:$AE42)</f>
        <v>0</v>
      </c>
      <c r="AH42" s="29" t="n">
        <f aca="false">SUMIF($C$3:$AE$3,AH$3,$C42:$AE42)</f>
        <v>3697.5</v>
      </c>
      <c r="AI42" s="29" t="n">
        <f aca="false">SUMIF($C$3:$AE$3,AI$3,$C42:$AE42)</f>
        <v>39252.5</v>
      </c>
      <c r="AJ42" s="29" t="n">
        <f aca="false">SUMIF($C$3:$AE$3,AJ$3,$C42:$AE42)</f>
        <v>120000</v>
      </c>
      <c r="AK42" s="29" t="n">
        <f aca="false">SUMIF($C$3:$AE$3,AK$3,$C42:$AE42)</f>
        <v>250000</v>
      </c>
      <c r="AL42" s="29" t="n">
        <f aca="false">SUMIF($C$3:$AE$3,AL$3,$C42:$AE42)</f>
        <v>400000</v>
      </c>
    </row>
    <row r="43" customFormat="false" ht="15" hidden="false" customHeight="false" outlineLevel="0" collapsed="false">
      <c r="A43" s="0" t="s">
        <v>424</v>
      </c>
      <c r="B43" s="2" t="s">
        <v>151</v>
      </c>
      <c r="C43" s="4" t="n">
        <f aca="false">'Pricing &amp; Mix'!C29+'Pricing &amp; Mix'!C30+'Pricing &amp; Mix'!C31</f>
        <v>0</v>
      </c>
      <c r="D43" s="4" t="n">
        <f aca="false">'Pricing &amp; Mix'!D29+'Pricing &amp; Mix'!D30+'Pricing &amp; Mix'!D31</f>
        <v>0</v>
      </c>
      <c r="E43" s="4" t="n">
        <f aca="false">'Pricing &amp; Mix'!E29+'Pricing &amp; Mix'!E30+'Pricing &amp; Mix'!E31</f>
        <v>0</v>
      </c>
      <c r="F43" s="4" t="n">
        <f aca="false">'Pricing &amp; Mix'!F29+'Pricing &amp; Mix'!F30+'Pricing &amp; Mix'!F31</f>
        <v>0</v>
      </c>
      <c r="G43" s="4" t="n">
        <f aca="false">'Pricing &amp; Mix'!G29+'Pricing &amp; Mix'!G30+'Pricing &amp; Mix'!G31</f>
        <v>0</v>
      </c>
      <c r="H43" s="4" t="n">
        <f aca="false">'Pricing &amp; Mix'!H29+'Pricing &amp; Mix'!H30+'Pricing &amp; Mix'!H31</f>
        <v>0</v>
      </c>
      <c r="I43" s="4" t="n">
        <f aca="false">'Pricing &amp; Mix'!I29+'Pricing &amp; Mix'!I30+'Pricing &amp; Mix'!I31</f>
        <v>0</v>
      </c>
      <c r="J43" s="4" t="n">
        <f aca="false">'Pricing &amp; Mix'!J29+'Pricing &amp; Mix'!J30+'Pricing &amp; Mix'!J31</f>
        <v>0</v>
      </c>
      <c r="K43" s="4" t="n">
        <f aca="false">'Pricing &amp; Mix'!K29+'Pricing &amp; Mix'!K30+'Pricing &amp; Mix'!K31</f>
        <v>0</v>
      </c>
      <c r="L43" s="4" t="n">
        <f aca="false">'Pricing &amp; Mix'!L29+'Pricing &amp; Mix'!L30+'Pricing &amp; Mix'!L31</f>
        <v>0</v>
      </c>
      <c r="M43" s="4" t="n">
        <f aca="false">'Pricing &amp; Mix'!M29+'Pricing &amp; Mix'!M30+'Pricing &amp; Mix'!M31</f>
        <v>0</v>
      </c>
      <c r="N43" s="4" t="n">
        <f aca="false">'Pricing &amp; Mix'!N29+'Pricing &amp; Mix'!N30+'Pricing &amp; Mix'!N31</f>
        <v>0</v>
      </c>
      <c r="O43" s="4" t="n">
        <f aca="false">'Pricing &amp; Mix'!O29+'Pricing &amp; Mix'!O30+'Pricing &amp; Mix'!O31</f>
        <v>0</v>
      </c>
      <c r="P43" s="4" t="n">
        <f aca="false">'Pricing &amp; Mix'!P29+'Pricing &amp; Mix'!P30+'Pricing &amp; Mix'!P31</f>
        <v>0</v>
      </c>
      <c r="Q43" s="4" t="n">
        <f aca="false">'Pricing &amp; Mix'!Q29+'Pricing &amp; Mix'!Q30+'Pricing &amp; Mix'!Q31</f>
        <v>1125</v>
      </c>
      <c r="R43" s="4" t="n">
        <f aca="false">'Pricing &amp; Mix'!R29+'Pricing &amp; Mix'!R30+'Pricing &amp; Mix'!R31</f>
        <v>1215</v>
      </c>
      <c r="S43" s="4" t="n">
        <f aca="false">'Pricing &amp; Mix'!S29+'Pricing &amp; Mix'!S30+'Pricing &amp; Mix'!S31</f>
        <v>1485</v>
      </c>
      <c r="T43" s="4" t="n">
        <f aca="false">'Pricing &amp; Mix'!T29+'Pricing &amp; Mix'!T30+'Pricing &amp; Mix'!T31</f>
        <v>1845</v>
      </c>
      <c r="U43" s="4" t="n">
        <f aca="false">'Pricing &amp; Mix'!U29+'Pricing &amp; Mix'!U30+'Pricing &amp; Mix'!U31</f>
        <v>2205</v>
      </c>
      <c r="V43" s="4" t="n">
        <f aca="false">'Pricing &amp; Mix'!V29+'Pricing &amp; Mix'!V30+'Pricing &amp; Mix'!V31</f>
        <v>2565</v>
      </c>
      <c r="W43" s="4" t="n">
        <f aca="false">'Pricing &amp; Mix'!W29+'Pricing &amp; Mix'!W30+'Pricing &amp; Mix'!W31</f>
        <v>2512.5</v>
      </c>
      <c r="X43" s="4" t="n">
        <f aca="false">'Pricing &amp; Mix'!X29+'Pricing &amp; Mix'!X30+'Pricing &amp; Mix'!X31</f>
        <v>2587.5</v>
      </c>
      <c r="Y43" s="4" t="n">
        <f aca="false">'Pricing &amp; Mix'!Y29+'Pricing &amp; Mix'!Y30+'Pricing &amp; Mix'!Y31</f>
        <v>2437.5</v>
      </c>
      <c r="Z43" s="4" t="n">
        <f aca="false">'Pricing &amp; Mix'!Z29+'Pricing &amp; Mix'!Z30+'Pricing &amp; Mix'!Z31</f>
        <v>2737.5</v>
      </c>
      <c r="AA43" s="4" t="n">
        <f aca="false">'Pricing &amp; Mix'!AA29+'Pricing &amp; Mix'!AA30+'Pricing &amp; Mix'!AA31</f>
        <v>3937.5</v>
      </c>
      <c r="AB43" s="4" t="n">
        <f aca="false">'Pricing &amp; Mix'!AB29+'Pricing &amp; Mix'!AB30+'Pricing &amp; Mix'!AB31</f>
        <v>5550</v>
      </c>
      <c r="AC43" s="4" t="n">
        <f aca="false">'Pricing &amp; Mix'!AC29+'Pricing &amp; Mix'!AC30+'Pricing &amp; Mix'!AC31</f>
        <v>84000</v>
      </c>
      <c r="AD43" s="4" t="n">
        <f aca="false">'Pricing &amp; Mix'!AD29+'Pricing &amp; Mix'!AD30+'Pricing &amp; Mix'!AD31</f>
        <v>162500</v>
      </c>
      <c r="AE43" s="4" t="n">
        <f aca="false">'Pricing &amp; Mix'!AE29+'Pricing &amp; Mix'!AE30+'Pricing &amp; Mix'!AE31</f>
        <v>260000</v>
      </c>
      <c r="AG43" s="4" t="n">
        <f aca="false">SUMIF($C$3:$AE$3,AG$3,$C43:$AE43)</f>
        <v>0</v>
      </c>
      <c r="AH43" s="4" t="n">
        <f aca="false">SUMIF($C$3:$AE$3,AH$3,$C43:$AE43)</f>
        <v>0</v>
      </c>
      <c r="AI43" s="4" t="n">
        <f aca="false">SUMIF($C$3:$AE$3,AI$3,$C43:$AE43)</f>
        <v>30202.5</v>
      </c>
      <c r="AJ43" s="4" t="n">
        <f aca="false">SUMIF($C$3:$AE$3,AJ$3,$C43:$AE43)</f>
        <v>84000</v>
      </c>
      <c r="AK43" s="4" t="n">
        <f aca="false">SUMIF($C$3:$AE$3,AK$3,$C43:$AE43)</f>
        <v>162500</v>
      </c>
      <c r="AL43" s="4" t="n">
        <f aca="false">SUMIF($C$3:$AE$3,AL$3,$C43:$AE43)</f>
        <v>260000</v>
      </c>
    </row>
    <row r="44" customFormat="false" ht="15" hidden="false" customHeight="false" outlineLevel="0" collapsed="false">
      <c r="A44" s="0" t="s">
        <v>425</v>
      </c>
      <c r="B44" s="2" t="s">
        <v>151</v>
      </c>
      <c r="C44" s="4" t="n">
        <f aca="false">'Pricing &amp; Mix'!C32+'Pricing &amp; Mix'!C33+'Pricing &amp; Mix'!C34</f>
        <v>0</v>
      </c>
      <c r="D44" s="4" t="n">
        <f aca="false">'Pricing &amp; Mix'!D32+'Pricing &amp; Mix'!D33+'Pricing &amp; Mix'!D34</f>
        <v>0</v>
      </c>
      <c r="E44" s="4" t="n">
        <f aca="false">'Pricing &amp; Mix'!E32+'Pricing &amp; Mix'!E33+'Pricing &amp; Mix'!E34</f>
        <v>0</v>
      </c>
      <c r="F44" s="4" t="n">
        <f aca="false">'Pricing &amp; Mix'!F32+'Pricing &amp; Mix'!F33+'Pricing &amp; Mix'!F34</f>
        <v>0</v>
      </c>
      <c r="G44" s="4" t="n">
        <f aca="false">'Pricing &amp; Mix'!G32+'Pricing &amp; Mix'!G33+'Pricing &amp; Mix'!G34</f>
        <v>0</v>
      </c>
      <c r="H44" s="4" t="n">
        <f aca="false">'Pricing &amp; Mix'!H32+'Pricing &amp; Mix'!H33+'Pricing &amp; Mix'!H34</f>
        <v>0</v>
      </c>
      <c r="I44" s="4" t="n">
        <f aca="false">'Pricing &amp; Mix'!I32+'Pricing &amp; Mix'!I33+'Pricing &amp; Mix'!I34</f>
        <v>0</v>
      </c>
      <c r="J44" s="4" t="n">
        <f aca="false">'Pricing &amp; Mix'!J32+'Pricing &amp; Mix'!J33+'Pricing &amp; Mix'!J34</f>
        <v>0</v>
      </c>
      <c r="K44" s="4" t="n">
        <f aca="false">'Pricing &amp; Mix'!K32+'Pricing &amp; Mix'!K33+'Pricing &amp; Mix'!K34</f>
        <v>0</v>
      </c>
      <c r="L44" s="4" t="n">
        <f aca="false">'Pricing &amp; Mix'!L32+'Pricing &amp; Mix'!L33+'Pricing &amp; Mix'!L34</f>
        <v>0</v>
      </c>
      <c r="M44" s="4" t="n">
        <f aca="false">'Pricing &amp; Mix'!M32+'Pricing &amp; Mix'!M33+'Pricing &amp; Mix'!M34</f>
        <v>0</v>
      </c>
      <c r="N44" s="4" t="n">
        <f aca="false">'Pricing &amp; Mix'!N32+'Pricing &amp; Mix'!N33+'Pricing &amp; Mix'!N34</f>
        <v>0</v>
      </c>
      <c r="O44" s="4" t="n">
        <f aca="false">'Pricing &amp; Mix'!O32+'Pricing &amp; Mix'!O33+'Pricing &amp; Mix'!O34</f>
        <v>0</v>
      </c>
      <c r="P44" s="4" t="n">
        <f aca="false">'Pricing &amp; Mix'!P32+'Pricing &amp; Mix'!P33+'Pricing &amp; Mix'!P34</f>
        <v>0</v>
      </c>
      <c r="Q44" s="4" t="n">
        <f aca="false">'Pricing &amp; Mix'!Q32+'Pricing &amp; Mix'!Q33+'Pricing &amp; Mix'!Q34</f>
        <v>125</v>
      </c>
      <c r="R44" s="4" t="n">
        <f aca="false">'Pricing &amp; Mix'!R32+'Pricing &amp; Mix'!R33+'Pricing &amp; Mix'!R34</f>
        <v>135</v>
      </c>
      <c r="S44" s="4" t="n">
        <f aca="false">'Pricing &amp; Mix'!S32+'Pricing &amp; Mix'!S33+'Pricing &amp; Mix'!S34</f>
        <v>165</v>
      </c>
      <c r="T44" s="4" t="n">
        <f aca="false">'Pricing &amp; Mix'!T32+'Pricing &amp; Mix'!T33+'Pricing &amp; Mix'!T34</f>
        <v>205</v>
      </c>
      <c r="U44" s="4" t="n">
        <f aca="false">'Pricing &amp; Mix'!U32+'Pricing &amp; Mix'!U33+'Pricing &amp; Mix'!U34</f>
        <v>245</v>
      </c>
      <c r="V44" s="4" t="n">
        <f aca="false">'Pricing &amp; Mix'!V32+'Pricing &amp; Mix'!V33+'Pricing &amp; Mix'!V34</f>
        <v>285</v>
      </c>
      <c r="W44" s="4" t="n">
        <f aca="false">'Pricing &amp; Mix'!W32+'Pricing &amp; Mix'!W33+'Pricing &amp; Mix'!W34</f>
        <v>837.5</v>
      </c>
      <c r="X44" s="4" t="n">
        <f aca="false">'Pricing &amp; Mix'!X32+'Pricing &amp; Mix'!X33+'Pricing &amp; Mix'!X34</f>
        <v>862.5</v>
      </c>
      <c r="Y44" s="4" t="n">
        <f aca="false">'Pricing &amp; Mix'!Y32+'Pricing &amp; Mix'!Y33+'Pricing &amp; Mix'!Y34</f>
        <v>812.5</v>
      </c>
      <c r="Z44" s="4" t="n">
        <f aca="false">'Pricing &amp; Mix'!Z32+'Pricing &amp; Mix'!Z33+'Pricing &amp; Mix'!Z34</f>
        <v>912.5</v>
      </c>
      <c r="AA44" s="4" t="n">
        <f aca="false">'Pricing &amp; Mix'!AA32+'Pricing &amp; Mix'!AA33+'Pricing &amp; Mix'!AA34</f>
        <v>1312.5</v>
      </c>
      <c r="AB44" s="4" t="n">
        <f aca="false">'Pricing &amp; Mix'!AB32+'Pricing &amp; Mix'!AB33+'Pricing &amp; Mix'!AB34</f>
        <v>1850</v>
      </c>
      <c r="AC44" s="4" t="n">
        <f aca="false">'Pricing &amp; Mix'!AC32+'Pricing &amp; Mix'!AC33+'Pricing &amp; Mix'!AC34</f>
        <v>36000</v>
      </c>
      <c r="AD44" s="4" t="n">
        <f aca="false">'Pricing &amp; Mix'!AD32+'Pricing &amp; Mix'!AD33+'Pricing &amp; Mix'!AD34</f>
        <v>87500</v>
      </c>
      <c r="AE44" s="4" t="n">
        <f aca="false">'Pricing &amp; Mix'!AE32+'Pricing &amp; Mix'!AE33+'Pricing &amp; Mix'!AE34</f>
        <v>140000</v>
      </c>
      <c r="AG44" s="4" t="n">
        <f aca="false">SUMIF($C$3:$AE$3,AG$3,$C44:$AE44)</f>
        <v>0</v>
      </c>
      <c r="AH44" s="4" t="n">
        <f aca="false">SUMIF($C$3:$AE$3,AH$3,$C44:$AE44)</f>
        <v>0</v>
      </c>
      <c r="AI44" s="4" t="n">
        <f aca="false">SUMIF($C$3:$AE$3,AI$3,$C44:$AE44)</f>
        <v>7747.5</v>
      </c>
      <c r="AJ44" s="4" t="n">
        <f aca="false">SUMIF($C$3:$AE$3,AJ$3,$C44:$AE44)</f>
        <v>36000</v>
      </c>
      <c r="AK44" s="4" t="n">
        <f aca="false">SUMIF($C$3:$AE$3,AK$3,$C44:$AE44)</f>
        <v>87500</v>
      </c>
      <c r="AL44" s="4" t="n">
        <f aca="false">SUMIF($C$3:$AE$3,AL$3,$C44:$AE44)</f>
        <v>140000</v>
      </c>
    </row>
    <row r="45" customFormat="false" ht="15" hidden="false" customHeight="false" outlineLevel="0" collapsed="false">
      <c r="A45" s="0" t="s">
        <v>426</v>
      </c>
      <c r="B45" s="2" t="s">
        <v>151</v>
      </c>
      <c r="C45" s="4" t="n">
        <f aca="false">SUM('Pricing &amp; Mix'!$C42:C42)</f>
        <v>0</v>
      </c>
      <c r="D45" s="4" t="n">
        <f aca="false">SUM('Pricing &amp; Mix'!$C42:D42)</f>
        <v>0</v>
      </c>
      <c r="E45" s="4" t="n">
        <f aca="false">SUM('Pricing &amp; Mix'!$C42:E42)</f>
        <v>0</v>
      </c>
      <c r="F45" s="4" t="n">
        <f aca="false">SUM('Pricing &amp; Mix'!$C42:F42)</f>
        <v>0</v>
      </c>
      <c r="G45" s="4" t="n">
        <f aca="false">SUM('Pricing &amp; Mix'!$C42:G42)</f>
        <v>0</v>
      </c>
      <c r="H45" s="4" t="n">
        <f aca="false">SUM('Pricing &amp; Mix'!$C42:H42)</f>
        <v>0</v>
      </c>
      <c r="I45" s="4" t="n">
        <f aca="false">SUM('Pricing &amp; Mix'!$C42:I42)</f>
        <v>0</v>
      </c>
      <c r="J45" s="4" t="n">
        <f aca="false">SUM('Pricing &amp; Mix'!$C42:J42)</f>
        <v>0</v>
      </c>
      <c r="K45" s="4" t="n">
        <f aca="false">SUM('Pricing &amp; Mix'!$C42:K42)</f>
        <v>0</v>
      </c>
      <c r="L45" s="4" t="n">
        <f aca="false">SUM('Pricing &amp; Mix'!$C42:L42)</f>
        <v>0</v>
      </c>
      <c r="M45" s="4" t="n">
        <f aca="false">SUM('Pricing &amp; Mix'!$C42:M42)</f>
        <v>0</v>
      </c>
      <c r="N45" s="4" t="n">
        <f aca="false">SUM('Pricing &amp; Mix'!$C42:N42)</f>
        <v>0</v>
      </c>
      <c r="O45" s="4" t="n">
        <f aca="false">SUM('Pricing &amp; Mix'!$C42:O42)</f>
        <v>2125</v>
      </c>
      <c r="P45" s="4" t="n">
        <f aca="false">SUM('Pricing &amp; Mix'!$C42:P42)</f>
        <v>3697.5</v>
      </c>
      <c r="Q45" s="4" t="n">
        <f aca="false">SUM('Pricing &amp; Mix'!$C42:Q42)</f>
        <v>5500</v>
      </c>
      <c r="R45" s="4" t="n">
        <f aca="false">SUM('Pricing &amp; Mix'!$C42:R42)</f>
        <v>7225</v>
      </c>
      <c r="S45" s="4" t="n">
        <f aca="false">SUM('Pricing &amp; Mix'!$C42:S42)</f>
        <v>9250</v>
      </c>
      <c r="T45" s="4" t="n">
        <f aca="false">SUM('Pricing &amp; Mix'!$C42:T42)</f>
        <v>11300</v>
      </c>
      <c r="U45" s="4" t="n">
        <f aca="false">SUM('Pricing &amp; Mix'!$C42:U42)</f>
        <v>13750</v>
      </c>
      <c r="V45" s="4" t="n">
        <f aca="false">SUM('Pricing &amp; Mix'!$C42:V42)</f>
        <v>16600</v>
      </c>
      <c r="W45" s="4" t="n">
        <f aca="false">SUM('Pricing &amp; Mix'!$C42:W42)</f>
        <v>19950</v>
      </c>
      <c r="X45" s="4" t="n">
        <f aca="false">SUM('Pricing &amp; Mix'!$C42:X42)</f>
        <v>23400</v>
      </c>
      <c r="Y45" s="4" t="n">
        <f aca="false">SUM('Pricing &amp; Mix'!$C42:Y42)</f>
        <v>26650</v>
      </c>
      <c r="Z45" s="4" t="n">
        <f aca="false">SUM('Pricing &amp; Mix'!$C42:Z42)</f>
        <v>30300</v>
      </c>
      <c r="AA45" s="4" t="n">
        <f aca="false">SUM('Pricing &amp; Mix'!$C42:AA42)</f>
        <v>35550</v>
      </c>
      <c r="AB45" s="4" t="n">
        <f aca="false">SUM('Pricing &amp; Mix'!$C42:AB42)</f>
        <v>42950</v>
      </c>
      <c r="AC45" s="4" t="n">
        <f aca="false">SUM('Pricing &amp; Mix'!$C42:AC42)</f>
        <v>162950</v>
      </c>
      <c r="AD45" s="4" t="n">
        <f aca="false">SUM('Pricing &amp; Mix'!$C42:AD42)</f>
        <v>412950</v>
      </c>
      <c r="AE45" s="4" t="n">
        <f aca="false">SUM('Pricing &amp; Mix'!$C42:AE42)</f>
        <v>812950</v>
      </c>
      <c r="AG45" s="4" t="n">
        <f aca="false">D45</f>
        <v>0</v>
      </c>
      <c r="AH45" s="4" t="n">
        <f aca="false">P45</f>
        <v>3697.5</v>
      </c>
      <c r="AI45" s="4" t="n">
        <f aca="false">AB45</f>
        <v>42950</v>
      </c>
      <c r="AJ45" s="4" t="n">
        <f aca="false">AC45</f>
        <v>162950</v>
      </c>
      <c r="AK45" s="4" t="n">
        <f aca="false">AD45</f>
        <v>412950</v>
      </c>
      <c r="AL45" s="4" t="n">
        <f aca="false">AE45</f>
        <v>812950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5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427</v>
      </c>
    </row>
    <row r="3" customFormat="false" ht="15" hidden="false" customHeight="false" outlineLevel="0" collapsed="false">
      <c r="B3" s="3" t="s">
        <v>428</v>
      </c>
      <c r="C3" s="3" t="s">
        <v>429</v>
      </c>
      <c r="D3" s="3" t="s">
        <v>430</v>
      </c>
      <c r="E3" s="3" t="s">
        <v>431</v>
      </c>
      <c r="F3" s="3" t="s">
        <v>432</v>
      </c>
      <c r="G3" s="3" t="s">
        <v>433</v>
      </c>
      <c r="I3" s="13" t="s">
        <v>434</v>
      </c>
    </row>
    <row r="4" customFormat="false" ht="15" hidden="false" customHeight="false" outlineLevel="0" collapsed="false">
      <c r="A4" s="30" t="s">
        <v>435</v>
      </c>
      <c r="B4" s="28" t="n">
        <f aca="false">msrp_peb*sc_price</f>
        <v>149</v>
      </c>
      <c r="C4" s="28" t="n">
        <f aca="false">msrp_sq*sc_price</f>
        <v>299</v>
      </c>
      <c r="D4" s="28" t="n">
        <f aca="false">msrp_atl*sc_price</f>
        <v>599</v>
      </c>
      <c r="E4" s="28" t="n">
        <f aca="false">msrp_peb*sc_price</f>
        <v>149</v>
      </c>
      <c r="F4" s="28" t="n">
        <f aca="false">msrp_sq*sc_price</f>
        <v>299</v>
      </c>
      <c r="G4" s="28" t="n">
        <f aca="false">msrp_atl*sc_price</f>
        <v>599</v>
      </c>
    </row>
    <row r="5" customFormat="false" ht="15" hidden="false" customHeight="false" outlineLevel="0" collapsed="false">
      <c r="A5" s="30" t="s">
        <v>436</v>
      </c>
      <c r="B5" s="28" t="n">
        <f aca="false">-B4*dtc_disc</f>
        <v>-8.94</v>
      </c>
      <c r="C5" s="28" t="n">
        <f aca="false">-C4*dtc_disc</f>
        <v>-17.94</v>
      </c>
      <c r="D5" s="28" t="n">
        <f aca="false">-D4*dtc_disc</f>
        <v>-35.94</v>
      </c>
      <c r="E5" s="28" t="n">
        <f aca="false">-E4*retail_margin</f>
        <v>-56.62</v>
      </c>
      <c r="F5" s="28" t="n">
        <f aca="false">-F4*retail_margin</f>
        <v>-113.62</v>
      </c>
      <c r="G5" s="28" t="n">
        <f aca="false">-G4*retail_margin</f>
        <v>-227.62</v>
      </c>
      <c r="I5" s="2" t="s">
        <v>437</v>
      </c>
    </row>
    <row r="6" customFormat="false" ht="15" hidden="false" customHeight="false" outlineLevel="0" collapsed="false">
      <c r="A6" s="30" t="s">
        <v>438</v>
      </c>
      <c r="B6" s="28" t="n">
        <f aca="false">-(B4+B5)*returns_pct</f>
        <v>-5.6024</v>
      </c>
      <c r="C6" s="28" t="n">
        <f aca="false">-(C4+C5)*returns_pct</f>
        <v>-11.2424</v>
      </c>
      <c r="D6" s="28" t="n">
        <f aca="false">-(D4+D5)*returns_pct</f>
        <v>-22.5224</v>
      </c>
      <c r="E6" s="28" t="n">
        <f aca="false">-(E4+E5)*returns_pct</f>
        <v>-3.6952</v>
      </c>
      <c r="F6" s="28" t="n">
        <f aca="false">-(F4+F5)*returns_pct</f>
        <v>-7.4152</v>
      </c>
      <c r="G6" s="28" t="n">
        <f aca="false">-(G4+G5)*returns_pct</f>
        <v>-14.8552</v>
      </c>
    </row>
    <row r="7" customFormat="false" ht="15" hidden="false" customHeight="false" outlineLevel="0" collapsed="false">
      <c r="A7" s="13" t="s">
        <v>439</v>
      </c>
      <c r="B7" s="31" t="n">
        <f aca="false">B4+B5+B6</f>
        <v>134.4576</v>
      </c>
      <c r="C7" s="31" t="n">
        <f aca="false">C4+C5+C6</f>
        <v>269.8176</v>
      </c>
      <c r="D7" s="31" t="n">
        <f aca="false">D4+D5+D6</f>
        <v>540.5376</v>
      </c>
      <c r="E7" s="31" t="n">
        <f aca="false">E4+E5+E6</f>
        <v>88.6848</v>
      </c>
      <c r="F7" s="31" t="n">
        <f aca="false">F4+F5+F6</f>
        <v>177.9648</v>
      </c>
      <c r="G7" s="31" t="n">
        <f aca="false">G4+G5+G6</f>
        <v>356.5248</v>
      </c>
    </row>
    <row r="8" customFormat="false" ht="15" hidden="false" customHeight="false" outlineLevel="0" collapsed="false">
      <c r="A8" s="30" t="s">
        <v>440</v>
      </c>
      <c r="B8" s="28" t="n">
        <f aca="false">-(bom_peb+asm_peb+pkg_peb)*(1+freight_duty)*sc_cogs</f>
        <v>-62.6503</v>
      </c>
      <c r="C8" s="28" t="n">
        <f aca="false">-(bom_sq+asm_sq+pkg_sq)*(1+freight_duty)*sc_cogs</f>
        <v>-227.1591</v>
      </c>
      <c r="D8" s="28" t="n">
        <f aca="false">-(bom_atl+asm_atl+pkg_atl)*(1+freight_duty)*sc_cogs</f>
        <v>-317.3925</v>
      </c>
      <c r="E8" s="28" t="n">
        <f aca="false">-(bom_peb+asm_peb+pkg_peb)*(1+freight_duty)*sc_cogs</f>
        <v>-62.6503</v>
      </c>
      <c r="F8" s="28" t="n">
        <f aca="false">-(bom_sq+asm_sq+pkg_sq)*(1+freight_duty)*sc_cogs</f>
        <v>-227.1591</v>
      </c>
      <c r="G8" s="28" t="n">
        <f aca="false">-(bom_atl+asm_atl+pkg_atl)*(1+freight_duty)*sc_cogs</f>
        <v>-317.3925</v>
      </c>
      <c r="I8" s="2" t="s">
        <v>441</v>
      </c>
    </row>
    <row r="9" customFormat="false" ht="15" hidden="false" customHeight="false" outlineLevel="0" collapsed="false">
      <c r="A9" s="30" t="s">
        <v>442</v>
      </c>
      <c r="B9" s="28" t="n">
        <f aca="false">-dtc_ship</f>
        <v>-11</v>
      </c>
      <c r="C9" s="28" t="n">
        <f aca="false">-dtc_ship</f>
        <v>-11</v>
      </c>
      <c r="D9" s="28" t="n">
        <f aca="false">-dtc_ship</f>
        <v>-11</v>
      </c>
      <c r="E9" s="28" t="n">
        <f aca="false">-retail_dist</f>
        <v>-4</v>
      </c>
      <c r="F9" s="28" t="n">
        <f aca="false">-retail_dist</f>
        <v>-4</v>
      </c>
      <c r="G9" s="28" t="n">
        <f aca="false">-retail_dist</f>
        <v>-4</v>
      </c>
    </row>
    <row r="10" customFormat="false" ht="15" hidden="false" customHeight="false" outlineLevel="0" collapsed="false">
      <c r="A10" s="30" t="s">
        <v>443</v>
      </c>
      <c r="B10" s="28" t="n">
        <f aca="false">-((B4+B5)*pay_pct+pay_fixed)</f>
        <v>-4.36174</v>
      </c>
      <c r="C10" s="28" t="n">
        <f aca="false">-((C4+C5)*pay_pct+pay_fixed)</f>
        <v>-8.45074</v>
      </c>
      <c r="D10" s="28" t="n">
        <f aca="false">-((D4+D5)*pay_pct+pay_fixed)</f>
        <v>-16.62874</v>
      </c>
      <c r="E10" s="28" t="n">
        <f aca="false">0</f>
        <v>0</v>
      </c>
      <c r="F10" s="28" t="n">
        <f aca="false">0</f>
        <v>0</v>
      </c>
      <c r="G10" s="28" t="n">
        <f aca="false">0</f>
        <v>0</v>
      </c>
    </row>
    <row r="11" customFormat="false" ht="15" hidden="false" customHeight="false" outlineLevel="0" collapsed="false">
      <c r="A11" s="30" t="s">
        <v>444</v>
      </c>
      <c r="B11" s="28" t="n">
        <f aca="false">-(B4+B5)*warranty_pct</f>
        <v>-2.8012</v>
      </c>
      <c r="C11" s="28" t="n">
        <f aca="false">-(C4+C5)*warranty_pct</f>
        <v>-5.6212</v>
      </c>
      <c r="D11" s="28" t="n">
        <f aca="false">-(D4+D5)*warranty_pct</f>
        <v>-11.2612</v>
      </c>
      <c r="E11" s="28" t="n">
        <f aca="false">-(E4+E5)*warranty_pct</f>
        <v>-1.8476</v>
      </c>
      <c r="F11" s="28" t="n">
        <f aca="false">-(F4+F5)*warranty_pct</f>
        <v>-3.7076</v>
      </c>
      <c r="G11" s="28" t="n">
        <f aca="false">-(G4+G5)*warranty_pct</f>
        <v>-7.4276</v>
      </c>
    </row>
    <row r="12" customFormat="false" ht="15" hidden="false" customHeight="false" outlineLevel="0" collapsed="false">
      <c r="A12" s="13" t="s">
        <v>445</v>
      </c>
      <c r="B12" s="31" t="n">
        <f aca="false">B7+B8+B9+B10+B11</f>
        <v>53.64436</v>
      </c>
      <c r="C12" s="31" t="n">
        <f aca="false">C7+C8+C9+C10+C11</f>
        <v>17.58656</v>
      </c>
      <c r="D12" s="31" t="n">
        <f aca="false">D7+D8+D9+D10+D11</f>
        <v>184.25516</v>
      </c>
      <c r="E12" s="31" t="n">
        <f aca="false">E7+E8+E9+E10+E11</f>
        <v>20.1869</v>
      </c>
      <c r="F12" s="31" t="n">
        <f aca="false">F7+F8+F9+F10+F11</f>
        <v>-56.9019</v>
      </c>
      <c r="G12" s="31" t="n">
        <f aca="false">G7+G8+G9+G10+G11</f>
        <v>27.7047</v>
      </c>
    </row>
    <row r="13" customFormat="false" ht="15" hidden="false" customHeight="false" outlineLevel="0" collapsed="false">
      <c r="A13" s="30" t="s">
        <v>17</v>
      </c>
      <c r="B13" s="5" t="n">
        <f aca="false">IF(B7&gt;0,B12/B7,0)</f>
        <v>0.398968596791851</v>
      </c>
      <c r="C13" s="5" t="n">
        <f aca="false">IF(C7&gt;0,C12/C7,0)</f>
        <v>0.0651794397400318</v>
      </c>
      <c r="D13" s="5" t="n">
        <f aca="false">IF(D7&gt;0,D12/D7,0)</f>
        <v>0.340873900354018</v>
      </c>
      <c r="E13" s="5" t="n">
        <f aca="false">IF(E7&gt;0,E12/E7,0)</f>
        <v>0.227625252579923</v>
      </c>
      <c r="F13" s="5" t="n">
        <f aca="false">IF(F7&gt;0,F12/F7,0)</f>
        <v>-0.319736824360773</v>
      </c>
      <c r="G13" s="5" t="n">
        <f aca="false">IF(G7&gt;0,G12/G7,0)</f>
        <v>0.0777076377295492</v>
      </c>
    </row>
    <row r="14" customFormat="false" ht="15" hidden="false" customHeight="false" outlineLevel="0" collapsed="false">
      <c r="A14" s="30" t="s">
        <v>446</v>
      </c>
      <c r="B14" s="28" t="n">
        <f aca="false">-Assumptions!V113*sc_cac</f>
        <v>-60</v>
      </c>
      <c r="C14" s="28" t="n">
        <f aca="false">-Assumptions!V113*sc_cac</f>
        <v>-60</v>
      </c>
      <c r="D14" s="28" t="n">
        <f aca="false">-Assumptions!V113*sc_cac</f>
        <v>-60</v>
      </c>
      <c r="E14" s="28" t="n">
        <f aca="false">-(E4+E5)*retail_coop</f>
        <v>-5.5428</v>
      </c>
      <c r="F14" s="28" t="n">
        <f aca="false">-(F4+F5)*retail_coop</f>
        <v>-11.1228</v>
      </c>
      <c r="G14" s="28" t="n">
        <f aca="false">-(G4+G5)*retail_coop</f>
        <v>-22.2828</v>
      </c>
      <c r="I14" s="2" t="s">
        <v>447</v>
      </c>
    </row>
    <row r="15" customFormat="false" ht="15" hidden="false" customHeight="false" outlineLevel="0" collapsed="false">
      <c r="A15" s="13" t="s">
        <v>448</v>
      </c>
      <c r="B15" s="31" t="n">
        <f aca="false">B12+B14</f>
        <v>-6.35563999999999</v>
      </c>
      <c r="C15" s="31" t="n">
        <f aca="false">C12+C14</f>
        <v>-42.41344</v>
      </c>
      <c r="D15" s="31" t="n">
        <f aca="false">D12+D14</f>
        <v>124.25516</v>
      </c>
      <c r="E15" s="31" t="n">
        <f aca="false">E12+E14</f>
        <v>14.6441</v>
      </c>
      <c r="F15" s="31" t="n">
        <f aca="false">F12+F14</f>
        <v>-68.0247</v>
      </c>
      <c r="G15" s="31" t="n">
        <f aca="false">G12+G14</f>
        <v>5.42189999999999</v>
      </c>
    </row>
    <row r="16" customFormat="false" ht="15" hidden="false" customHeight="false" outlineLevel="0" collapsed="false">
      <c r="A16" s="30" t="s">
        <v>449</v>
      </c>
      <c r="B16" s="28" t="n">
        <f aca="false">acc_attach*acc_aov*sc_price*(1-acc_cogs_pct)</f>
        <v>8.37</v>
      </c>
      <c r="C16" s="28" t="n">
        <f aca="false">acc_attach*acc_aov*sc_price*(1-acc_cogs_pct)</f>
        <v>8.37</v>
      </c>
      <c r="D16" s="28" t="n">
        <f aca="false">acc_attach*acc_aov*sc_price*(1-acc_cogs_pct)</f>
        <v>8.37</v>
      </c>
      <c r="E16" s="28" t="n">
        <f aca="false">acc_attach*acc_aov*sc_price*(1-acc_cogs_pct)</f>
        <v>8.37</v>
      </c>
      <c r="F16" s="28" t="n">
        <f aca="false">acc_attach*acc_aov*sc_price*(1-acc_cogs_pct)</f>
        <v>8.37</v>
      </c>
      <c r="G16" s="28" t="n">
        <f aca="false">acc_attach*acc_aov*sc_price*(1-acc_cogs_pct)</f>
        <v>8.37</v>
      </c>
    </row>
    <row r="17" customFormat="false" ht="15" hidden="false" customHeight="false" outlineLevel="0" collapsed="false">
      <c r="A17" s="30" t="s">
        <v>450</v>
      </c>
      <c r="B17" s="28" t="n">
        <f aca="false">-trial_months*'Cloud &amp; AI COGS'!V10</f>
        <v>-6.048</v>
      </c>
      <c r="C17" s="28" t="n">
        <f aca="false">-trial_months*'Cloud &amp; AI COGS'!V10</f>
        <v>-6.048</v>
      </c>
      <c r="D17" s="28" t="n">
        <f aca="false">-trial_months*'Cloud &amp; AI COGS'!V10</f>
        <v>-6.048</v>
      </c>
      <c r="E17" s="28" t="n">
        <f aca="false">-trial_months*'Cloud &amp; AI COGS'!V10</f>
        <v>-6.048</v>
      </c>
      <c r="F17" s="28" t="n">
        <f aca="false">-trial_months*'Cloud &amp; AI COGS'!V10</f>
        <v>-6.048</v>
      </c>
      <c r="G17" s="28" t="n">
        <f aca="false">-trial_months*'Cloud &amp; AI COGS'!V10</f>
        <v>-6.048</v>
      </c>
      <c r="I17" s="2" t="s">
        <v>451</v>
      </c>
    </row>
    <row r="18" customFormat="false" ht="15" hidden="false" customHeight="false" outlineLevel="0" collapsed="false">
      <c r="A18" s="30" t="s">
        <v>452</v>
      </c>
      <c r="B18" s="5" t="n">
        <f aca="false">MIN(1,attach_peb*sc_attach)</f>
        <v>0.28</v>
      </c>
      <c r="C18" s="5" t="n">
        <f aca="false">MIN(1,attach_sq*sc_attach)</f>
        <v>0.4</v>
      </c>
      <c r="D18" s="5" t="n">
        <f aca="false">MIN(1,attach_atl*sc_attach)</f>
        <v>0.55</v>
      </c>
      <c r="E18" s="5" t="n">
        <f aca="false">MIN(1,attach_peb*sc_attach)</f>
        <v>0.28</v>
      </c>
      <c r="F18" s="5" t="n">
        <f aca="false">MIN(1,attach_sq*sc_attach)</f>
        <v>0.4</v>
      </c>
      <c r="G18" s="5" t="n">
        <f aca="false">MIN(1,attach_atl*sc_attach)</f>
        <v>0.55</v>
      </c>
    </row>
    <row r="19" customFormat="false" ht="15" hidden="false" customHeight="false" outlineLevel="0" collapsed="false">
      <c r="A19" s="30" t="s">
        <v>453</v>
      </c>
      <c r="B19" s="28" t="n">
        <f aca="false">sub_price*arpu_real*sc_price*(1-sub_pay_fee)-'Cloud &amp; AI COGS'!V10</f>
        <v>5.888088</v>
      </c>
      <c r="C19" s="28" t="n">
        <f aca="false">sub_price*arpu_real*sc_price*(1-sub_pay_fee)-'Cloud &amp; AI COGS'!V10</f>
        <v>5.888088</v>
      </c>
      <c r="D19" s="28" t="n">
        <f aca="false">sub_price*arpu_real*sc_price*(1-sub_pay_fee)-'Cloud &amp; AI COGS'!V10</f>
        <v>5.888088</v>
      </c>
      <c r="E19" s="28" t="n">
        <f aca="false">sub_price*arpu_real*sc_price*(1-sub_pay_fee)-'Cloud &amp; AI COGS'!V10</f>
        <v>5.888088</v>
      </c>
      <c r="F19" s="28" t="n">
        <f aca="false">sub_price*arpu_real*sc_price*(1-sub_pay_fee)-'Cloud &amp; AI COGS'!V10</f>
        <v>5.888088</v>
      </c>
      <c r="G19" s="28" t="n">
        <f aca="false">sub_price*arpu_real*sc_price*(1-sub_pay_fee)-'Cloud &amp; AI COGS'!V10</f>
        <v>5.888088</v>
      </c>
    </row>
    <row r="20" customFormat="false" ht="15" hidden="false" customHeight="false" outlineLevel="0" collapsed="false">
      <c r="A20" s="30" t="s">
        <v>454</v>
      </c>
      <c r="B20" s="32" t="n">
        <f aca="false">1/MIN(0.5,churn*sc_churn)</f>
        <v>16.6666666666667</v>
      </c>
      <c r="C20" s="32" t="n">
        <f aca="false">1/MIN(0.5,churn*sc_churn)</f>
        <v>16.6666666666667</v>
      </c>
      <c r="D20" s="32" t="n">
        <f aca="false">1/MIN(0.5,churn*sc_churn)</f>
        <v>16.6666666666667</v>
      </c>
      <c r="E20" s="32" t="n">
        <f aca="false">1/MIN(0.5,churn*sc_churn)</f>
        <v>16.6666666666667</v>
      </c>
      <c r="F20" s="32" t="n">
        <f aca="false">1/MIN(0.5,churn*sc_churn)</f>
        <v>16.6666666666667</v>
      </c>
      <c r="G20" s="32" t="n">
        <f aca="false">1/MIN(0.5,churn*sc_churn)</f>
        <v>16.6666666666667</v>
      </c>
    </row>
    <row r="21" customFormat="false" ht="15" hidden="false" customHeight="false" outlineLevel="0" collapsed="false">
      <c r="A21" s="30" t="s">
        <v>455</v>
      </c>
      <c r="B21" s="28" t="n">
        <f aca="false">B18*B19*B20</f>
        <v>27.477744</v>
      </c>
      <c r="C21" s="28" t="n">
        <f aca="false">C18*C19*C20</f>
        <v>39.25392</v>
      </c>
      <c r="D21" s="28" t="n">
        <f aca="false">D18*D19*D20</f>
        <v>53.97414</v>
      </c>
      <c r="E21" s="28" t="n">
        <f aca="false">E18*E19*E20</f>
        <v>27.477744</v>
      </c>
      <c r="F21" s="28" t="n">
        <f aca="false">F18*F19*F20</f>
        <v>39.25392</v>
      </c>
      <c r="G21" s="28" t="n">
        <f aca="false">G18*G19*G20</f>
        <v>53.97414</v>
      </c>
    </row>
    <row r="22" customFormat="false" ht="15" hidden="false" customHeight="false" outlineLevel="0" collapsed="false">
      <c r="A22" s="30" t="s">
        <v>456</v>
      </c>
      <c r="B22" s="28" t="n">
        <f aca="false">Assumptions!V112/device_inactive</f>
        <v>15</v>
      </c>
      <c r="C22" s="28" t="n">
        <f aca="false">Assumptions!V112/device_inactive</f>
        <v>15</v>
      </c>
      <c r="D22" s="28" t="n">
        <f aca="false">Assumptions!V112/device_inactive</f>
        <v>15</v>
      </c>
      <c r="E22" s="28" t="n">
        <f aca="false">Assumptions!V112/device_inactive</f>
        <v>15</v>
      </c>
      <c r="F22" s="28" t="n">
        <f aca="false">Assumptions!V112/device_inactive</f>
        <v>15</v>
      </c>
      <c r="G22" s="28" t="n">
        <f aca="false">Assumptions!V112/device_inactive</f>
        <v>15</v>
      </c>
      <c r="I22" s="2" t="s">
        <v>457</v>
      </c>
    </row>
    <row r="23" customFormat="false" ht="15" hidden="false" customHeight="false" outlineLevel="0" collapsed="false">
      <c r="A23" s="13" t="s">
        <v>458</v>
      </c>
      <c r="B23" s="31" t="n">
        <f aca="false">B15+B16+B17+B21+B22</f>
        <v>38.444104</v>
      </c>
      <c r="C23" s="31" t="n">
        <f aca="false">C15+C16+C17+C21+C22</f>
        <v>14.16248</v>
      </c>
      <c r="D23" s="31" t="n">
        <f aca="false">D15+D16+D17+D21+D22</f>
        <v>195.5513</v>
      </c>
      <c r="E23" s="31" t="n">
        <f aca="false">E15+E16+E17+E21+E22</f>
        <v>59.443844</v>
      </c>
      <c r="F23" s="31" t="n">
        <f aca="false">F15+F16+F17+F21+F22</f>
        <v>-11.44878</v>
      </c>
      <c r="G23" s="31" t="n">
        <f aca="false">G15+G16+G17+G21+G22</f>
        <v>76.71804</v>
      </c>
    </row>
    <row r="24" customFormat="false" ht="15" hidden="false" customHeight="false" outlineLevel="0" collapsed="false">
      <c r="A24" s="30" t="s">
        <v>459</v>
      </c>
      <c r="B24" s="33" t="n">
        <f aca="false">IF(B14&lt;0,(B23-B14)/-B14,0)</f>
        <v>1.64073506666667</v>
      </c>
      <c r="C24" s="33" t="n">
        <f aca="false">IF(C14&lt;0,(C23-C14)/-C14,0)</f>
        <v>1.23604133333333</v>
      </c>
      <c r="D24" s="33" t="n">
        <f aca="false">IF(D14&lt;0,(D23-D14)/-D14,0)</f>
        <v>4.25918833333333</v>
      </c>
      <c r="E24" s="33" t="n">
        <f aca="false">IF(E14&lt;0,(E23-E14)/-E14,0)</f>
        <v>11.7245154073753</v>
      </c>
      <c r="F24" s="33" t="n">
        <f aca="false">IF(F14&lt;0,(F23-F14)/-F14,0)</f>
        <v>-0.0293073686481827</v>
      </c>
      <c r="G24" s="33" t="n">
        <f aca="false">IF(G14&lt;0,(G23-G14)/-G14,0)</f>
        <v>4.44292638268081</v>
      </c>
      <c r="I24" s="2" t="s">
        <v>460</v>
      </c>
    </row>
    <row r="25" customFormat="false" ht="15" hidden="false" customHeight="false" outlineLevel="0" collapsed="false">
      <c r="A25" s="30" t="s">
        <v>461</v>
      </c>
      <c r="B25" s="32" t="n">
        <f aca="false">IF(B12+B16&gt;=-B14,0,(-B14-B12-B16)/MAX(0.01,B18*B19))</f>
        <v>0</v>
      </c>
      <c r="C25" s="32" t="n">
        <f aca="false">IF(C12+C16&gt;=-C14,0,(-C14-C12-C16)/MAX(0.01,C18*C19))</f>
        <v>14.4543695678461</v>
      </c>
      <c r="D25" s="32" t="n">
        <f aca="false">IF(D12+D16&gt;=-D14,0,(-D14-D12-D16)/MAX(0.01,D18*D19))</f>
        <v>0</v>
      </c>
      <c r="E25" s="32" t="n">
        <f aca="false">IF(E12+E16&gt;=-E14,0,(-E14-E12-E16)/MAX(0.01,E18*E19))</f>
        <v>0</v>
      </c>
      <c r="F25" s="32" t="n">
        <f aca="false">IF(F12+F16&gt;=-F14,0,(-F14-F12-F16)/MAX(0.01,F18*F19))</f>
        <v>25.3285531737977</v>
      </c>
      <c r="G25" s="32" t="n">
        <f aca="false">IF(G12+G16&gt;=-G14,0,(-G14-G12-G16)/MAX(0.01,G18*G19))</f>
        <v>0</v>
      </c>
      <c r="I25" s="2" t="s">
        <v>462</v>
      </c>
    </row>
    <row r="29" customFormat="false" ht="17.35" hidden="false" customHeight="false" outlineLevel="0" collapsed="false">
      <c r="A29" s="6" t="s">
        <v>463</v>
      </c>
    </row>
    <row r="30" customFormat="false" ht="15" hidden="false" customHeight="false" outlineLevel="0" collapsed="false">
      <c r="A30" s="13" t="s">
        <v>464</v>
      </c>
      <c r="B30" s="34" t="n">
        <v>-0.15</v>
      </c>
      <c r="C30" s="34" t="n">
        <v>-0.1</v>
      </c>
      <c r="D30" s="34" t="n">
        <v>-0.05</v>
      </c>
      <c r="E30" s="34" t="n">
        <v>0</v>
      </c>
      <c r="F30" s="34" t="n">
        <v>0.05</v>
      </c>
      <c r="G30" s="34" t="n">
        <v>0.1</v>
      </c>
      <c r="H30" s="34" t="n">
        <v>0.2</v>
      </c>
    </row>
    <row r="31" customFormat="false" ht="15" hidden="false" customHeight="false" outlineLevel="0" collapsed="false">
      <c r="A31" s="35" t="n">
        <v>119</v>
      </c>
      <c r="B31" s="23" t="n">
        <f aca="false">1-((bom_peb+asm_peb+pkg_peb)*(1+freight_duty)*(1+B$30)+dtc_ship+$A31*(1-dtc_disc)*(pay_pct+warranty_pct)+pay_fixed)/($A31*(1-dtc_disc)*(1-returns_pct))</f>
        <v>0.347827874500864</v>
      </c>
      <c r="C31" s="23" t="n">
        <f aca="false">1-((bom_peb+asm_peb+pkg_peb)*(1+freight_duty)*(1+C$30)+dtc_ship+$A31*(1-dtc_disc)*(pay_pct+warranty_pct)+pay_fixed)/($A31*(1-dtc_disc)*(1-returns_pct))</f>
        <v>0.318657157011741</v>
      </c>
      <c r="D31" s="23" t="n">
        <f aca="false">1-((bom_peb+asm_peb+pkg_peb)*(1+freight_duty)*(1+D$30)+dtc_ship+$A31*(1-dtc_disc)*(pay_pct+warranty_pct)+pay_fixed)/($A31*(1-dtc_disc)*(1-returns_pct))</f>
        <v>0.289486439522618</v>
      </c>
      <c r="E31" s="23" t="n">
        <f aca="false">1-((bom_peb+asm_peb+pkg_peb)*(1+freight_duty)*(1+E$30)+dtc_ship+$A31*(1-dtc_disc)*(pay_pct+warranty_pct)+pay_fixed)/($A31*(1-dtc_disc)*(1-returns_pct))</f>
        <v>0.260315722033494</v>
      </c>
      <c r="F31" s="23" t="n">
        <f aca="false">1-((bom_peb+asm_peb+pkg_peb)*(1+freight_duty)*(1+F$30)+dtc_ship+$A31*(1-dtc_disc)*(pay_pct+warranty_pct)+pay_fixed)/($A31*(1-dtc_disc)*(1-returns_pct))</f>
        <v>0.231145004544371</v>
      </c>
      <c r="G31" s="23" t="n">
        <f aca="false">1-((bom_peb+asm_peb+pkg_peb)*(1+freight_duty)*(1+G$30)+dtc_ship+$A31*(1-dtc_disc)*(pay_pct+warranty_pct)+pay_fixed)/($A31*(1-dtc_disc)*(1-returns_pct))</f>
        <v>0.201974287055248</v>
      </c>
      <c r="H31" s="23" t="n">
        <f aca="false">1-((bom_peb+asm_peb+pkg_peb)*(1+freight_duty)*(1+H$30)+dtc_ship+$A31*(1-dtc_disc)*(pay_pct+warranty_pct)+pay_fixed)/($A31*(1-dtc_disc)*(1-returns_pct))</f>
        <v>0.143632852077001</v>
      </c>
    </row>
    <row r="32" customFormat="false" ht="15" hidden="false" customHeight="false" outlineLevel="0" collapsed="false">
      <c r="A32" s="35" t="n">
        <v>129</v>
      </c>
      <c r="B32" s="23" t="n">
        <f aca="false">1-((bom_peb+asm_peb+pkg_peb)*(1+freight_duty)*(1+B$30)+dtc_ship+$A32*(1-dtc_disc)*(pay_pct+warranty_pct)+pay_fixed)/($A32*(1-dtc_disc)*(1-returns_pct))</f>
        <v>0.394427134875474</v>
      </c>
      <c r="C32" s="23" t="n">
        <f aca="false">1-((bom_peb+asm_peb+pkg_peb)*(1+freight_duty)*(1+C$30)+dtc_ship+$A32*(1-dtc_disc)*(pay_pct+warranty_pct)+pay_fixed)/($A32*(1-dtc_disc)*(1-returns_pct))</f>
        <v>0.36751771331574</v>
      </c>
      <c r="D32" s="23" t="n">
        <f aca="false">1-((bom_peb+asm_peb+pkg_peb)*(1+freight_duty)*(1+D$30)+dtc_ship+$A32*(1-dtc_disc)*(pay_pct+warranty_pct)+pay_fixed)/($A32*(1-dtc_disc)*(1-returns_pct))</f>
        <v>0.340608291756006</v>
      </c>
      <c r="E32" s="23" t="n">
        <f aca="false">1-((bom_peb+asm_peb+pkg_peb)*(1+freight_duty)*(1+E$30)+dtc_ship+$A32*(1-dtc_disc)*(pay_pct+warranty_pct)+pay_fixed)/($A32*(1-dtc_disc)*(1-returns_pct))</f>
        <v>0.313698870196272</v>
      </c>
      <c r="F32" s="23" t="n">
        <f aca="false">1-((bom_peb+asm_peb+pkg_peb)*(1+freight_duty)*(1+F$30)+dtc_ship+$A32*(1-dtc_disc)*(pay_pct+warranty_pct)+pay_fixed)/($A32*(1-dtc_disc)*(1-returns_pct))</f>
        <v>0.286789448636539</v>
      </c>
      <c r="G32" s="23" t="n">
        <f aca="false">1-((bom_peb+asm_peb+pkg_peb)*(1+freight_duty)*(1+G$30)+dtc_ship+$A32*(1-dtc_disc)*(pay_pct+warranty_pct)+pay_fixed)/($A32*(1-dtc_disc)*(1-returns_pct))</f>
        <v>0.259880027076804</v>
      </c>
      <c r="H32" s="23" t="n">
        <f aca="false">1-((bom_peb+asm_peb+pkg_peb)*(1+freight_duty)*(1+H$30)+dtc_ship+$A32*(1-dtc_disc)*(pay_pct+warranty_pct)+pay_fixed)/($A32*(1-dtc_disc)*(1-returns_pct))</f>
        <v>0.206061183957337</v>
      </c>
    </row>
    <row r="33" customFormat="false" ht="15" hidden="false" customHeight="false" outlineLevel="0" collapsed="false">
      <c r="A33" s="35" t="n">
        <v>139</v>
      </c>
      <c r="B33" s="23" t="n">
        <f aca="false">1-((bom_peb+asm_peb+pkg_peb)*(1+freight_duty)*(1+B$30)+dtc_ship+$A33*(1-dtc_disc)*(pay_pct+warranty_pct)+pay_fixed)/($A33*(1-dtc_disc)*(1-returns_pct))</f>
        <v>0.434321465699781</v>
      </c>
      <c r="C33" s="23" t="n">
        <f aca="false">1-((bom_peb+asm_peb+pkg_peb)*(1+freight_duty)*(1+C$30)+dtc_ship+$A33*(1-dtc_disc)*(pay_pct+warranty_pct)+pay_fixed)/($A33*(1-dtc_disc)*(1-returns_pct))</f>
        <v>0.409347973748661</v>
      </c>
      <c r="D33" s="23" t="n">
        <f aca="false">1-((bom_peb+asm_peb+pkg_peb)*(1+freight_duty)*(1+D$30)+dtc_ship+$A33*(1-dtc_disc)*(pay_pct+warranty_pct)+pay_fixed)/($A33*(1-dtc_disc)*(1-returns_pct))</f>
        <v>0.384374481797541</v>
      </c>
      <c r="E33" s="23" t="n">
        <f aca="false">1-((bom_peb+asm_peb+pkg_peb)*(1+freight_duty)*(1+E$30)+dtc_ship+$A33*(1-dtc_disc)*(pay_pct+warranty_pct)+pay_fixed)/($A33*(1-dtc_disc)*(1-returns_pct))</f>
        <v>0.359400989846421</v>
      </c>
      <c r="F33" s="23" t="n">
        <f aca="false">1-((bom_peb+asm_peb+pkg_peb)*(1+freight_duty)*(1+F$30)+dtc_ship+$A33*(1-dtc_disc)*(pay_pct+warranty_pct)+pay_fixed)/($A33*(1-dtc_disc)*(1-returns_pct))</f>
        <v>0.334427497895301</v>
      </c>
      <c r="G33" s="23" t="n">
        <f aca="false">1-((bom_peb+asm_peb+pkg_peb)*(1+freight_duty)*(1+G$30)+dtc_ship+$A33*(1-dtc_disc)*(pay_pct+warranty_pct)+pay_fixed)/($A33*(1-dtc_disc)*(1-returns_pct))</f>
        <v>0.309454005944181</v>
      </c>
      <c r="H33" s="23" t="n">
        <f aca="false">1-((bom_peb+asm_peb+pkg_peb)*(1+freight_duty)*(1+H$30)+dtc_ship+$A33*(1-dtc_disc)*(pay_pct+warranty_pct)+pay_fixed)/($A33*(1-dtc_disc)*(1-returns_pct))</f>
        <v>0.259507022041941</v>
      </c>
    </row>
    <row r="34" customFormat="false" ht="15" hidden="false" customHeight="false" outlineLevel="0" collapsed="false">
      <c r="A34" s="35" t="n">
        <v>149</v>
      </c>
      <c r="B34" s="23" t="n">
        <f aca="false">1-((bom_peb+asm_peb+pkg_peb)*(1+freight_duty)*(1+B$30)+dtc_ship+$A34*(1-dtc_disc)*(pay_pct+warranty_pct)+pay_fixed)/($A34*(1-dtc_disc)*(1-returns_pct))</f>
        <v>0.468860852789281</v>
      </c>
      <c r="C34" s="23" t="n">
        <f aca="false">1-((bom_peb+asm_peb+pkg_peb)*(1+freight_duty)*(1+C$30)+dtc_ship+$A34*(1-dtc_disc)*(pay_pct+warranty_pct)+pay_fixed)/($A34*(1-dtc_disc)*(1-returns_pct))</f>
        <v>0.445563434123471</v>
      </c>
      <c r="D34" s="23" t="n">
        <f aca="false">1-((bom_peb+asm_peb+pkg_peb)*(1+freight_duty)*(1+D$30)+dtc_ship+$A34*(1-dtc_disc)*(pay_pct+warranty_pct)+pay_fixed)/($A34*(1-dtc_disc)*(1-returns_pct))</f>
        <v>0.422266015457661</v>
      </c>
      <c r="E34" s="23" t="n">
        <f aca="false">1-((bom_peb+asm_peb+pkg_peb)*(1+freight_duty)*(1+E$30)+dtc_ship+$A34*(1-dtc_disc)*(pay_pct+warranty_pct)+pay_fixed)/($A34*(1-dtc_disc)*(1-returns_pct))</f>
        <v>0.398968596791851</v>
      </c>
      <c r="F34" s="23" t="n">
        <f aca="false">1-((bom_peb+asm_peb+pkg_peb)*(1+freight_duty)*(1+F$30)+dtc_ship+$A34*(1-dtc_disc)*(pay_pct+warranty_pct)+pay_fixed)/($A34*(1-dtc_disc)*(1-returns_pct))</f>
        <v>0.375671178126041</v>
      </c>
      <c r="G34" s="23" t="n">
        <f aca="false">1-((bom_peb+asm_peb+pkg_peb)*(1+freight_duty)*(1+G$30)+dtc_ship+$A34*(1-dtc_disc)*(pay_pct+warranty_pct)+pay_fixed)/($A34*(1-dtc_disc)*(1-returns_pct))</f>
        <v>0.352373759460231</v>
      </c>
      <c r="H34" s="23" t="n">
        <f aca="false">1-((bom_peb+asm_peb+pkg_peb)*(1+freight_duty)*(1+H$30)+dtc_ship+$A34*(1-dtc_disc)*(pay_pct+warranty_pct)+pay_fixed)/($A34*(1-dtc_disc)*(1-returns_pct))</f>
        <v>0.305778922128612</v>
      </c>
    </row>
    <row r="35" customFormat="false" ht="15" hidden="false" customHeight="false" outlineLevel="0" collapsed="false">
      <c r="A35" s="35" t="n">
        <v>169</v>
      </c>
      <c r="B35" s="23" t="n">
        <f aca="false">1-((bom_peb+asm_peb+pkg_peb)*(1+freight_duty)*(1+B$30)+dtc_ship+$A35*(1-dtc_disc)*(pay_pct+warranty_pct)+pay_fixed)/($A35*(1-dtc_disc)*(1-returns_pct))</f>
        <v>0.525677122676151</v>
      </c>
      <c r="C35" s="23" t="n">
        <f aca="false">1-((bom_peb+asm_peb+pkg_peb)*(1+freight_duty)*(1+C$30)+dtc_ship+$A35*(1-dtc_disc)*(pay_pct+warranty_pct)+pay_fixed)/($A35*(1-dtc_disc)*(1-returns_pct))</f>
        <v>0.505136794976709</v>
      </c>
      <c r="D35" s="23" t="n">
        <f aca="false">1-((bom_peb+asm_peb+pkg_peb)*(1+freight_duty)*(1+D$30)+dtc_ship+$A35*(1-dtc_disc)*(pay_pct+warranty_pct)+pay_fixed)/($A35*(1-dtc_disc)*(1-returns_pct))</f>
        <v>0.484596467277267</v>
      </c>
      <c r="E35" s="23" t="n">
        <f aca="false">1-((bom_peb+asm_peb+pkg_peb)*(1+freight_duty)*(1+E$30)+dtc_ship+$A35*(1-dtc_disc)*(pay_pct+warranty_pct)+pay_fixed)/($A35*(1-dtc_disc)*(1-returns_pct))</f>
        <v>0.464056139577825</v>
      </c>
      <c r="F35" s="23" t="n">
        <f aca="false">1-((bom_peb+asm_peb+pkg_peb)*(1+freight_duty)*(1+F$30)+dtc_ship+$A35*(1-dtc_disc)*(pay_pct+warranty_pct)+pay_fixed)/($A35*(1-dtc_disc)*(1-returns_pct))</f>
        <v>0.443515811878384</v>
      </c>
      <c r="G35" s="23" t="n">
        <f aca="false">1-((bom_peb+asm_peb+pkg_peb)*(1+freight_duty)*(1+G$30)+dtc_ship+$A35*(1-dtc_disc)*(pay_pct+warranty_pct)+pay_fixed)/($A35*(1-dtc_disc)*(1-returns_pct))</f>
        <v>0.422975484178942</v>
      </c>
      <c r="H35" s="23" t="n">
        <f aca="false">1-((bom_peb+asm_peb+pkg_peb)*(1+freight_duty)*(1+H$30)+dtc_ship+$A35*(1-dtc_disc)*(pay_pct+warranty_pct)+pay_fixed)/($A35*(1-dtc_disc)*(1-returns_pct))</f>
        <v>0.381894828780058</v>
      </c>
    </row>
    <row r="36" customFormat="false" ht="15" hidden="false" customHeight="false" outlineLevel="0" collapsed="false">
      <c r="A36" s="35" t="n">
        <v>179</v>
      </c>
      <c r="B36" s="23" t="n">
        <f aca="false">1-((bom_peb+asm_peb+pkg_peb)*(1+freight_duty)*(1+B$30)+dtc_ship+$A36*(1-dtc_disc)*(pay_pct+warranty_pct)+pay_fixed)/($A36*(1-dtc_disc)*(1-returns_pct))</f>
        <v>0.549324117684932</v>
      </c>
      <c r="C36" s="23" t="n">
        <f aca="false">1-((bom_peb+asm_peb+pkg_peb)*(1+freight_duty)*(1+C$30)+dtc_ship+$A36*(1-dtc_disc)*(pay_pct+warranty_pct)+pay_fixed)/($A36*(1-dtc_disc)*(1-returns_pct))</f>
        <v>0.529931294326241</v>
      </c>
      <c r="D36" s="23" t="n">
        <f aca="false">1-((bom_peb+asm_peb+pkg_peb)*(1+freight_duty)*(1+D$30)+dtc_ship+$A36*(1-dtc_disc)*(pay_pct+warranty_pct)+pay_fixed)/($A36*(1-dtc_disc)*(1-returns_pct))</f>
        <v>0.51053847096755</v>
      </c>
      <c r="E36" s="23" t="n">
        <f aca="false">1-((bom_peb+asm_peb+pkg_peb)*(1+freight_duty)*(1+E$30)+dtc_ship+$A36*(1-dtc_disc)*(pay_pct+warranty_pct)+pay_fixed)/($A36*(1-dtc_disc)*(1-returns_pct))</f>
        <v>0.491145647608859</v>
      </c>
      <c r="F36" s="23" t="n">
        <f aca="false">1-((bom_peb+asm_peb+pkg_peb)*(1+freight_duty)*(1+F$30)+dtc_ship+$A36*(1-dtc_disc)*(pay_pct+warranty_pct)+pay_fixed)/($A36*(1-dtc_disc)*(1-returns_pct))</f>
        <v>0.471752824250168</v>
      </c>
      <c r="G36" s="23" t="n">
        <f aca="false">1-((bom_peb+asm_peb+pkg_peb)*(1+freight_duty)*(1+G$30)+dtc_ship+$A36*(1-dtc_disc)*(pay_pct+warranty_pct)+pay_fixed)/($A36*(1-dtc_disc)*(1-returns_pct))</f>
        <v>0.452360000891477</v>
      </c>
      <c r="H36" s="23" t="n">
        <f aca="false">1-((bom_peb+asm_peb+pkg_peb)*(1+freight_duty)*(1+H$30)+dtc_ship+$A36*(1-dtc_disc)*(pay_pct+warranty_pct)+pay_fixed)/($A36*(1-dtc_disc)*(1-returns_pct))</f>
        <v>0.413574354174096</v>
      </c>
    </row>
    <row r="38" customFormat="false" ht="15" hidden="false" customHeight="false" outlineLevel="0" collapsed="false">
      <c r="A38" s="13" t="s">
        <v>465</v>
      </c>
      <c r="B38" s="34" t="n">
        <v>-0.15</v>
      </c>
      <c r="C38" s="34" t="n">
        <v>-0.1</v>
      </c>
      <c r="D38" s="34" t="n">
        <v>-0.05</v>
      </c>
      <c r="E38" s="34" t="n">
        <v>0</v>
      </c>
      <c r="F38" s="34" t="n">
        <v>0.05</v>
      </c>
      <c r="G38" s="34" t="n">
        <v>0.1</v>
      </c>
      <c r="H38" s="34" t="n">
        <v>0.2</v>
      </c>
    </row>
    <row r="39" customFormat="false" ht="15" hidden="false" customHeight="false" outlineLevel="0" collapsed="false">
      <c r="A39" s="35" t="n">
        <v>249</v>
      </c>
      <c r="B39" s="23" t="n">
        <f aca="false">1-((bom_sq+asm_sq+pkg_sq)*(1+freight_duty)*(1+B$38)+dtc_ship+$A39*(1-dtc_disc)*(pay_pct+warranty_pct)+pay_fixed)/($A39*(1-dtc_disc)*(1-returns_pct))</f>
        <v>0.0393570069284227</v>
      </c>
      <c r="C39" s="23" t="n">
        <f aca="false">1-((bom_sq+asm_sq+pkg_sq)*(1+freight_duty)*(1+C$38)+dtc_ship+$A39*(1-dtc_disc)*(pay_pct+warranty_pct)+pay_fixed)/($A39*(1-dtc_disc)*(1-returns_pct))</f>
        <v>-0.011190729228973</v>
      </c>
      <c r="D39" s="23" t="n">
        <f aca="false">1-((bom_sq+asm_sq+pkg_sq)*(1+freight_duty)*(1+D$38)+dtc_ship+$A39*(1-dtc_disc)*(pay_pct+warranty_pct)+pay_fixed)/($A39*(1-dtc_disc)*(1-returns_pct))</f>
        <v>-0.0617384653863684</v>
      </c>
      <c r="E39" s="23" t="n">
        <f aca="false">1-((bom_sq+asm_sq+pkg_sq)*(1+freight_duty)*(1+E$38)+dtc_ship+$A39*(1-dtc_disc)*(pay_pct+warranty_pct)+pay_fixed)/($A39*(1-dtc_disc)*(1-returns_pct))</f>
        <v>-0.112286201543764</v>
      </c>
      <c r="F39" s="23" t="n">
        <f aca="false">1-((bom_sq+asm_sq+pkg_sq)*(1+freight_duty)*(1+F$38)+dtc_ship+$A39*(1-dtc_disc)*(pay_pct+warranty_pct)+pay_fixed)/($A39*(1-dtc_disc)*(1-returns_pct))</f>
        <v>-0.162833937701159</v>
      </c>
      <c r="G39" s="23" t="n">
        <f aca="false">1-((bom_sq+asm_sq+pkg_sq)*(1+freight_duty)*(1+G$38)+dtc_ship+$A39*(1-dtc_disc)*(pay_pct+warranty_pct)+pay_fixed)/($A39*(1-dtc_disc)*(1-returns_pct))</f>
        <v>-0.213381673858555</v>
      </c>
      <c r="H39" s="23" t="n">
        <f aca="false">1-((bom_sq+asm_sq+pkg_sq)*(1+freight_duty)*(1+H$38)+dtc_ship+$A39*(1-dtc_disc)*(pay_pct+warranty_pct)+pay_fixed)/($A39*(1-dtc_disc)*(1-returns_pct))</f>
        <v>-0.314477146173346</v>
      </c>
    </row>
    <row r="40" customFormat="false" ht="15" hidden="false" customHeight="false" outlineLevel="0" collapsed="false">
      <c r="A40" s="35" t="n">
        <v>269</v>
      </c>
      <c r="B40" s="23" t="n">
        <f aca="false">1-((bom_sq+asm_sq+pkg_sq)*(1+freight_duty)*(1+B$38)+dtc_ship+$A40*(1-dtc_disc)*(pay_pct+warranty_pct)+pay_fixed)/($A40*(1-dtc_disc)*(1-returns_pct))</f>
        <v>0.106985358333992</v>
      </c>
      <c r="C40" s="23" t="n">
        <f aca="false">1-((bom_sq+asm_sq+pkg_sq)*(1+freight_duty)*(1+C$38)+dtc_ship+$A40*(1-dtc_disc)*(pay_pct+warranty_pct)+pay_fixed)/($A40*(1-dtc_disc)*(1-returns_pct))</f>
        <v>0.060195818173429</v>
      </c>
      <c r="D40" s="23" t="n">
        <f aca="false">1-((bom_sq+asm_sq+pkg_sq)*(1+freight_duty)*(1+D$38)+dtc_ship+$A40*(1-dtc_disc)*(pay_pct+warranty_pct)+pay_fixed)/($A40*(1-dtc_disc)*(1-returns_pct))</f>
        <v>0.0134062780128659</v>
      </c>
      <c r="E40" s="23" t="n">
        <f aca="false">1-((bom_sq+asm_sq+pkg_sq)*(1+freight_duty)*(1+E$38)+dtc_ship+$A40*(1-dtc_disc)*(pay_pct+warranty_pct)+pay_fixed)/($A40*(1-dtc_disc)*(1-returns_pct))</f>
        <v>-0.0333832621476973</v>
      </c>
      <c r="F40" s="23" t="n">
        <f aca="false">1-((bom_sq+asm_sq+pkg_sq)*(1+freight_duty)*(1+F$38)+dtc_ship+$A40*(1-dtc_disc)*(pay_pct+warranty_pct)+pay_fixed)/($A40*(1-dtc_disc)*(1-returns_pct))</f>
        <v>-0.0801728023082604</v>
      </c>
      <c r="G40" s="23" t="n">
        <f aca="false">1-((bom_sq+asm_sq+pkg_sq)*(1+freight_duty)*(1+G$38)+dtc_ship+$A40*(1-dtc_disc)*(pay_pct+warranty_pct)+pay_fixed)/($A40*(1-dtc_disc)*(1-returns_pct))</f>
        <v>-0.126962342468824</v>
      </c>
      <c r="H40" s="23" t="n">
        <f aca="false">1-((bom_sq+asm_sq+pkg_sq)*(1+freight_duty)*(1+H$38)+dtc_ship+$A40*(1-dtc_disc)*(pay_pct+warranty_pct)+pay_fixed)/($A40*(1-dtc_disc)*(1-returns_pct))</f>
        <v>-0.22054142278995</v>
      </c>
    </row>
    <row r="41" customFormat="false" ht="15" hidden="false" customHeight="false" outlineLevel="0" collapsed="false">
      <c r="A41" s="35" t="n">
        <v>279</v>
      </c>
      <c r="B41" s="23" t="n">
        <f aca="false">1-((bom_sq+asm_sq+pkg_sq)*(1+freight_duty)*(1+B$38)+dtc_ship+$A41*(1-dtc_disc)*(pay_pct+warranty_pct)+pay_fixed)/($A41*(1-dtc_disc)*(1-returns_pct))</f>
        <v>0.13716360116551</v>
      </c>
      <c r="C41" s="23" t="n">
        <f aca="false">1-((bom_sq+asm_sq+pkg_sq)*(1+freight_duty)*(1+C$38)+dtc_ship+$A41*(1-dtc_disc)*(pay_pct+warranty_pct)+pay_fixed)/($A41*(1-dtc_disc)*(1-returns_pct))</f>
        <v>0.0920511054551461</v>
      </c>
      <c r="D41" s="23" t="n">
        <f aca="false">1-((bom_sq+asm_sq+pkg_sq)*(1+freight_duty)*(1+D$38)+dtc_ship+$A41*(1-dtc_disc)*(pay_pct+warranty_pct)+pay_fixed)/($A41*(1-dtc_disc)*(1-returns_pct))</f>
        <v>0.0469386097447823</v>
      </c>
      <c r="E41" s="23" t="n">
        <f aca="false">1-((bom_sq+asm_sq+pkg_sq)*(1+freight_duty)*(1+E$38)+dtc_ship+$A41*(1-dtc_disc)*(pay_pct+warranty_pct)+pay_fixed)/($A41*(1-dtc_disc)*(1-returns_pct))</f>
        <v>0.00182611403441846</v>
      </c>
      <c r="F41" s="23" t="n">
        <f aca="false">1-((bom_sq+asm_sq+pkg_sq)*(1+freight_duty)*(1+F$38)+dtc_ship+$A41*(1-dtc_disc)*(pay_pct+warranty_pct)+pay_fixed)/($A41*(1-dtc_disc)*(1-returns_pct))</f>
        <v>-0.0432863816759452</v>
      </c>
      <c r="G41" s="23" t="n">
        <f aca="false">1-((bom_sq+asm_sq+pkg_sq)*(1+freight_duty)*(1+G$38)+dtc_ship+$A41*(1-dtc_disc)*(pay_pct+warranty_pct)+pay_fixed)/($A41*(1-dtc_disc)*(1-returns_pct))</f>
        <v>-0.0883988773863091</v>
      </c>
      <c r="H41" s="23" t="n">
        <f aca="false">1-((bom_sq+asm_sq+pkg_sq)*(1+freight_duty)*(1+H$38)+dtc_ship+$A41*(1-dtc_disc)*(pay_pct+warranty_pct)+pay_fixed)/($A41*(1-dtc_disc)*(1-returns_pct))</f>
        <v>-0.178623868807037</v>
      </c>
    </row>
    <row r="42" customFormat="false" ht="15" hidden="false" customHeight="false" outlineLevel="0" collapsed="false">
      <c r="A42" s="35" t="n">
        <v>299</v>
      </c>
      <c r="B42" s="23" t="n">
        <f aca="false">1-((bom_sq+asm_sq+pkg_sq)*(1+freight_duty)*(1+B$38)+dtc_ship+$A42*(1-dtc_disc)*(pay_pct+warranty_pct)+pay_fixed)/($A42*(1-dtc_disc)*(1-returns_pct))</f>
        <v>0.191464252146635</v>
      </c>
      <c r="C42" s="23" t="n">
        <f aca="false">1-((bom_sq+asm_sq+pkg_sq)*(1+freight_duty)*(1+C$38)+dtc_ship+$A42*(1-dtc_disc)*(pay_pct+warranty_pct)+pay_fixed)/($A42*(1-dtc_disc)*(1-returns_pct))</f>
        <v>0.149369314677767</v>
      </c>
      <c r="D42" s="23" t="n">
        <f aca="false">1-((bom_sq+asm_sq+pkg_sq)*(1+freight_duty)*(1+D$38)+dtc_ship+$A42*(1-dtc_disc)*(pay_pct+warranty_pct)+pay_fixed)/($A42*(1-dtc_disc)*(1-returns_pct))</f>
        <v>0.107274377208899</v>
      </c>
      <c r="E42" s="23" t="n">
        <f aca="false">1-((bom_sq+asm_sq+pkg_sq)*(1+freight_duty)*(1+E$38)+dtc_ship+$A42*(1-dtc_disc)*(pay_pct+warranty_pct)+pay_fixed)/($A42*(1-dtc_disc)*(1-returns_pct))</f>
        <v>0.0651794397400316</v>
      </c>
      <c r="F42" s="23" t="n">
        <f aca="false">1-((bom_sq+asm_sq+pkg_sq)*(1+freight_duty)*(1+F$38)+dtc_ship+$A42*(1-dtc_disc)*(pay_pct+warranty_pct)+pay_fixed)/($A42*(1-dtc_disc)*(1-returns_pct))</f>
        <v>0.0230845022711638</v>
      </c>
      <c r="G42" s="23" t="n">
        <f aca="false">1-((bom_sq+asm_sq+pkg_sq)*(1+freight_duty)*(1+G$38)+dtc_ship+$A42*(1-dtc_disc)*(pay_pct+warranty_pct)+pay_fixed)/($A42*(1-dtc_disc)*(1-returns_pct))</f>
        <v>-0.0190104351977043</v>
      </c>
      <c r="H42" s="23" t="n">
        <f aca="false">1-((bom_sq+asm_sq+pkg_sq)*(1+freight_duty)*(1+H$38)+dtc_ship+$A42*(1-dtc_disc)*(pay_pct+warranty_pct)+pay_fixed)/($A42*(1-dtc_disc)*(1-returns_pct))</f>
        <v>-0.10320031013544</v>
      </c>
    </row>
    <row r="43" customFormat="false" ht="15" hidden="false" customHeight="false" outlineLevel="0" collapsed="false">
      <c r="A43" s="35" t="n">
        <v>329</v>
      </c>
      <c r="B43" s="23" t="n">
        <f aca="false">1-((bom_sq+asm_sq+pkg_sq)*(1+freight_duty)*(1+B$38)+dtc_ship+$A43*(1-dtc_disc)*(pay_pct+warranty_pct)+pay_fixed)/($A43*(1-dtc_disc)*(1-returns_pct))</f>
        <v>0.260536660765483</v>
      </c>
      <c r="C43" s="23" t="n">
        <f aca="false">1-((bom_sq+asm_sq+pkg_sq)*(1+freight_duty)*(1+C$38)+dtc_ship+$A43*(1-dtc_disc)*(pay_pct+warranty_pct)+pay_fixed)/($A43*(1-dtc_disc)*(1-returns_pct))</f>
        <v>0.222280167442713</v>
      </c>
      <c r="D43" s="23" t="n">
        <f aca="false">1-((bom_sq+asm_sq+pkg_sq)*(1+freight_duty)*(1+D$38)+dtc_ship+$A43*(1-dtc_disc)*(pay_pct+warranty_pct)+pay_fixed)/($A43*(1-dtc_disc)*(1-returns_pct))</f>
        <v>0.184023674119942</v>
      </c>
      <c r="E43" s="23" t="n">
        <f aca="false">1-((bom_sq+asm_sq+pkg_sq)*(1+freight_duty)*(1+E$38)+dtc_ship+$A43*(1-dtc_disc)*(pay_pct+warranty_pct)+pay_fixed)/($A43*(1-dtc_disc)*(1-returns_pct))</f>
        <v>0.145767180797172</v>
      </c>
      <c r="F43" s="23" t="n">
        <f aca="false">1-((bom_sq+asm_sq+pkg_sq)*(1+freight_duty)*(1+F$38)+dtc_ship+$A43*(1-dtc_disc)*(pay_pct+warranty_pct)+pay_fixed)/($A43*(1-dtc_disc)*(1-returns_pct))</f>
        <v>0.107510687474401</v>
      </c>
      <c r="G43" s="23" t="n">
        <f aca="false">1-((bom_sq+asm_sq+pkg_sq)*(1+freight_duty)*(1+G$38)+dtc_ship+$A43*(1-dtc_disc)*(pay_pct+warranty_pct)+pay_fixed)/($A43*(1-dtc_disc)*(1-returns_pct))</f>
        <v>0.0692541941516303</v>
      </c>
      <c r="H43" s="23" t="n">
        <f aca="false">1-((bom_sq+asm_sq+pkg_sq)*(1+freight_duty)*(1+H$38)+dtc_ship+$A43*(1-dtc_disc)*(pay_pct+warranty_pct)+pay_fixed)/($A43*(1-dtc_disc)*(1-returns_pct))</f>
        <v>-0.00725879249391048</v>
      </c>
    </row>
    <row r="44" customFormat="false" ht="15" hidden="false" customHeight="false" outlineLevel="0" collapsed="false">
      <c r="A44" s="35" t="n">
        <v>349</v>
      </c>
      <c r="B44" s="23" t="n">
        <f aca="false">1-((bom_sq+asm_sq+pkg_sq)*(1+freight_duty)*(1+B$38)+dtc_ship+$A44*(1-dtc_disc)*(pay_pct+warranty_pct)+pay_fixed)/($A44*(1-dtc_disc)*(1-returns_pct))</f>
        <v>0.299987759479973</v>
      </c>
      <c r="C44" s="23" t="n">
        <f aca="false">1-((bom_sq+asm_sq+pkg_sq)*(1+freight_duty)*(1+C$38)+dtc_ship+$A44*(1-dtc_disc)*(pay_pct+warranty_pct)+pay_fixed)/($A44*(1-dtc_disc)*(1-returns_pct))</f>
        <v>0.263923615344754</v>
      </c>
      <c r="D44" s="23" t="n">
        <f aca="false">1-((bom_sq+asm_sq+pkg_sq)*(1+freight_duty)*(1+D$38)+dtc_ship+$A44*(1-dtc_disc)*(pay_pct+warranty_pct)+pay_fixed)/($A44*(1-dtc_disc)*(1-returns_pct))</f>
        <v>0.227859471209535</v>
      </c>
      <c r="E44" s="23" t="n">
        <f aca="false">1-((bom_sq+asm_sq+pkg_sq)*(1+freight_duty)*(1+E$38)+dtc_ship+$A44*(1-dtc_disc)*(pay_pct+warranty_pct)+pay_fixed)/($A44*(1-dtc_disc)*(1-returns_pct))</f>
        <v>0.191795327074315</v>
      </c>
      <c r="F44" s="23" t="n">
        <f aca="false">1-((bom_sq+asm_sq+pkg_sq)*(1+freight_duty)*(1+F$38)+dtc_ship+$A44*(1-dtc_disc)*(pay_pct+warranty_pct)+pay_fixed)/($A44*(1-dtc_disc)*(1-returns_pct))</f>
        <v>0.155731182939096</v>
      </c>
      <c r="G44" s="23" t="n">
        <f aca="false">1-((bom_sq+asm_sq+pkg_sq)*(1+freight_duty)*(1+G$38)+dtc_ship+$A44*(1-dtc_disc)*(pay_pct+warranty_pct)+pay_fixed)/($A44*(1-dtc_disc)*(1-returns_pct))</f>
        <v>0.119667038803877</v>
      </c>
      <c r="H44" s="23" t="n">
        <f aca="false">1-((bom_sq+asm_sq+pkg_sq)*(1+freight_duty)*(1+H$38)+dtc_ship+$A44*(1-dtc_disc)*(pay_pct+warranty_pct)+pay_fixed)/($A44*(1-dtc_disc)*(1-returns_pct))</f>
        <v>0.0475387505334387</v>
      </c>
    </row>
    <row r="46" customFormat="false" ht="15" hidden="false" customHeight="false" outlineLevel="0" collapsed="false">
      <c r="A46" s="13" t="s">
        <v>466</v>
      </c>
      <c r="B46" s="34" t="n">
        <v>-0.15</v>
      </c>
      <c r="C46" s="34" t="n">
        <v>-0.1</v>
      </c>
      <c r="D46" s="34" t="n">
        <v>-0.05</v>
      </c>
      <c r="E46" s="34" t="n">
        <v>0</v>
      </c>
      <c r="F46" s="34" t="n">
        <v>0.05</v>
      </c>
      <c r="G46" s="34" t="n">
        <v>0.1</v>
      </c>
      <c r="H46" s="34" t="n">
        <v>0.2</v>
      </c>
    </row>
    <row r="47" customFormat="false" ht="15" hidden="false" customHeight="false" outlineLevel="0" collapsed="false">
      <c r="A47" s="35" t="n">
        <v>449</v>
      </c>
      <c r="B47" s="23" t="n">
        <f aca="false">1-((bom_atl+asm_atl+pkg_atl)*(1+freight_duty)*(1+B$46)+dtc_ship+$A47*(1-dtc_disc)*(pay_pct+warranty_pct)+pay_fixed)/($A47*(1-dtc_disc)*(1-returns_pct))</f>
        <v>0.255228904559383</v>
      </c>
      <c r="C47" s="23" t="n">
        <f aca="false">1-((bom_atl+asm_atl+pkg_atl)*(1+freight_duty)*(1+C$46)+dtc_ship+$A47*(1-dtc_disc)*(pay_pct+warranty_pct)+pay_fixed)/($A47*(1-dtc_disc)*(1-returns_pct))</f>
        <v>0.216061820791672</v>
      </c>
      <c r="D47" s="23" t="n">
        <f aca="false">1-((bom_atl+asm_atl+pkg_atl)*(1+freight_duty)*(1+D$46)+dtc_ship+$A47*(1-dtc_disc)*(pay_pct+warranty_pct)+pay_fixed)/($A47*(1-dtc_disc)*(1-returns_pct))</f>
        <v>0.176894737023962</v>
      </c>
      <c r="E47" s="23" t="n">
        <f aca="false">1-((bom_atl+asm_atl+pkg_atl)*(1+freight_duty)*(1+E$46)+dtc_ship+$A47*(1-dtc_disc)*(pay_pct+warranty_pct)+pay_fixed)/($A47*(1-dtc_disc)*(1-returns_pct))</f>
        <v>0.137727653256251</v>
      </c>
      <c r="F47" s="23" t="n">
        <f aca="false">1-((bom_atl+asm_atl+pkg_atl)*(1+freight_duty)*(1+F$46)+dtc_ship+$A47*(1-dtc_disc)*(pay_pct+warranty_pct)+pay_fixed)/($A47*(1-dtc_disc)*(1-returns_pct))</f>
        <v>0.0985605694885403</v>
      </c>
      <c r="G47" s="23" t="n">
        <f aca="false">1-((bom_atl+asm_atl+pkg_atl)*(1+freight_duty)*(1+G$46)+dtc_ship+$A47*(1-dtc_disc)*(pay_pct+warranty_pct)+pay_fixed)/($A47*(1-dtc_disc)*(1-returns_pct))</f>
        <v>0.0593934857208295</v>
      </c>
      <c r="H47" s="23" t="n">
        <f aca="false">1-((bom_atl+asm_atl+pkg_atl)*(1+freight_duty)*(1+H$46)+dtc_ship+$A47*(1-dtc_disc)*(pay_pct+warranty_pct)+pay_fixed)/($A47*(1-dtc_disc)*(1-returns_pct))</f>
        <v>-0.0189406818145921</v>
      </c>
    </row>
    <row r="48" customFormat="false" ht="15" hidden="false" customHeight="false" outlineLevel="0" collapsed="false">
      <c r="A48" s="35" t="n">
        <v>499</v>
      </c>
      <c r="B48" s="23" t="n">
        <f aca="false">1-((bom_atl+asm_atl+pkg_atl)*(1+freight_duty)*(1+B$46)+dtc_ship+$A48*(1-dtc_disc)*(pay_pct+warranty_pct)+pay_fixed)/($A48*(1-dtc_disc)*(1-returns_pct))</f>
        <v>0.3247408713704</v>
      </c>
      <c r="C48" s="23" t="n">
        <f aca="false">1-((bom_atl+asm_atl+pkg_atl)*(1+freight_duty)*(1+C$46)+dtc_ship+$A48*(1-dtc_disc)*(pay_pct+warranty_pct)+pay_fixed)/($A48*(1-dtc_disc)*(1-returns_pct))</f>
        <v>0.289498345094444</v>
      </c>
      <c r="D48" s="23" t="n">
        <f aca="false">1-((bom_atl+asm_atl+pkg_atl)*(1+freight_duty)*(1+D$46)+dtc_ship+$A48*(1-dtc_disc)*(pay_pct+warranty_pct)+pay_fixed)/($A48*(1-dtc_disc)*(1-returns_pct))</f>
        <v>0.254255818818488</v>
      </c>
      <c r="E48" s="23" t="n">
        <f aca="false">1-((bom_atl+asm_atl+pkg_atl)*(1+freight_duty)*(1+E$46)+dtc_ship+$A48*(1-dtc_disc)*(pay_pct+warranty_pct)+pay_fixed)/($A48*(1-dtc_disc)*(1-returns_pct))</f>
        <v>0.219013292542532</v>
      </c>
      <c r="F48" s="23" t="n">
        <f aca="false">1-((bom_atl+asm_atl+pkg_atl)*(1+freight_duty)*(1+F$46)+dtc_ship+$A48*(1-dtc_disc)*(pay_pct+warranty_pct)+pay_fixed)/($A48*(1-dtc_disc)*(1-returns_pct))</f>
        <v>0.183770766266576</v>
      </c>
      <c r="G48" s="23" t="n">
        <f aca="false">1-((bom_atl+asm_atl+pkg_atl)*(1+freight_duty)*(1+G$46)+dtc_ship+$A48*(1-dtc_disc)*(pay_pct+warranty_pct)+pay_fixed)/($A48*(1-dtc_disc)*(1-returns_pct))</f>
        <v>0.148528239990619</v>
      </c>
      <c r="H48" s="23" t="n">
        <f aca="false">1-((bom_atl+asm_atl+pkg_atl)*(1+freight_duty)*(1+H$46)+dtc_ship+$A48*(1-dtc_disc)*(pay_pct+warranty_pct)+pay_fixed)/($A48*(1-dtc_disc)*(1-returns_pct))</f>
        <v>0.0780431874387071</v>
      </c>
    </row>
    <row r="49" customFormat="false" ht="15" hidden="false" customHeight="false" outlineLevel="0" collapsed="false">
      <c r="A49" s="35" t="n">
        <v>529</v>
      </c>
      <c r="B49" s="23" t="n">
        <f aca="false">1-((bom_atl+asm_atl+pkg_atl)*(1+freight_duty)*(1+B$46)+dtc_ship+$A49*(1-dtc_disc)*(pay_pct+warranty_pct)+pay_fixed)/($A49*(1-dtc_disc)*(1-returns_pct))</f>
        <v>0.360140727436351</v>
      </c>
      <c r="C49" s="23" t="n">
        <f aca="false">1-((bom_atl+asm_atl+pkg_atl)*(1+freight_duty)*(1+C$46)+dtc_ship+$A49*(1-dtc_disc)*(pay_pct+warranty_pct)+pay_fixed)/($A49*(1-dtc_disc)*(1-returns_pct))</f>
        <v>0.326896832140128</v>
      </c>
      <c r="D49" s="23" t="n">
        <f aca="false">1-((bom_atl+asm_atl+pkg_atl)*(1+freight_duty)*(1+D$46)+dtc_ship+$A49*(1-dtc_disc)*(pay_pct+warranty_pct)+pay_fixed)/($A49*(1-dtc_disc)*(1-returns_pct))</f>
        <v>0.293652936843905</v>
      </c>
      <c r="E49" s="23" t="n">
        <f aca="false">1-((bom_atl+asm_atl+pkg_atl)*(1+freight_duty)*(1+E$46)+dtc_ship+$A49*(1-dtc_disc)*(pay_pct+warranty_pct)+pay_fixed)/($A49*(1-dtc_disc)*(1-returns_pct))</f>
        <v>0.260409041547681</v>
      </c>
      <c r="F49" s="23" t="n">
        <f aca="false">1-((bom_atl+asm_atl+pkg_atl)*(1+freight_duty)*(1+F$46)+dtc_ship+$A49*(1-dtc_disc)*(pay_pct+warranty_pct)+pay_fixed)/($A49*(1-dtc_disc)*(1-returns_pct))</f>
        <v>0.227165146251458</v>
      </c>
      <c r="G49" s="23" t="n">
        <f aca="false">1-((bom_atl+asm_atl+pkg_atl)*(1+freight_duty)*(1+G$46)+dtc_ship+$A49*(1-dtc_disc)*(pay_pct+warranty_pct)+pay_fixed)/($A49*(1-dtc_disc)*(1-returns_pct))</f>
        <v>0.193921250955235</v>
      </c>
      <c r="H49" s="23" t="n">
        <f aca="false">1-((bom_atl+asm_atl+pkg_atl)*(1+freight_duty)*(1+H$46)+dtc_ship+$A49*(1-dtc_disc)*(pay_pct+warranty_pct)+pay_fixed)/($A49*(1-dtc_disc)*(1-returns_pct))</f>
        <v>0.127433460362788</v>
      </c>
    </row>
    <row r="50" customFormat="false" ht="15" hidden="false" customHeight="false" outlineLevel="0" collapsed="false">
      <c r="A50" s="35" t="n">
        <v>549</v>
      </c>
      <c r="B50" s="23" t="n">
        <f aca="false">1-((bom_atl+asm_atl+pkg_atl)*(1+freight_duty)*(1+B$46)+dtc_ship+$A50*(1-dtc_disc)*(pay_pct+warranty_pct)+pay_fixed)/($A50*(1-dtc_disc)*(1-returns_pct))</f>
        <v>0.381591277742252</v>
      </c>
      <c r="C50" s="23" t="n">
        <f aca="false">1-((bom_atl+asm_atl+pkg_atl)*(1+freight_duty)*(1+C$46)+dtc_ship+$A50*(1-dtc_disc)*(pay_pct+warranty_pct)+pay_fixed)/($A50*(1-dtc_disc)*(1-returns_pct))</f>
        <v>0.349558453312922</v>
      </c>
      <c r="D50" s="23" t="n">
        <f aca="false">1-((bom_atl+asm_atl+pkg_atl)*(1+freight_duty)*(1+D$46)+dtc_ship+$A50*(1-dtc_disc)*(pay_pct+warranty_pct)+pay_fixed)/($A50*(1-dtc_disc)*(1-returns_pct))</f>
        <v>0.317525628883592</v>
      </c>
      <c r="E50" s="23" t="n">
        <f aca="false">1-((bom_atl+asm_atl+pkg_atl)*(1+freight_duty)*(1+E$46)+dtc_ship+$A50*(1-dtc_disc)*(pay_pct+warranty_pct)+pay_fixed)/($A50*(1-dtc_disc)*(1-returns_pct))</f>
        <v>0.285492804454262</v>
      </c>
      <c r="F50" s="23" t="n">
        <f aca="false">1-((bom_atl+asm_atl+pkg_atl)*(1+freight_duty)*(1+F$46)+dtc_ship+$A50*(1-dtc_disc)*(pay_pct+warranty_pct)+pay_fixed)/($A50*(1-dtc_disc)*(1-returns_pct))</f>
        <v>0.253459980024932</v>
      </c>
      <c r="G50" s="23" t="n">
        <f aca="false">1-((bom_atl+asm_atl+pkg_atl)*(1+freight_duty)*(1+G$46)+dtc_ship+$A50*(1-dtc_disc)*(pay_pct+warranty_pct)+pay_fixed)/($A50*(1-dtc_disc)*(1-returns_pct))</f>
        <v>0.221427155595602</v>
      </c>
      <c r="H50" s="23" t="n">
        <f aca="false">1-((bom_atl+asm_atl+pkg_atl)*(1+freight_duty)*(1+H$46)+dtc_ship+$A50*(1-dtc_disc)*(pay_pct+warranty_pct)+pay_fixed)/($A50*(1-dtc_disc)*(1-returns_pct))</f>
        <v>0.157361506736943</v>
      </c>
    </row>
    <row r="51" customFormat="false" ht="15" hidden="false" customHeight="false" outlineLevel="0" collapsed="false">
      <c r="A51" s="35" t="n">
        <v>599</v>
      </c>
      <c r="B51" s="23" t="n">
        <f aca="false">1-((bom_atl+asm_atl+pkg_atl)*(1+freight_duty)*(1+B$46)+dtc_ship+$A51*(1-dtc_disc)*(pay_pct+warranty_pct)+pay_fixed)/($A51*(1-dtc_disc)*(1-returns_pct))</f>
        <v>0.428950798242342</v>
      </c>
      <c r="C51" s="23" t="n">
        <f aca="false">1-((bom_atl+asm_atl+pkg_atl)*(1+freight_duty)*(1+C$46)+dtc_ship+$A51*(1-dtc_disc)*(pay_pct+warranty_pct)+pay_fixed)/($A51*(1-dtc_disc)*(1-returns_pct))</f>
        <v>0.399591832279567</v>
      </c>
      <c r="D51" s="23" t="n">
        <f aca="false">1-((bom_atl+asm_atl+pkg_atl)*(1+freight_duty)*(1+D$46)+dtc_ship+$A51*(1-dtc_disc)*(pay_pct+warranty_pct)+pay_fixed)/($A51*(1-dtc_disc)*(1-returns_pct))</f>
        <v>0.370232866316793</v>
      </c>
      <c r="E51" s="23" t="n">
        <f aca="false">1-((bom_atl+asm_atl+pkg_atl)*(1+freight_duty)*(1+E$46)+dtc_ship+$A51*(1-dtc_disc)*(pay_pct+warranty_pct)+pay_fixed)/($A51*(1-dtc_disc)*(1-returns_pct))</f>
        <v>0.340873900354018</v>
      </c>
      <c r="F51" s="23" t="n">
        <f aca="false">1-((bom_atl+asm_atl+pkg_atl)*(1+freight_duty)*(1+F$46)+dtc_ship+$A51*(1-dtc_disc)*(pay_pct+warranty_pct)+pay_fixed)/($A51*(1-dtc_disc)*(1-returns_pct))</f>
        <v>0.311514934391243</v>
      </c>
      <c r="G51" s="23" t="n">
        <f aca="false">1-((bom_atl+asm_atl+pkg_atl)*(1+freight_duty)*(1+G$46)+dtc_ship+$A51*(1-dtc_disc)*(pay_pct+warranty_pct)+pay_fixed)/($A51*(1-dtc_disc)*(1-returns_pct))</f>
        <v>0.282155968428468</v>
      </c>
      <c r="H51" s="23" t="n">
        <f aca="false">1-((bom_atl+asm_atl+pkg_atl)*(1+freight_duty)*(1+H$46)+dtc_ship+$A51*(1-dtc_disc)*(pay_pct+warranty_pct)+pay_fixed)/($A51*(1-dtc_disc)*(1-returns_pct))</f>
        <v>0.223438036502918</v>
      </c>
    </row>
    <row r="52" customFormat="false" ht="15" hidden="false" customHeight="false" outlineLevel="0" collapsed="false">
      <c r="A52" s="35" t="n">
        <v>649</v>
      </c>
      <c r="B52" s="23" t="n">
        <f aca="false">1-((bom_atl+asm_atl+pkg_atl)*(1+freight_duty)*(1+B$46)+dtc_ship+$A52*(1-dtc_disc)*(pay_pct+warranty_pct)+pay_fixed)/($A52*(1-dtc_disc)*(1-returns_pct))</f>
        <v>0.469013012039799</v>
      </c>
      <c r="C52" s="23" t="n">
        <f aca="false">1-((bom_atl+asm_atl+pkg_atl)*(1+freight_duty)*(1+C$46)+dtc_ship+$A52*(1-dtc_disc)*(pay_pct+warranty_pct)+pay_fixed)/($A52*(1-dtc_disc)*(1-returns_pct))</f>
        <v>0.441915907861522</v>
      </c>
      <c r="D52" s="23" t="n">
        <f aca="false">1-((bom_atl+asm_atl+pkg_atl)*(1+freight_duty)*(1+D$46)+dtc_ship+$A52*(1-dtc_disc)*(pay_pct+warranty_pct)+pay_fixed)/($A52*(1-dtc_disc)*(1-returns_pct))</f>
        <v>0.414818803683244</v>
      </c>
      <c r="E52" s="23" t="n">
        <f aca="false">1-((bom_atl+asm_atl+pkg_atl)*(1+freight_duty)*(1+E$46)+dtc_ship+$A52*(1-dtc_disc)*(pay_pct+warranty_pct)+pay_fixed)/($A52*(1-dtc_disc)*(1-returns_pct))</f>
        <v>0.387721699504967</v>
      </c>
      <c r="F52" s="23" t="n">
        <f aca="false">1-((bom_atl+asm_atl+pkg_atl)*(1+freight_duty)*(1+F$46)+dtc_ship+$A52*(1-dtc_disc)*(pay_pct+warranty_pct)+pay_fixed)/($A52*(1-dtc_disc)*(1-returns_pct))</f>
        <v>0.360624595326689</v>
      </c>
      <c r="G52" s="23" t="n">
        <f aca="false">1-((bom_atl+asm_atl+pkg_atl)*(1+freight_duty)*(1+G$46)+dtc_ship+$A52*(1-dtc_disc)*(pay_pct+warranty_pct)+pay_fixed)/($A52*(1-dtc_disc)*(1-returns_pct))</f>
        <v>0.333527491148411</v>
      </c>
      <c r="H52" s="23" t="n">
        <f aca="false">1-((bom_atl+asm_atl+pkg_atl)*(1+freight_duty)*(1+H$46)+dtc_ship+$A52*(1-dtc_disc)*(pay_pct+warranty_pct)+pay_fixed)/($A52*(1-dtc_disc)*(1-returns_pct))</f>
        <v>0.279333282791856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467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468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469</v>
      </c>
      <c r="B10" s="2" t="s">
        <v>151</v>
      </c>
      <c r="C10" s="4" t="n">
        <f aca="false">'Pricing &amp; Mix'!C42</f>
        <v>0</v>
      </c>
      <c r="D10" s="4" t="n">
        <f aca="false">'Pricing &amp; Mix'!D42</f>
        <v>0</v>
      </c>
      <c r="E10" s="4" t="n">
        <f aca="false">'Pricing &amp; Mix'!E42</f>
        <v>0</v>
      </c>
      <c r="F10" s="4" t="n">
        <f aca="false">'Pricing &amp; Mix'!F42</f>
        <v>0</v>
      </c>
      <c r="G10" s="4" t="n">
        <f aca="false">'Pricing &amp; Mix'!G42</f>
        <v>0</v>
      </c>
      <c r="H10" s="4" t="n">
        <f aca="false">'Pricing &amp; Mix'!H42</f>
        <v>0</v>
      </c>
      <c r="I10" s="4" t="n">
        <f aca="false">'Pricing &amp; Mix'!I42</f>
        <v>0</v>
      </c>
      <c r="J10" s="4" t="n">
        <f aca="false">'Pricing &amp; Mix'!J42</f>
        <v>0</v>
      </c>
      <c r="K10" s="4" t="n">
        <f aca="false">'Pricing &amp; Mix'!K42</f>
        <v>0</v>
      </c>
      <c r="L10" s="4" t="n">
        <f aca="false">'Pricing &amp; Mix'!L42</f>
        <v>0</v>
      </c>
      <c r="M10" s="4" t="n">
        <f aca="false">'Pricing &amp; Mix'!M42</f>
        <v>0</v>
      </c>
      <c r="N10" s="4" t="n">
        <f aca="false">'Pricing &amp; Mix'!N42</f>
        <v>0</v>
      </c>
      <c r="O10" s="4" t="n">
        <f aca="false">'Pricing &amp; Mix'!O42</f>
        <v>2125</v>
      </c>
      <c r="P10" s="4" t="n">
        <f aca="false">'Pricing &amp; Mix'!P42</f>
        <v>1572.5</v>
      </c>
      <c r="Q10" s="4" t="n">
        <f aca="false">'Pricing &amp; Mix'!Q42</f>
        <v>1802.5</v>
      </c>
      <c r="R10" s="4" t="n">
        <f aca="false">'Pricing &amp; Mix'!R42</f>
        <v>1725</v>
      </c>
      <c r="S10" s="4" t="n">
        <f aca="false">'Pricing &amp; Mix'!S42</f>
        <v>2025</v>
      </c>
      <c r="T10" s="4" t="n">
        <f aca="false">'Pricing &amp; Mix'!T42</f>
        <v>2050</v>
      </c>
      <c r="U10" s="4" t="n">
        <f aca="false">'Pricing &amp; Mix'!U42</f>
        <v>2450</v>
      </c>
      <c r="V10" s="4" t="n">
        <f aca="false">'Pricing &amp; Mix'!V42</f>
        <v>2850</v>
      </c>
      <c r="W10" s="4" t="n">
        <f aca="false">'Pricing &amp; Mix'!W42</f>
        <v>3350</v>
      </c>
      <c r="X10" s="4" t="n">
        <f aca="false">'Pricing &amp; Mix'!X42</f>
        <v>3450</v>
      </c>
      <c r="Y10" s="4" t="n">
        <f aca="false">'Pricing &amp; Mix'!Y42</f>
        <v>3250</v>
      </c>
      <c r="Z10" s="4" t="n">
        <f aca="false">'Pricing &amp; Mix'!Z42</f>
        <v>3650</v>
      </c>
      <c r="AA10" s="4" t="n">
        <f aca="false">'Pricing &amp; Mix'!AA42</f>
        <v>5250</v>
      </c>
      <c r="AB10" s="4" t="n">
        <f aca="false">'Pricing &amp; Mix'!AB42</f>
        <v>7400</v>
      </c>
      <c r="AC10" s="4" t="n">
        <f aca="false">'Pricing &amp; Mix'!AC42</f>
        <v>120000</v>
      </c>
      <c r="AD10" s="4" t="n">
        <f aca="false">'Pricing &amp; Mix'!AD42</f>
        <v>250000</v>
      </c>
      <c r="AE10" s="4" t="n">
        <f aca="false">'Pricing &amp; Mix'!AE42</f>
        <v>400000</v>
      </c>
      <c r="AG10" s="4" t="n">
        <f aca="false">SUMIF($C$3:$AE$3,AG$3,$C10:$AE10)</f>
        <v>0</v>
      </c>
      <c r="AH10" s="4" t="n">
        <f aca="false">SUMIF($C$3:$AE$3,AH$3,$C10:$AE10)</f>
        <v>3697.5</v>
      </c>
      <c r="AI10" s="4" t="n">
        <f aca="false">SUMIF($C$3:$AE$3,AI$3,$C10:$AE10)</f>
        <v>39252.5</v>
      </c>
      <c r="AJ10" s="4" t="n">
        <f aca="false">SUMIF($C$3:$AE$3,AJ$3,$C10:$AE10)</f>
        <v>120000</v>
      </c>
      <c r="AK10" s="4" t="n">
        <f aca="false">SUMIF($C$3:$AE$3,AK$3,$C10:$AE10)</f>
        <v>250000</v>
      </c>
      <c r="AL10" s="4" t="n">
        <f aca="false">SUMIF($C$3:$AE$3,AL$3,$C10:$AE10)</f>
        <v>400000</v>
      </c>
    </row>
    <row r="11" customFormat="false" ht="15" hidden="false" customHeight="false" outlineLevel="0" collapsed="false">
      <c r="A11" s="0" t="s">
        <v>470</v>
      </c>
      <c r="B11" s="2" t="s">
        <v>471</v>
      </c>
      <c r="C11" s="4" t="n">
        <f aca="false">MIN(1,sc_attach)*0+('Pricing &amp; Mix'!C39*MIN(1,attach_peb*sc_attach)+'Pricing &amp; Mix'!C40*MIN(1,attach_sq*sc_attach)+'Pricing &amp; Mix'!C41*MIN(1,attach_atl*sc_attach))</f>
        <v>0</v>
      </c>
      <c r="D11" s="4" t="n">
        <f aca="false">MIN(1,sc_attach)*0+('Pricing &amp; Mix'!D39*MIN(1,attach_peb*sc_attach)+'Pricing &amp; Mix'!D40*MIN(1,attach_sq*sc_attach)+'Pricing &amp; Mix'!D41*MIN(1,attach_atl*sc_attach))</f>
        <v>0</v>
      </c>
      <c r="E11" s="4" t="n">
        <f aca="false">MIN(1,sc_attach)*0+('Pricing &amp; Mix'!E39*MIN(1,attach_peb*sc_attach)+'Pricing &amp; Mix'!E40*MIN(1,attach_sq*sc_attach)+'Pricing &amp; Mix'!E41*MIN(1,attach_atl*sc_attach))</f>
        <v>0</v>
      </c>
      <c r="F11" s="4" t="n">
        <f aca="false">MIN(1,sc_attach)*0+('Pricing &amp; Mix'!F39*MIN(1,attach_peb*sc_attach)+'Pricing &amp; Mix'!F40*MIN(1,attach_sq*sc_attach)+'Pricing &amp; Mix'!F41*MIN(1,attach_atl*sc_attach))</f>
        <v>0</v>
      </c>
      <c r="G11" s="4" t="n">
        <f aca="false">MIN(1,sc_attach)*0+('Pricing &amp; Mix'!G39*MIN(1,attach_peb*sc_attach)+'Pricing &amp; Mix'!G40*MIN(1,attach_sq*sc_attach)+'Pricing &amp; Mix'!G41*MIN(1,attach_atl*sc_attach))</f>
        <v>0</v>
      </c>
      <c r="H11" s="4" t="n">
        <f aca="false">MIN(1,sc_attach)*0+('Pricing &amp; Mix'!H39*MIN(1,attach_peb*sc_attach)+'Pricing &amp; Mix'!H40*MIN(1,attach_sq*sc_attach)+'Pricing &amp; Mix'!H41*MIN(1,attach_atl*sc_attach))</f>
        <v>0</v>
      </c>
      <c r="I11" s="4" t="n">
        <f aca="false">MIN(1,sc_attach)*0+('Pricing &amp; Mix'!I39*MIN(1,attach_peb*sc_attach)+'Pricing &amp; Mix'!I40*MIN(1,attach_sq*sc_attach)+'Pricing &amp; Mix'!I41*MIN(1,attach_atl*sc_attach))</f>
        <v>0</v>
      </c>
      <c r="J11" s="4" t="n">
        <f aca="false">MIN(1,sc_attach)*0+('Pricing &amp; Mix'!J39*MIN(1,attach_peb*sc_attach)+'Pricing &amp; Mix'!J40*MIN(1,attach_sq*sc_attach)+'Pricing &amp; Mix'!J41*MIN(1,attach_atl*sc_attach))</f>
        <v>0</v>
      </c>
      <c r="K11" s="4" t="n">
        <f aca="false">MIN(1,sc_attach)*0+('Pricing &amp; Mix'!K39*MIN(1,attach_peb*sc_attach)+'Pricing &amp; Mix'!K40*MIN(1,attach_sq*sc_attach)+'Pricing &amp; Mix'!K41*MIN(1,attach_atl*sc_attach))</f>
        <v>0</v>
      </c>
      <c r="L11" s="4" t="n">
        <f aca="false">MIN(1,sc_attach)*0+('Pricing &amp; Mix'!L39*MIN(1,attach_peb*sc_attach)+'Pricing &amp; Mix'!L40*MIN(1,attach_sq*sc_attach)+'Pricing &amp; Mix'!L41*MIN(1,attach_atl*sc_attach))</f>
        <v>0</v>
      </c>
      <c r="M11" s="4" t="n">
        <f aca="false">MIN(1,sc_attach)*0+('Pricing &amp; Mix'!M39*MIN(1,attach_peb*sc_attach)+'Pricing &amp; Mix'!M40*MIN(1,attach_sq*sc_attach)+'Pricing &amp; Mix'!M41*MIN(1,attach_atl*sc_attach))</f>
        <v>0</v>
      </c>
      <c r="N11" s="4" t="n">
        <f aca="false">MIN(1,sc_attach)*0+('Pricing &amp; Mix'!N39*MIN(1,attach_peb*sc_attach)+'Pricing &amp; Mix'!N40*MIN(1,attach_sq*sc_attach)+'Pricing &amp; Mix'!N41*MIN(1,attach_atl*sc_attach))</f>
        <v>0</v>
      </c>
      <c r="O11" s="4" t="n">
        <f aca="false">MIN(1,sc_attach)*0+('Pricing &amp; Mix'!O39*MIN(1,attach_peb*sc_attach)+'Pricing &amp; Mix'!O40*MIN(1,attach_sq*sc_attach)+'Pricing &amp; Mix'!O41*MIN(1,attach_atl*sc_attach))</f>
        <v>715</v>
      </c>
      <c r="P11" s="4" t="n">
        <f aca="false">MIN(1,sc_attach)*0+('Pricing &amp; Mix'!P39*MIN(1,attach_peb*sc_attach)+'Pricing &amp; Mix'!P40*MIN(1,attach_sq*sc_attach)+'Pricing &amp; Mix'!P41*MIN(1,attach_atl*sc_attach))</f>
        <v>529.1</v>
      </c>
      <c r="Q11" s="4" t="n">
        <f aca="false">MIN(1,sc_attach)*0+('Pricing &amp; Mix'!Q39*MIN(1,attach_peb*sc_attach)+'Pricing &amp; Mix'!Q40*MIN(1,attach_sq*sc_attach)+'Pricing &amp; Mix'!Q41*MIN(1,attach_atl*sc_attach))</f>
        <v>606.4</v>
      </c>
      <c r="R11" s="4" t="n">
        <f aca="false">MIN(1,sc_attach)*0+('Pricing &amp; Mix'!R39*MIN(1,attach_peb*sc_attach)+'Pricing &amp; Mix'!R40*MIN(1,attach_sq*sc_attach)+'Pricing &amp; Mix'!R41*MIN(1,attach_atl*sc_attach))</f>
        <v>660.39</v>
      </c>
      <c r="S11" s="4" t="n">
        <f aca="false">MIN(1,sc_attach)*0+('Pricing &amp; Mix'!S39*MIN(1,attach_peb*sc_attach)+'Pricing &amp; Mix'!S40*MIN(1,attach_sq*sc_attach)+'Pricing &amp; Mix'!S41*MIN(1,attach_atl*sc_attach))</f>
        <v>761.31</v>
      </c>
      <c r="T11" s="4" t="n">
        <f aca="false">MIN(1,sc_attach)*0+('Pricing &amp; Mix'!T39*MIN(1,attach_peb*sc_attach)+'Pricing &amp; Mix'!T40*MIN(1,attach_sq*sc_attach)+'Pricing &amp; Mix'!T41*MIN(1,attach_atl*sc_attach))</f>
        <v>755.425</v>
      </c>
      <c r="U11" s="4" t="n">
        <f aca="false">MIN(1,sc_attach)*0+('Pricing &amp; Mix'!U39*MIN(1,attach_peb*sc_attach)+'Pricing &amp; Mix'!U40*MIN(1,attach_sq*sc_attach)+'Pricing &amp; Mix'!U41*MIN(1,attach_atl*sc_attach))</f>
        <v>902.825</v>
      </c>
      <c r="V11" s="4" t="n">
        <f aca="false">MIN(1,sc_attach)*0+('Pricing &amp; Mix'!V39*MIN(1,attach_peb*sc_attach)+'Pricing &amp; Mix'!V40*MIN(1,attach_sq*sc_attach)+'Pricing &amp; Mix'!V41*MIN(1,attach_atl*sc_attach))</f>
        <v>1050.225</v>
      </c>
      <c r="W11" s="4" t="n">
        <f aca="false">MIN(1,sc_attach)*0+('Pricing &amp; Mix'!W39*MIN(1,attach_peb*sc_attach)+'Pricing &amp; Mix'!W40*MIN(1,attach_sq*sc_attach)+'Pricing &amp; Mix'!W41*MIN(1,attach_atl*sc_attach))</f>
        <v>1234.475</v>
      </c>
      <c r="X11" s="4" t="n">
        <f aca="false">MIN(1,sc_attach)*0+('Pricing &amp; Mix'!X39*MIN(1,attach_peb*sc_attach)+'Pricing &amp; Mix'!X40*MIN(1,attach_sq*sc_attach)+'Pricing &amp; Mix'!X41*MIN(1,attach_atl*sc_attach))</f>
        <v>1271.325</v>
      </c>
      <c r="Y11" s="4" t="n">
        <f aca="false">MIN(1,sc_attach)*0+('Pricing &amp; Mix'!Y39*MIN(1,attach_peb*sc_attach)+'Pricing &amp; Mix'!Y40*MIN(1,attach_sq*sc_attach)+'Pricing &amp; Mix'!Y41*MIN(1,attach_atl*sc_attach))</f>
        <v>1197.625</v>
      </c>
      <c r="Z11" s="4" t="n">
        <f aca="false">MIN(1,sc_attach)*0+('Pricing &amp; Mix'!Z39*MIN(1,attach_peb*sc_attach)+'Pricing &amp; Mix'!Z40*MIN(1,attach_sq*sc_attach)+'Pricing &amp; Mix'!Z41*MIN(1,attach_atl*sc_attach))</f>
        <v>1345.025</v>
      </c>
      <c r="AA11" s="4" t="n">
        <f aca="false">MIN(1,sc_attach)*0+('Pricing &amp; Mix'!AA39*MIN(1,attach_peb*sc_attach)+'Pricing &amp; Mix'!AA40*MIN(1,attach_sq*sc_attach)+'Pricing &amp; Mix'!AA41*MIN(1,attach_atl*sc_attach))</f>
        <v>1934.625</v>
      </c>
      <c r="AB11" s="4" t="n">
        <f aca="false">MIN(1,sc_attach)*0+('Pricing &amp; Mix'!AB39*MIN(1,attach_peb*sc_attach)+'Pricing &amp; Mix'!AB40*MIN(1,attach_sq*sc_attach)+'Pricing &amp; Mix'!AB41*MIN(1,attach_atl*sc_attach))</f>
        <v>2726.9</v>
      </c>
      <c r="AC11" s="4" t="n">
        <f aca="false">MIN(1,sc_attach)*0+('Pricing &amp; Mix'!AC39*MIN(1,attach_peb*sc_attach)+'Pricing &amp; Mix'!AC40*MIN(1,attach_sq*sc_attach)+'Pricing &amp; Mix'!AC41*MIN(1,attach_atl*sc_attach))</f>
        <v>44220</v>
      </c>
      <c r="AD11" s="4" t="n">
        <f aca="false">MIN(1,sc_attach)*0+('Pricing &amp; Mix'!AD39*MIN(1,attach_peb*sc_attach)+'Pricing &amp; Mix'!AD40*MIN(1,attach_sq*sc_attach)+'Pricing &amp; Mix'!AD41*MIN(1,attach_atl*sc_attach))</f>
        <v>92125</v>
      </c>
      <c r="AE11" s="4" t="n">
        <f aca="false">MIN(1,sc_attach)*0+('Pricing &amp; Mix'!AE39*MIN(1,attach_peb*sc_attach)+'Pricing &amp; Mix'!AE40*MIN(1,attach_sq*sc_attach)+'Pricing &amp; Mix'!AE41*MIN(1,attach_atl*sc_attach))</f>
        <v>147400</v>
      </c>
      <c r="AG11" s="4" t="n">
        <f aca="false">SUMIF($C$3:$AE$3,AG$3,$C11:$AE11)</f>
        <v>0</v>
      </c>
      <c r="AH11" s="4" t="n">
        <f aca="false">SUMIF($C$3:$AE$3,AH$3,$C11:$AE11)</f>
        <v>1244.1</v>
      </c>
      <c r="AI11" s="4" t="n">
        <f aca="false">SUMIF($C$3:$AE$3,AI$3,$C11:$AE11)</f>
        <v>14446.55</v>
      </c>
      <c r="AJ11" s="4" t="n">
        <f aca="false">SUMIF($C$3:$AE$3,AJ$3,$C11:$AE11)</f>
        <v>44220</v>
      </c>
      <c r="AK11" s="4" t="n">
        <f aca="false">SUMIF($C$3:$AE$3,AK$3,$C11:$AE11)</f>
        <v>92125</v>
      </c>
      <c r="AL11" s="4" t="n">
        <f aca="false">SUMIF($C$3:$AE$3,AL$3,$C11:$AE11)</f>
        <v>147400</v>
      </c>
    </row>
    <row r="12" customFormat="false" ht="15" hidden="false" customHeight="false" outlineLevel="0" collapsed="false">
      <c r="A12" s="0" t="s">
        <v>472</v>
      </c>
      <c r="B12" s="2" t="s">
        <v>58</v>
      </c>
      <c r="C12" s="5" t="n">
        <f aca="false">IF('Subscription Cohorts'!C10&gt;0,'Subscription Cohorts'!C11/'Subscription Cohorts'!C10,0)</f>
        <v>0</v>
      </c>
      <c r="D12" s="5" t="n">
        <f aca="false">IF('Subscription Cohorts'!D10&gt;0,'Subscription Cohorts'!D11/'Subscription Cohorts'!D10,0)</f>
        <v>0</v>
      </c>
      <c r="E12" s="5" t="n">
        <f aca="false">IF('Subscription Cohorts'!E10&gt;0,'Subscription Cohorts'!E11/'Subscription Cohorts'!E10,0)</f>
        <v>0</v>
      </c>
      <c r="F12" s="5" t="n">
        <f aca="false">IF('Subscription Cohorts'!F10&gt;0,'Subscription Cohorts'!F11/'Subscription Cohorts'!F10,0)</f>
        <v>0</v>
      </c>
      <c r="G12" s="5" t="n">
        <f aca="false">IF('Subscription Cohorts'!G10&gt;0,'Subscription Cohorts'!G11/'Subscription Cohorts'!G10,0)</f>
        <v>0</v>
      </c>
      <c r="H12" s="5" t="n">
        <f aca="false">IF('Subscription Cohorts'!H10&gt;0,'Subscription Cohorts'!H11/'Subscription Cohorts'!H10,0)</f>
        <v>0</v>
      </c>
      <c r="I12" s="5" t="n">
        <f aca="false">IF('Subscription Cohorts'!I10&gt;0,'Subscription Cohorts'!I11/'Subscription Cohorts'!I10,0)</f>
        <v>0</v>
      </c>
      <c r="J12" s="5" t="n">
        <f aca="false">IF('Subscription Cohorts'!J10&gt;0,'Subscription Cohorts'!J11/'Subscription Cohorts'!J10,0)</f>
        <v>0</v>
      </c>
      <c r="K12" s="5" t="n">
        <f aca="false">IF('Subscription Cohorts'!K10&gt;0,'Subscription Cohorts'!K11/'Subscription Cohorts'!K10,0)</f>
        <v>0</v>
      </c>
      <c r="L12" s="5" t="n">
        <f aca="false">IF('Subscription Cohorts'!L10&gt;0,'Subscription Cohorts'!L11/'Subscription Cohorts'!L10,0)</f>
        <v>0</v>
      </c>
      <c r="M12" s="5" t="n">
        <f aca="false">IF('Subscription Cohorts'!M10&gt;0,'Subscription Cohorts'!M11/'Subscription Cohorts'!M10,0)</f>
        <v>0</v>
      </c>
      <c r="N12" s="5" t="n">
        <f aca="false">IF('Subscription Cohorts'!N10&gt;0,'Subscription Cohorts'!N11/'Subscription Cohorts'!N10,0)</f>
        <v>0</v>
      </c>
      <c r="O12" s="5" t="n">
        <f aca="false">IF('Subscription Cohorts'!O10&gt;0,'Subscription Cohorts'!O11/'Subscription Cohorts'!O10,0)</f>
        <v>0.336470588235294</v>
      </c>
      <c r="P12" s="5" t="n">
        <f aca="false">IF('Subscription Cohorts'!P10&gt;0,'Subscription Cohorts'!P11/'Subscription Cohorts'!P10,0)</f>
        <v>0.336470588235294</v>
      </c>
      <c r="Q12" s="5" t="n">
        <f aca="false">IF('Subscription Cohorts'!Q10&gt;0,'Subscription Cohorts'!Q11/'Subscription Cohorts'!Q10,0)</f>
        <v>0.336421636615811</v>
      </c>
      <c r="R12" s="5" t="n">
        <f aca="false">IF('Subscription Cohorts'!R10&gt;0,'Subscription Cohorts'!R11/'Subscription Cohorts'!R10,0)</f>
        <v>0.382834782608696</v>
      </c>
      <c r="S12" s="5" t="n">
        <f aca="false">IF('Subscription Cohorts'!S10&gt;0,'Subscription Cohorts'!S11/'Subscription Cohorts'!S10,0)</f>
        <v>0.375955555555556</v>
      </c>
      <c r="T12" s="5" t="n">
        <f aca="false">IF('Subscription Cohorts'!T10&gt;0,'Subscription Cohorts'!T11/'Subscription Cohorts'!T10,0)</f>
        <v>0.3685</v>
      </c>
      <c r="U12" s="5" t="n">
        <f aca="false">IF('Subscription Cohorts'!U10&gt;0,'Subscription Cohorts'!U11/'Subscription Cohorts'!U10,0)</f>
        <v>0.3685</v>
      </c>
      <c r="V12" s="5" t="n">
        <f aca="false">IF('Subscription Cohorts'!V10&gt;0,'Subscription Cohorts'!V11/'Subscription Cohorts'!V10,0)</f>
        <v>0.3685</v>
      </c>
      <c r="W12" s="5" t="n">
        <f aca="false">IF('Subscription Cohorts'!W10&gt;0,'Subscription Cohorts'!W11/'Subscription Cohorts'!W10,0)</f>
        <v>0.3685</v>
      </c>
      <c r="X12" s="5" t="n">
        <f aca="false">IF('Subscription Cohorts'!X10&gt;0,'Subscription Cohorts'!X11/'Subscription Cohorts'!X10,0)</f>
        <v>0.3685</v>
      </c>
      <c r="Y12" s="5" t="n">
        <f aca="false">IF('Subscription Cohorts'!Y10&gt;0,'Subscription Cohorts'!Y11/'Subscription Cohorts'!Y10,0)</f>
        <v>0.3685</v>
      </c>
      <c r="Z12" s="5" t="n">
        <f aca="false">IF('Subscription Cohorts'!Z10&gt;0,'Subscription Cohorts'!Z11/'Subscription Cohorts'!Z10,0)</f>
        <v>0.3685</v>
      </c>
      <c r="AA12" s="5" t="n">
        <f aca="false">IF('Subscription Cohorts'!AA10&gt;0,'Subscription Cohorts'!AA11/'Subscription Cohorts'!AA10,0)</f>
        <v>0.3685</v>
      </c>
      <c r="AB12" s="5" t="n">
        <f aca="false">IF('Subscription Cohorts'!AB10&gt;0,'Subscription Cohorts'!AB11/'Subscription Cohorts'!AB10,0)</f>
        <v>0.3685</v>
      </c>
      <c r="AC12" s="5" t="n">
        <f aca="false">IF('Subscription Cohorts'!AC10&gt;0,'Subscription Cohorts'!AC11/'Subscription Cohorts'!AC10,0)</f>
        <v>0.3685</v>
      </c>
      <c r="AD12" s="5" t="n">
        <f aca="false">IF('Subscription Cohorts'!AD10&gt;0,'Subscription Cohorts'!AD11/'Subscription Cohorts'!AD10,0)</f>
        <v>0.3685</v>
      </c>
      <c r="AE12" s="5" t="n">
        <f aca="false">IF('Subscription Cohorts'!AE10&gt;0,'Subscription Cohorts'!AE11/'Subscription Cohorts'!AE10,0)</f>
        <v>0.3685</v>
      </c>
    </row>
    <row r="13" customFormat="false" ht="15" hidden="false" customHeight="false" outlineLevel="0" collapsed="false">
      <c r="A13" s="0" t="s">
        <v>473</v>
      </c>
      <c r="B13" s="2" t="s">
        <v>471</v>
      </c>
      <c r="C13" s="4" t="n">
        <f aca="false">0</f>
        <v>0</v>
      </c>
      <c r="D13" s="4" t="n">
        <f aca="false">0</f>
        <v>0</v>
      </c>
      <c r="E13" s="4" t="n">
        <f aca="false">0</f>
        <v>0</v>
      </c>
      <c r="F13" s="4" t="n">
        <f aca="false">'Subscription Cohorts'!C11</f>
        <v>0</v>
      </c>
      <c r="G13" s="4" t="n">
        <f aca="false">'Subscription Cohorts'!D11</f>
        <v>0</v>
      </c>
      <c r="H13" s="4" t="n">
        <f aca="false">'Subscription Cohorts'!E11</f>
        <v>0</v>
      </c>
      <c r="I13" s="4" t="n">
        <f aca="false">'Subscription Cohorts'!F11</f>
        <v>0</v>
      </c>
      <c r="J13" s="4" t="n">
        <f aca="false">'Subscription Cohorts'!G11</f>
        <v>0</v>
      </c>
      <c r="K13" s="4" t="n">
        <f aca="false">'Subscription Cohorts'!H11</f>
        <v>0</v>
      </c>
      <c r="L13" s="4" t="n">
        <f aca="false">'Subscription Cohorts'!I11</f>
        <v>0</v>
      </c>
      <c r="M13" s="4" t="n">
        <f aca="false">'Subscription Cohorts'!J11</f>
        <v>0</v>
      </c>
      <c r="N13" s="4" t="n">
        <f aca="false">'Subscription Cohorts'!K11</f>
        <v>0</v>
      </c>
      <c r="O13" s="4" t="n">
        <f aca="false">'Subscription Cohorts'!L11</f>
        <v>0</v>
      </c>
      <c r="P13" s="4" t="n">
        <f aca="false">'Subscription Cohorts'!M11</f>
        <v>0</v>
      </c>
      <c r="Q13" s="4" t="n">
        <f aca="false">'Subscription Cohorts'!N11</f>
        <v>0</v>
      </c>
      <c r="R13" s="4" t="n">
        <f aca="false">'Subscription Cohorts'!O11</f>
        <v>715</v>
      </c>
      <c r="S13" s="4" t="n">
        <f aca="false">'Subscription Cohorts'!P11</f>
        <v>529.1</v>
      </c>
      <c r="T13" s="4" t="n">
        <f aca="false">'Subscription Cohorts'!Q11</f>
        <v>606.4</v>
      </c>
      <c r="U13" s="4" t="n">
        <f aca="false">'Subscription Cohorts'!R11</f>
        <v>660.39</v>
      </c>
      <c r="V13" s="4" t="n">
        <f aca="false">'Subscription Cohorts'!S11</f>
        <v>761.31</v>
      </c>
      <c r="W13" s="4" t="n">
        <f aca="false">'Subscription Cohorts'!T11</f>
        <v>755.425</v>
      </c>
      <c r="X13" s="4" t="n">
        <f aca="false">'Subscription Cohorts'!U11</f>
        <v>902.825</v>
      </c>
      <c r="Y13" s="4" t="n">
        <f aca="false">'Subscription Cohorts'!V11</f>
        <v>1050.225</v>
      </c>
      <c r="Z13" s="4" t="n">
        <f aca="false">'Subscription Cohorts'!W11</f>
        <v>1234.475</v>
      </c>
      <c r="AA13" s="4" t="n">
        <f aca="false">'Subscription Cohorts'!X11</f>
        <v>1271.325</v>
      </c>
      <c r="AB13" s="4" t="n">
        <f aca="false">'Subscription Cohorts'!Y11</f>
        <v>1197.625</v>
      </c>
      <c r="AC13" s="4" t="n">
        <f aca="false">'Subscription Cohorts'!AC11*0.75+'Subscription Cohorts'!Z11+'Subscription Cohorts'!AA11+'Subscription Cohorts'!AB11</f>
        <v>39171.55</v>
      </c>
      <c r="AD13" s="4" t="n">
        <f aca="false">'Subscription Cohorts'!AD11*0.75+'Subscription Cohorts'!AC11*0.25</f>
        <v>80148.75</v>
      </c>
      <c r="AE13" s="4" t="n">
        <f aca="false">'Subscription Cohorts'!AE11*0.75+'Subscription Cohorts'!AD11*0.25</f>
        <v>133581.25</v>
      </c>
      <c r="AG13" s="4" t="n">
        <f aca="false">SUMIF($C$3:$AE$3,AG$3,$C13:$AE13)</f>
        <v>0</v>
      </c>
      <c r="AH13" s="4" t="n">
        <f aca="false">SUMIF($C$3:$AE$3,AH$3,$C13:$AE13)</f>
        <v>0</v>
      </c>
      <c r="AI13" s="4" t="n">
        <f aca="false">SUMIF($C$3:$AE$3,AI$3,$C13:$AE13)</f>
        <v>9684.1</v>
      </c>
      <c r="AJ13" s="4" t="n">
        <f aca="false">SUMIF($C$3:$AE$3,AJ$3,$C13:$AE13)</f>
        <v>39171.55</v>
      </c>
      <c r="AK13" s="4" t="n">
        <f aca="false">SUMIF($C$3:$AE$3,AK$3,$C13:$AE13)</f>
        <v>80148.75</v>
      </c>
      <c r="AL13" s="4" t="n">
        <f aca="false">SUMIF($C$3:$AE$3,AL$3,$C13:$AE13)</f>
        <v>133581.25</v>
      </c>
    </row>
    <row r="14" customFormat="false" ht="15" hidden="false" customHeight="false" outlineLevel="0" collapsed="false">
      <c r="A14" s="0" t="s">
        <v>474</v>
      </c>
      <c r="B14" s="2" t="s">
        <v>195</v>
      </c>
      <c r="C14" s="5" t="n">
        <f aca="false">MIN(0.5,churn*sc_churn)</f>
        <v>0.06</v>
      </c>
      <c r="D14" s="5" t="n">
        <f aca="false">MIN(0.5,churn*sc_churn)</f>
        <v>0.06</v>
      </c>
      <c r="E14" s="5" t="n">
        <f aca="false">MIN(0.5,churn*sc_churn)</f>
        <v>0.06</v>
      </c>
      <c r="F14" s="5" t="n">
        <f aca="false">MIN(0.5,churn*sc_churn)</f>
        <v>0.06</v>
      </c>
      <c r="G14" s="5" t="n">
        <f aca="false">MIN(0.5,churn*sc_churn)</f>
        <v>0.06</v>
      </c>
      <c r="H14" s="5" t="n">
        <f aca="false">MIN(0.5,churn*sc_churn)</f>
        <v>0.06</v>
      </c>
      <c r="I14" s="5" t="n">
        <f aca="false">MIN(0.5,churn*sc_churn)</f>
        <v>0.06</v>
      </c>
      <c r="J14" s="5" t="n">
        <f aca="false">MIN(0.5,churn*sc_churn)</f>
        <v>0.06</v>
      </c>
      <c r="K14" s="5" t="n">
        <f aca="false">MIN(0.5,churn*sc_churn)</f>
        <v>0.06</v>
      </c>
      <c r="L14" s="5" t="n">
        <f aca="false">MIN(0.5,churn*sc_churn)</f>
        <v>0.06</v>
      </c>
      <c r="M14" s="5" t="n">
        <f aca="false">MIN(0.5,churn*sc_churn)</f>
        <v>0.06</v>
      </c>
      <c r="N14" s="5" t="n">
        <f aca="false">MIN(0.5,churn*sc_churn)</f>
        <v>0.06</v>
      </c>
      <c r="O14" s="5" t="n">
        <f aca="false">MIN(0.5,churn*sc_churn)</f>
        <v>0.06</v>
      </c>
      <c r="P14" s="5" t="n">
        <f aca="false">MIN(0.5,churn*sc_churn)</f>
        <v>0.06</v>
      </c>
      <c r="Q14" s="5" t="n">
        <f aca="false">MIN(0.5,churn*sc_churn)</f>
        <v>0.06</v>
      </c>
      <c r="R14" s="5" t="n">
        <f aca="false">MIN(0.5,churn*sc_churn)</f>
        <v>0.06</v>
      </c>
      <c r="S14" s="5" t="n">
        <f aca="false">MIN(0.5,churn*sc_churn)</f>
        <v>0.06</v>
      </c>
      <c r="T14" s="5" t="n">
        <f aca="false">MIN(0.5,churn*sc_churn)</f>
        <v>0.06</v>
      </c>
      <c r="U14" s="5" t="n">
        <f aca="false">MIN(0.5,churn*sc_churn)</f>
        <v>0.06</v>
      </c>
      <c r="V14" s="5" t="n">
        <f aca="false">MIN(0.5,churn*sc_churn)</f>
        <v>0.06</v>
      </c>
      <c r="W14" s="5" t="n">
        <f aca="false">MIN(0.5,churn*sc_churn)</f>
        <v>0.06</v>
      </c>
      <c r="X14" s="5" t="n">
        <f aca="false">MIN(0.5,churn*sc_churn)</f>
        <v>0.06</v>
      </c>
      <c r="Y14" s="5" t="n">
        <f aca="false">MIN(0.5,churn*sc_churn)</f>
        <v>0.06</v>
      </c>
      <c r="Z14" s="5" t="n">
        <f aca="false">MIN(0.5,churn*sc_churn)</f>
        <v>0.06</v>
      </c>
      <c r="AA14" s="5" t="n">
        <f aca="false">MIN(0.5,churn*sc_churn)</f>
        <v>0.06</v>
      </c>
      <c r="AB14" s="5" t="n">
        <f aca="false">MIN(0.5,churn*sc_churn)</f>
        <v>0.06</v>
      </c>
      <c r="AC14" s="5" t="n">
        <f aca="false">MIN(0.5,churn*sc_churn)</f>
        <v>0.06</v>
      </c>
      <c r="AD14" s="5" t="n">
        <f aca="false">MIN(0.5,churn*sc_churn)</f>
        <v>0.06</v>
      </c>
      <c r="AE14" s="5" t="n">
        <f aca="false">MIN(0.5,churn*sc_churn)</f>
        <v>0.06</v>
      </c>
    </row>
    <row r="16" customFormat="false" ht="15" hidden="false" customHeight="false" outlineLevel="0" collapsed="false">
      <c r="A16" s="8" t="s">
        <v>475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customFormat="false" ht="15" hidden="false" customHeight="false" outlineLevel="0" collapsed="false">
      <c r="A17" s="0" t="s">
        <v>476</v>
      </c>
      <c r="B17" s="2" t="s">
        <v>471</v>
      </c>
      <c r="C17" s="4" t="n">
        <f aca="false">0</f>
        <v>0</v>
      </c>
      <c r="D17" s="4" t="n">
        <f aca="false">C19</f>
        <v>0</v>
      </c>
      <c r="E17" s="4" t="n">
        <f aca="false">D19</f>
        <v>0</v>
      </c>
      <c r="F17" s="4" t="n">
        <f aca="false">E19</f>
        <v>0</v>
      </c>
      <c r="G17" s="4" t="n">
        <f aca="false">F19</f>
        <v>0</v>
      </c>
      <c r="H17" s="4" t="n">
        <f aca="false">G19</f>
        <v>0</v>
      </c>
      <c r="I17" s="4" t="n">
        <f aca="false">H19</f>
        <v>0</v>
      </c>
      <c r="J17" s="4" t="n">
        <f aca="false">I19</f>
        <v>0</v>
      </c>
      <c r="K17" s="4" t="n">
        <f aca="false">J19</f>
        <v>0</v>
      </c>
      <c r="L17" s="4" t="n">
        <f aca="false">K19</f>
        <v>0</v>
      </c>
      <c r="M17" s="4" t="n">
        <f aca="false">L19</f>
        <v>0</v>
      </c>
      <c r="N17" s="4" t="n">
        <f aca="false">M19</f>
        <v>0</v>
      </c>
      <c r="O17" s="4" t="n">
        <f aca="false">N19</f>
        <v>0</v>
      </c>
      <c r="P17" s="4" t="n">
        <f aca="false">O19</f>
        <v>0</v>
      </c>
      <c r="Q17" s="4" t="n">
        <f aca="false">P19</f>
        <v>0</v>
      </c>
      <c r="R17" s="4" t="n">
        <f aca="false">Q19</f>
        <v>0</v>
      </c>
      <c r="S17" s="4" t="n">
        <f aca="false">R19</f>
        <v>715</v>
      </c>
      <c r="T17" s="4" t="n">
        <f aca="false">S19</f>
        <v>1201.2</v>
      </c>
      <c r="U17" s="4" t="n">
        <f aca="false">T19</f>
        <v>1735.528</v>
      </c>
      <c r="V17" s="4" t="n">
        <f aca="false">U19</f>
        <v>2291.78632</v>
      </c>
      <c r="W17" s="4" t="n">
        <f aca="false">V19</f>
        <v>2915.5891408</v>
      </c>
      <c r="X17" s="4" t="n">
        <f aca="false">W19</f>
        <v>3496.078792352</v>
      </c>
      <c r="Y17" s="4" t="n">
        <f aca="false">X19</f>
        <v>4189.13906481088</v>
      </c>
      <c r="Z17" s="4" t="n">
        <f aca="false">Y19</f>
        <v>4988.01572092223</v>
      </c>
      <c r="AA17" s="4" t="n">
        <f aca="false">Z19</f>
        <v>5923.20977766689</v>
      </c>
      <c r="AB17" s="4" t="n">
        <f aca="false">AA19</f>
        <v>6839.14219100688</v>
      </c>
      <c r="AC17" s="4" t="n">
        <f aca="false">AB19</f>
        <v>7626.41865954647</v>
      </c>
      <c r="AD17" s="4" t="n">
        <f aca="false">AC19</f>
        <v>32142.0864474646</v>
      </c>
      <c r="AE17" s="4" t="n">
        <f aca="false">AD19</f>
        <v>73636.4214397964</v>
      </c>
    </row>
    <row r="18" customFormat="false" ht="15" hidden="false" customHeight="false" outlineLevel="0" collapsed="false">
      <c r="A18" s="0" t="s">
        <v>477</v>
      </c>
      <c r="B18" s="2" t="s">
        <v>471</v>
      </c>
      <c r="C18" s="4" t="n">
        <f aca="false">C17+C13-C19</f>
        <v>0</v>
      </c>
      <c r="D18" s="4" t="n">
        <f aca="false">D17+D13-D19</f>
        <v>0</v>
      </c>
      <c r="E18" s="4" t="n">
        <f aca="false">E17+E13-E19</f>
        <v>0</v>
      </c>
      <c r="F18" s="4" t="n">
        <f aca="false">F17+F13-F19</f>
        <v>0</v>
      </c>
      <c r="G18" s="4" t="n">
        <f aca="false">G17+G13-G19</f>
        <v>0</v>
      </c>
      <c r="H18" s="4" t="n">
        <f aca="false">H17+H13-H19</f>
        <v>0</v>
      </c>
      <c r="I18" s="4" t="n">
        <f aca="false">I17+I13-I19</f>
        <v>0</v>
      </c>
      <c r="J18" s="4" t="n">
        <f aca="false">J17+J13-J19</f>
        <v>0</v>
      </c>
      <c r="K18" s="4" t="n">
        <f aca="false">K17+K13-K19</f>
        <v>0</v>
      </c>
      <c r="L18" s="4" t="n">
        <f aca="false">L17+L13-L19</f>
        <v>0</v>
      </c>
      <c r="M18" s="4" t="n">
        <f aca="false">M17+M13-M19</f>
        <v>0</v>
      </c>
      <c r="N18" s="4" t="n">
        <f aca="false">N17+N13-N19</f>
        <v>0</v>
      </c>
      <c r="O18" s="4" t="n">
        <f aca="false">O17+O13-O19</f>
        <v>0</v>
      </c>
      <c r="P18" s="4" t="n">
        <f aca="false">P17+P13-P19</f>
        <v>0</v>
      </c>
      <c r="Q18" s="4" t="n">
        <f aca="false">Q17+Q13-Q19</f>
        <v>0</v>
      </c>
      <c r="R18" s="4" t="n">
        <f aca="false">R17+R13-R19</f>
        <v>0</v>
      </c>
      <c r="S18" s="4" t="n">
        <f aca="false">S17+S13-S19</f>
        <v>42.9000000000001</v>
      </c>
      <c r="T18" s="4" t="n">
        <f aca="false">T17+T13-T19</f>
        <v>72.0720000000001</v>
      </c>
      <c r="U18" s="4" t="n">
        <f aca="false">U17+U13-U19</f>
        <v>104.13168</v>
      </c>
      <c r="V18" s="4" t="n">
        <f aca="false">V17+V13-V19</f>
        <v>137.5071792</v>
      </c>
      <c r="W18" s="4" t="n">
        <f aca="false">W17+W13-W19</f>
        <v>174.935348448001</v>
      </c>
      <c r="X18" s="4" t="n">
        <f aca="false">X17+X13-X19</f>
        <v>209.76472754112</v>
      </c>
      <c r="Y18" s="4" t="n">
        <f aca="false">Y17+Y13-Y19</f>
        <v>251.348343888653</v>
      </c>
      <c r="Z18" s="4" t="n">
        <f aca="false">Z17+Z13-Z19</f>
        <v>299.280943255333</v>
      </c>
      <c r="AA18" s="4" t="n">
        <f aca="false">AA17+AA13-AA19</f>
        <v>355.392586660014</v>
      </c>
      <c r="AB18" s="4" t="n">
        <f aca="false">AB17+AB13-AB19</f>
        <v>410.348531460413</v>
      </c>
      <c r="AC18" s="4" t="n">
        <f aca="false">AC17+AC13-AC19</f>
        <v>14655.8822120818</v>
      </c>
      <c r="AD18" s="4" t="n">
        <f aca="false">AD17+AD13-AD19</f>
        <v>38654.4150076682</v>
      </c>
      <c r="AE18" s="4" t="n">
        <f aca="false">AE17+AE13-AE19</f>
        <v>74940.35333482</v>
      </c>
      <c r="AG18" s="4" t="n">
        <f aca="false">SUMIF($C$3:$AE$3,AG$3,$C18:$AE18)</f>
        <v>0</v>
      </c>
      <c r="AH18" s="4" t="n">
        <f aca="false">SUMIF($C$3:$AE$3,AH$3,$C18:$AE18)</f>
        <v>0</v>
      </c>
      <c r="AI18" s="4" t="n">
        <f aca="false">SUMIF($C$3:$AE$3,AI$3,$C18:$AE18)</f>
        <v>2057.68134045353</v>
      </c>
      <c r="AJ18" s="4" t="n">
        <f aca="false">SUMIF($C$3:$AE$3,AJ$3,$C18:$AE18)</f>
        <v>14655.8822120818</v>
      </c>
      <c r="AK18" s="4" t="n">
        <f aca="false">SUMIF($C$3:$AE$3,AK$3,$C18:$AE18)</f>
        <v>38654.4150076682</v>
      </c>
      <c r="AL18" s="4" t="n">
        <f aca="false">SUMIF($C$3:$AE$3,AL$3,$C18:$AE18)</f>
        <v>74940.35333482</v>
      </c>
    </row>
    <row r="19" customFormat="false" ht="15" hidden="false" customHeight="false" outlineLevel="0" collapsed="false">
      <c r="A19" s="13" t="s">
        <v>478</v>
      </c>
      <c r="B19" s="2" t="s">
        <v>471</v>
      </c>
      <c r="C19" s="29" t="n">
        <f aca="false">'Subscription Cohorts'!C17*(1-'Subscription Cohorts'!C14)+'Subscription Cohorts'!C13</f>
        <v>0</v>
      </c>
      <c r="D19" s="29" t="n">
        <f aca="false">'Subscription Cohorts'!D17*(1-'Subscription Cohorts'!D14)+'Subscription Cohorts'!D13</f>
        <v>0</v>
      </c>
      <c r="E19" s="29" t="n">
        <f aca="false">'Subscription Cohorts'!E17*(1-'Subscription Cohorts'!E14)+'Subscription Cohorts'!E13</f>
        <v>0</v>
      </c>
      <c r="F19" s="29" t="n">
        <f aca="false">'Subscription Cohorts'!F17*(1-'Subscription Cohorts'!F14)+'Subscription Cohorts'!F13</f>
        <v>0</v>
      </c>
      <c r="G19" s="29" t="n">
        <f aca="false">'Subscription Cohorts'!G17*(1-'Subscription Cohorts'!G14)+'Subscription Cohorts'!G13</f>
        <v>0</v>
      </c>
      <c r="H19" s="29" t="n">
        <f aca="false">'Subscription Cohorts'!H17*(1-'Subscription Cohorts'!H14)+'Subscription Cohorts'!H13</f>
        <v>0</v>
      </c>
      <c r="I19" s="29" t="n">
        <f aca="false">'Subscription Cohorts'!I17*(1-'Subscription Cohorts'!I14)+'Subscription Cohorts'!I13</f>
        <v>0</v>
      </c>
      <c r="J19" s="29" t="n">
        <f aca="false">'Subscription Cohorts'!J17*(1-'Subscription Cohorts'!J14)+'Subscription Cohorts'!J13</f>
        <v>0</v>
      </c>
      <c r="K19" s="29" t="n">
        <f aca="false">'Subscription Cohorts'!K17*(1-'Subscription Cohorts'!K14)+'Subscription Cohorts'!K13</f>
        <v>0</v>
      </c>
      <c r="L19" s="29" t="n">
        <f aca="false">'Subscription Cohorts'!L17*(1-'Subscription Cohorts'!L14)+'Subscription Cohorts'!L13</f>
        <v>0</v>
      </c>
      <c r="M19" s="29" t="n">
        <f aca="false">'Subscription Cohorts'!M17*(1-'Subscription Cohorts'!M14)+'Subscription Cohorts'!M13</f>
        <v>0</v>
      </c>
      <c r="N19" s="29" t="n">
        <f aca="false">'Subscription Cohorts'!N17*(1-'Subscription Cohorts'!N14)+'Subscription Cohorts'!N13</f>
        <v>0</v>
      </c>
      <c r="O19" s="29" t="n">
        <f aca="false">'Subscription Cohorts'!O17*(1-'Subscription Cohorts'!O14)+'Subscription Cohorts'!O13</f>
        <v>0</v>
      </c>
      <c r="P19" s="29" t="n">
        <f aca="false">'Subscription Cohorts'!P17*(1-'Subscription Cohorts'!P14)+'Subscription Cohorts'!P13</f>
        <v>0</v>
      </c>
      <c r="Q19" s="29" t="n">
        <f aca="false">'Subscription Cohorts'!Q17*(1-'Subscription Cohorts'!Q14)+'Subscription Cohorts'!Q13</f>
        <v>0</v>
      </c>
      <c r="R19" s="29" t="n">
        <f aca="false">'Subscription Cohorts'!R17*(1-'Subscription Cohorts'!R14)+'Subscription Cohorts'!R13</f>
        <v>715</v>
      </c>
      <c r="S19" s="29" t="n">
        <f aca="false">'Subscription Cohorts'!S17*(1-'Subscription Cohorts'!S14)+'Subscription Cohorts'!S13</f>
        <v>1201.2</v>
      </c>
      <c r="T19" s="29" t="n">
        <f aca="false">'Subscription Cohorts'!T17*(1-'Subscription Cohorts'!T14)+'Subscription Cohorts'!T13</f>
        <v>1735.528</v>
      </c>
      <c r="U19" s="29" t="n">
        <f aca="false">'Subscription Cohorts'!U17*(1-'Subscription Cohorts'!U14)+'Subscription Cohorts'!U13</f>
        <v>2291.78632</v>
      </c>
      <c r="V19" s="29" t="n">
        <f aca="false">'Subscription Cohorts'!V17*(1-'Subscription Cohorts'!V14)+'Subscription Cohorts'!V13</f>
        <v>2915.5891408</v>
      </c>
      <c r="W19" s="29" t="n">
        <f aca="false">'Subscription Cohorts'!W17*(1-'Subscription Cohorts'!W14)+'Subscription Cohorts'!W13</f>
        <v>3496.078792352</v>
      </c>
      <c r="X19" s="29" t="n">
        <f aca="false">'Subscription Cohorts'!X17*(1-'Subscription Cohorts'!X14)+'Subscription Cohorts'!X13</f>
        <v>4189.13906481088</v>
      </c>
      <c r="Y19" s="29" t="n">
        <f aca="false">'Subscription Cohorts'!Y17*(1-'Subscription Cohorts'!Y14)+'Subscription Cohorts'!Y13</f>
        <v>4988.01572092223</v>
      </c>
      <c r="Z19" s="29" t="n">
        <f aca="false">'Subscription Cohorts'!Z17*(1-'Subscription Cohorts'!Z14)+'Subscription Cohorts'!Z13</f>
        <v>5923.20977766689</v>
      </c>
      <c r="AA19" s="29" t="n">
        <f aca="false">'Subscription Cohorts'!AA17*(1-'Subscription Cohorts'!AA14)+'Subscription Cohorts'!AA13</f>
        <v>6839.14219100688</v>
      </c>
      <c r="AB19" s="29" t="n">
        <f aca="false">'Subscription Cohorts'!AB17*(1-'Subscription Cohorts'!AB14)+'Subscription Cohorts'!AB13</f>
        <v>7626.41865954647</v>
      </c>
      <c r="AC19" s="29" t="n">
        <f aca="false">'Subscription Cohorts'!AC17*(1-'Subscription Cohorts'!AC14)^12+'Subscription Cohorts'!AC13*(1-(1-'Subscription Cohorts'!AC14)^12)/(12*'Subscription Cohorts'!AC14)</f>
        <v>32142.0864474646</v>
      </c>
      <c r="AD19" s="29" t="n">
        <f aca="false">'Subscription Cohorts'!AD17*(1-'Subscription Cohorts'!AD14)^12+'Subscription Cohorts'!AD13*(1-(1-'Subscription Cohorts'!AD14)^12)/(12*'Subscription Cohorts'!AD14)</f>
        <v>73636.4214397964</v>
      </c>
      <c r="AE19" s="29" t="n">
        <f aca="false">'Subscription Cohorts'!AE17*(1-'Subscription Cohorts'!AE14)^12+'Subscription Cohorts'!AE13*(1-(1-'Subscription Cohorts'!AE14)^12)/(12*'Subscription Cohorts'!AE14)</f>
        <v>132277.318104977</v>
      </c>
      <c r="AG19" s="29" t="n">
        <f aca="false">D19</f>
        <v>0</v>
      </c>
      <c r="AH19" s="29" t="n">
        <f aca="false">P19</f>
        <v>0</v>
      </c>
      <c r="AI19" s="29" t="n">
        <f aca="false">AB19</f>
        <v>7626.41865954647</v>
      </c>
      <c r="AJ19" s="29" t="n">
        <f aca="false">AC19</f>
        <v>32142.0864474646</v>
      </c>
      <c r="AK19" s="29" t="n">
        <f aca="false">AD19</f>
        <v>73636.4214397964</v>
      </c>
      <c r="AL19" s="29" t="n">
        <f aca="false">AE19</f>
        <v>132277.318104977</v>
      </c>
    </row>
    <row r="20" customFormat="false" ht="15" hidden="false" customHeight="false" outlineLevel="0" collapsed="false">
      <c r="A20" s="0" t="s">
        <v>479</v>
      </c>
      <c r="B20" s="2" t="s">
        <v>471</v>
      </c>
      <c r="C20" s="4" t="n">
        <f aca="false">('Subscription Cohorts'!C17+'Subscription Cohorts'!C19)/2</f>
        <v>0</v>
      </c>
      <c r="D20" s="4" t="n">
        <f aca="false">('Subscription Cohorts'!D17+'Subscription Cohorts'!D19)/2</f>
        <v>0</v>
      </c>
      <c r="E20" s="4" t="n">
        <f aca="false">('Subscription Cohorts'!E17+'Subscription Cohorts'!E19)/2</f>
        <v>0</v>
      </c>
      <c r="F20" s="4" t="n">
        <f aca="false">('Subscription Cohorts'!F17+'Subscription Cohorts'!F19)/2</f>
        <v>0</v>
      </c>
      <c r="G20" s="4" t="n">
        <f aca="false">('Subscription Cohorts'!G17+'Subscription Cohorts'!G19)/2</f>
        <v>0</v>
      </c>
      <c r="H20" s="4" t="n">
        <f aca="false">('Subscription Cohorts'!H17+'Subscription Cohorts'!H19)/2</f>
        <v>0</v>
      </c>
      <c r="I20" s="4" t="n">
        <f aca="false">('Subscription Cohorts'!I17+'Subscription Cohorts'!I19)/2</f>
        <v>0</v>
      </c>
      <c r="J20" s="4" t="n">
        <f aca="false">('Subscription Cohorts'!J17+'Subscription Cohorts'!J19)/2</f>
        <v>0</v>
      </c>
      <c r="K20" s="4" t="n">
        <f aca="false">('Subscription Cohorts'!K17+'Subscription Cohorts'!K19)/2</f>
        <v>0</v>
      </c>
      <c r="L20" s="4" t="n">
        <f aca="false">('Subscription Cohorts'!L17+'Subscription Cohorts'!L19)/2</f>
        <v>0</v>
      </c>
      <c r="M20" s="4" t="n">
        <f aca="false">('Subscription Cohorts'!M17+'Subscription Cohorts'!M19)/2</f>
        <v>0</v>
      </c>
      <c r="N20" s="4" t="n">
        <f aca="false">('Subscription Cohorts'!N17+'Subscription Cohorts'!N19)/2</f>
        <v>0</v>
      </c>
      <c r="O20" s="4" t="n">
        <f aca="false">('Subscription Cohorts'!O17+'Subscription Cohorts'!O19)/2</f>
        <v>0</v>
      </c>
      <c r="P20" s="4" t="n">
        <f aca="false">('Subscription Cohorts'!P17+'Subscription Cohorts'!P19)/2</f>
        <v>0</v>
      </c>
      <c r="Q20" s="4" t="n">
        <f aca="false">('Subscription Cohorts'!Q17+'Subscription Cohorts'!Q19)/2</f>
        <v>0</v>
      </c>
      <c r="R20" s="4" t="n">
        <f aca="false">('Subscription Cohorts'!R17+'Subscription Cohorts'!R19)/2</f>
        <v>357.5</v>
      </c>
      <c r="S20" s="4" t="n">
        <f aca="false">('Subscription Cohorts'!S17+'Subscription Cohorts'!S19)/2</f>
        <v>958.1</v>
      </c>
      <c r="T20" s="4" t="n">
        <f aca="false">('Subscription Cohorts'!T17+'Subscription Cohorts'!T19)/2</f>
        <v>1468.364</v>
      </c>
      <c r="U20" s="4" t="n">
        <f aca="false">('Subscription Cohorts'!U17+'Subscription Cohorts'!U19)/2</f>
        <v>2013.65716</v>
      </c>
      <c r="V20" s="4" t="n">
        <f aca="false">('Subscription Cohorts'!V17+'Subscription Cohorts'!V19)/2</f>
        <v>2603.6877304</v>
      </c>
      <c r="W20" s="4" t="n">
        <f aca="false">('Subscription Cohorts'!W17+'Subscription Cohorts'!W19)/2</f>
        <v>3205.833966576</v>
      </c>
      <c r="X20" s="4" t="n">
        <f aca="false">('Subscription Cohorts'!X17+'Subscription Cohorts'!X19)/2</f>
        <v>3842.60892858144</v>
      </c>
      <c r="Y20" s="4" t="n">
        <f aca="false">('Subscription Cohorts'!Y17+'Subscription Cohorts'!Y19)/2</f>
        <v>4588.57739286655</v>
      </c>
      <c r="Z20" s="4" t="n">
        <f aca="false">('Subscription Cohorts'!Z17+'Subscription Cohorts'!Z19)/2</f>
        <v>5455.61274929456</v>
      </c>
      <c r="AA20" s="4" t="n">
        <f aca="false">('Subscription Cohorts'!AA17+'Subscription Cohorts'!AA19)/2</f>
        <v>6381.17598433689</v>
      </c>
      <c r="AB20" s="4" t="n">
        <f aca="false">('Subscription Cohorts'!AB17+'Subscription Cohorts'!AB19)/2</f>
        <v>7232.78042527667</v>
      </c>
      <c r="AC20" s="4" t="n">
        <f aca="false">('Subscription Cohorts'!AC17+'Subscription Cohorts'!AC19)/2</f>
        <v>19884.2525535056</v>
      </c>
      <c r="AD20" s="4" t="n">
        <f aca="false">('Subscription Cohorts'!AD17+'Subscription Cohorts'!AD19)/2</f>
        <v>52889.2539436305</v>
      </c>
      <c r="AE20" s="4" t="n">
        <f aca="false">('Subscription Cohorts'!AE17+'Subscription Cohorts'!AE19)/2</f>
        <v>102956.869772386</v>
      </c>
      <c r="AG20" s="4" t="n">
        <f aca="false">SUMIF($C$3:$AE$3,AG$3,$C20:$AE20)/COUNTIF($C$3:$AE$3,AG$3)</f>
        <v>0</v>
      </c>
      <c r="AH20" s="4" t="n">
        <f aca="false">SUMIF($C$3:$AE$3,AH$3,$C20:$AE20)/COUNTIF($C$3:$AE$3,AH$3)</f>
        <v>0</v>
      </c>
      <c r="AI20" s="4" t="n">
        <f aca="false">SUMIF($C$3:$AE$3,AI$3,$C20:$AE20)/COUNTIF($C$3:$AE$3,AI$3)</f>
        <v>3175.65819477768</v>
      </c>
      <c r="AJ20" s="4" t="n">
        <f aca="false">SUMIF($C$3:$AE$3,AJ$3,$C20:$AE20)/COUNTIF($C$3:$AE$3,AJ$3)</f>
        <v>19884.2525535056</v>
      </c>
      <c r="AK20" s="4" t="n">
        <f aca="false">SUMIF($C$3:$AE$3,AK$3,$C20:$AE20)/COUNTIF($C$3:$AE$3,AK$3)</f>
        <v>52889.2539436305</v>
      </c>
      <c r="AL20" s="4" t="n">
        <f aca="false">SUMIF($C$3:$AE$3,AL$3,$C20:$AE20)/COUNTIF($C$3:$AE$3,AL$3)</f>
        <v>102956.869772386</v>
      </c>
    </row>
    <row r="21" customFormat="false" ht="15" hidden="false" customHeight="false" outlineLevel="0" collapsed="false">
      <c r="A21" s="0" t="s">
        <v>480</v>
      </c>
      <c r="B21" s="2" t="s">
        <v>481</v>
      </c>
      <c r="C21" s="4" t="n">
        <f aca="false">'Subscription Cohorts'!C20*Timeline!C4</f>
        <v>0</v>
      </c>
      <c r="D21" s="4" t="n">
        <f aca="false">'Subscription Cohorts'!D20*Timeline!D4</f>
        <v>0</v>
      </c>
      <c r="E21" s="4" t="n">
        <f aca="false">'Subscription Cohorts'!E20*Timeline!E4</f>
        <v>0</v>
      </c>
      <c r="F21" s="4" t="n">
        <f aca="false">'Subscription Cohorts'!F20*Timeline!F4</f>
        <v>0</v>
      </c>
      <c r="G21" s="4" t="n">
        <f aca="false">'Subscription Cohorts'!G20*Timeline!G4</f>
        <v>0</v>
      </c>
      <c r="H21" s="4" t="n">
        <f aca="false">'Subscription Cohorts'!H20*Timeline!H4</f>
        <v>0</v>
      </c>
      <c r="I21" s="4" t="n">
        <f aca="false">'Subscription Cohorts'!I20*Timeline!I4</f>
        <v>0</v>
      </c>
      <c r="J21" s="4" t="n">
        <f aca="false">'Subscription Cohorts'!J20*Timeline!J4</f>
        <v>0</v>
      </c>
      <c r="K21" s="4" t="n">
        <f aca="false">'Subscription Cohorts'!K20*Timeline!K4</f>
        <v>0</v>
      </c>
      <c r="L21" s="4" t="n">
        <f aca="false">'Subscription Cohorts'!L20*Timeline!L4</f>
        <v>0</v>
      </c>
      <c r="M21" s="4" t="n">
        <f aca="false">'Subscription Cohorts'!M20*Timeline!M4</f>
        <v>0</v>
      </c>
      <c r="N21" s="4" t="n">
        <f aca="false">'Subscription Cohorts'!N20*Timeline!N4</f>
        <v>0</v>
      </c>
      <c r="O21" s="4" t="n">
        <f aca="false">'Subscription Cohorts'!O20*Timeline!O4</f>
        <v>0</v>
      </c>
      <c r="P21" s="4" t="n">
        <f aca="false">'Subscription Cohorts'!P20*Timeline!P4</f>
        <v>0</v>
      </c>
      <c r="Q21" s="4" t="n">
        <f aca="false">'Subscription Cohorts'!Q20*Timeline!Q4</f>
        <v>0</v>
      </c>
      <c r="R21" s="4" t="n">
        <f aca="false">'Subscription Cohorts'!R20*Timeline!R4</f>
        <v>357.5</v>
      </c>
      <c r="S21" s="4" t="n">
        <f aca="false">'Subscription Cohorts'!S20*Timeline!S4</f>
        <v>958.1</v>
      </c>
      <c r="T21" s="4" t="n">
        <f aca="false">'Subscription Cohorts'!T20*Timeline!T4</f>
        <v>1468.364</v>
      </c>
      <c r="U21" s="4" t="n">
        <f aca="false">'Subscription Cohorts'!U20*Timeline!U4</f>
        <v>2013.65716</v>
      </c>
      <c r="V21" s="4" t="n">
        <f aca="false">'Subscription Cohorts'!V20*Timeline!V4</f>
        <v>2603.6877304</v>
      </c>
      <c r="W21" s="4" t="n">
        <f aca="false">'Subscription Cohorts'!W20*Timeline!W4</f>
        <v>3205.833966576</v>
      </c>
      <c r="X21" s="4" t="n">
        <f aca="false">'Subscription Cohorts'!X20*Timeline!X4</f>
        <v>3842.60892858144</v>
      </c>
      <c r="Y21" s="4" t="n">
        <f aca="false">'Subscription Cohorts'!Y20*Timeline!Y4</f>
        <v>4588.57739286655</v>
      </c>
      <c r="Z21" s="4" t="n">
        <f aca="false">'Subscription Cohorts'!Z20*Timeline!Z4</f>
        <v>5455.61274929456</v>
      </c>
      <c r="AA21" s="4" t="n">
        <f aca="false">'Subscription Cohorts'!AA20*Timeline!AA4</f>
        <v>6381.17598433689</v>
      </c>
      <c r="AB21" s="4" t="n">
        <f aca="false">'Subscription Cohorts'!AB20*Timeline!AB4</f>
        <v>7232.78042527667</v>
      </c>
      <c r="AC21" s="4" t="n">
        <f aca="false">'Subscription Cohorts'!AC20*Timeline!AC4</f>
        <v>238611.030642067</v>
      </c>
      <c r="AD21" s="4" t="n">
        <f aca="false">'Subscription Cohorts'!AD20*Timeline!AD4</f>
        <v>634671.047323566</v>
      </c>
      <c r="AE21" s="4" t="n">
        <f aca="false">'Subscription Cohorts'!AE20*Timeline!AE4</f>
        <v>1235482.43726864</v>
      </c>
      <c r="AG21" s="4" t="n">
        <f aca="false">SUMIF($C$3:$AE$3,AG$3,$C21:$AE21)</f>
        <v>0</v>
      </c>
      <c r="AH21" s="4" t="n">
        <f aca="false">SUMIF($C$3:$AE$3,AH$3,$C21:$AE21)</f>
        <v>0</v>
      </c>
      <c r="AI21" s="4" t="n">
        <f aca="false">SUMIF($C$3:$AE$3,AI$3,$C21:$AE21)</f>
        <v>38107.8983373321</v>
      </c>
      <c r="AJ21" s="4" t="n">
        <f aca="false">SUMIF($C$3:$AE$3,AJ$3,$C21:$AE21)</f>
        <v>238611.030642067</v>
      </c>
      <c r="AK21" s="4" t="n">
        <f aca="false">SUMIF($C$3:$AE$3,AK$3,$C21:$AE21)</f>
        <v>634671.047323566</v>
      </c>
      <c r="AL21" s="4" t="n">
        <f aca="false">SUMIF($C$3:$AE$3,AL$3,$C21:$AE21)</f>
        <v>1235482.43726864</v>
      </c>
    </row>
    <row r="22" customFormat="false" ht="15" hidden="false" customHeight="false" outlineLevel="0" collapsed="false">
      <c r="A22" s="0" t="s">
        <v>482</v>
      </c>
      <c r="B22" s="2" t="s">
        <v>50</v>
      </c>
      <c r="C22" s="28" t="n">
        <f aca="false">sub_price*arpu_real*sc_price</f>
        <v>8.5914</v>
      </c>
      <c r="D22" s="28" t="n">
        <f aca="false">sub_price*arpu_real*sc_price</f>
        <v>8.5914</v>
      </c>
      <c r="E22" s="28" t="n">
        <f aca="false">sub_price*arpu_real*sc_price</f>
        <v>8.5914</v>
      </c>
      <c r="F22" s="28" t="n">
        <f aca="false">sub_price*arpu_real*sc_price</f>
        <v>8.5914</v>
      </c>
      <c r="G22" s="28" t="n">
        <f aca="false">sub_price*arpu_real*sc_price</f>
        <v>8.5914</v>
      </c>
      <c r="H22" s="28" t="n">
        <f aca="false">sub_price*arpu_real*sc_price</f>
        <v>8.5914</v>
      </c>
      <c r="I22" s="28" t="n">
        <f aca="false">sub_price*arpu_real*sc_price</f>
        <v>8.5914</v>
      </c>
      <c r="J22" s="28" t="n">
        <f aca="false">sub_price*arpu_real*sc_price</f>
        <v>8.5914</v>
      </c>
      <c r="K22" s="28" t="n">
        <f aca="false">sub_price*arpu_real*sc_price</f>
        <v>8.5914</v>
      </c>
      <c r="L22" s="28" t="n">
        <f aca="false">sub_price*arpu_real*sc_price</f>
        <v>8.5914</v>
      </c>
      <c r="M22" s="28" t="n">
        <f aca="false">sub_price*arpu_real*sc_price</f>
        <v>8.5914</v>
      </c>
      <c r="N22" s="28" t="n">
        <f aca="false">sub_price*arpu_real*sc_price</f>
        <v>8.5914</v>
      </c>
      <c r="O22" s="28" t="n">
        <f aca="false">sub_price*arpu_real*sc_price</f>
        <v>8.5914</v>
      </c>
      <c r="P22" s="28" t="n">
        <f aca="false">sub_price*arpu_real*sc_price</f>
        <v>8.5914</v>
      </c>
      <c r="Q22" s="28" t="n">
        <f aca="false">sub_price*arpu_real*sc_price</f>
        <v>8.5914</v>
      </c>
      <c r="R22" s="28" t="n">
        <f aca="false">sub_price*arpu_real*sc_price</f>
        <v>8.5914</v>
      </c>
      <c r="S22" s="28" t="n">
        <f aca="false">sub_price*arpu_real*sc_price</f>
        <v>8.5914</v>
      </c>
      <c r="T22" s="28" t="n">
        <f aca="false">sub_price*arpu_real*sc_price</f>
        <v>8.5914</v>
      </c>
      <c r="U22" s="28" t="n">
        <f aca="false">sub_price*arpu_real*sc_price</f>
        <v>8.5914</v>
      </c>
      <c r="V22" s="28" t="n">
        <f aca="false">sub_price*arpu_real*sc_price</f>
        <v>8.5914</v>
      </c>
      <c r="W22" s="28" t="n">
        <f aca="false">sub_price*arpu_real*sc_price</f>
        <v>8.5914</v>
      </c>
      <c r="X22" s="28" t="n">
        <f aca="false">sub_price*arpu_real*sc_price</f>
        <v>8.5914</v>
      </c>
      <c r="Y22" s="28" t="n">
        <f aca="false">sub_price*arpu_real*sc_price</f>
        <v>8.5914</v>
      </c>
      <c r="Z22" s="28" t="n">
        <f aca="false">sub_price*arpu_real*sc_price</f>
        <v>8.5914</v>
      </c>
      <c r="AA22" s="28" t="n">
        <f aca="false">sub_price*arpu_real*sc_price</f>
        <v>8.5914</v>
      </c>
      <c r="AB22" s="28" t="n">
        <f aca="false">sub_price*arpu_real*sc_price</f>
        <v>8.5914</v>
      </c>
      <c r="AC22" s="28" t="n">
        <f aca="false">sub_price*arpu_real*sc_price</f>
        <v>8.5914</v>
      </c>
      <c r="AD22" s="28" t="n">
        <f aca="false">sub_price*arpu_real*sc_price</f>
        <v>8.5914</v>
      </c>
      <c r="AE22" s="28" t="n">
        <f aca="false">sub_price*arpu_real*sc_price</f>
        <v>8.5914</v>
      </c>
    </row>
    <row r="23" customFormat="false" ht="15" hidden="false" customHeight="false" outlineLevel="0" collapsed="false">
      <c r="A23" s="13" t="s">
        <v>483</v>
      </c>
      <c r="B23" s="2" t="s">
        <v>50</v>
      </c>
      <c r="C23" s="29" t="n">
        <f aca="false">'Subscription Cohorts'!C21*'Subscription Cohorts'!C22</f>
        <v>0</v>
      </c>
      <c r="D23" s="29" t="n">
        <f aca="false">'Subscription Cohorts'!D21*'Subscription Cohorts'!D22</f>
        <v>0</v>
      </c>
      <c r="E23" s="29" t="n">
        <f aca="false">'Subscription Cohorts'!E21*'Subscription Cohorts'!E22</f>
        <v>0</v>
      </c>
      <c r="F23" s="29" t="n">
        <f aca="false">'Subscription Cohorts'!F21*'Subscription Cohorts'!F22</f>
        <v>0</v>
      </c>
      <c r="G23" s="29" t="n">
        <f aca="false">'Subscription Cohorts'!G21*'Subscription Cohorts'!G22</f>
        <v>0</v>
      </c>
      <c r="H23" s="29" t="n">
        <f aca="false">'Subscription Cohorts'!H21*'Subscription Cohorts'!H22</f>
        <v>0</v>
      </c>
      <c r="I23" s="29" t="n">
        <f aca="false">'Subscription Cohorts'!I21*'Subscription Cohorts'!I22</f>
        <v>0</v>
      </c>
      <c r="J23" s="29" t="n">
        <f aca="false">'Subscription Cohorts'!J21*'Subscription Cohorts'!J22</f>
        <v>0</v>
      </c>
      <c r="K23" s="29" t="n">
        <f aca="false">'Subscription Cohorts'!K21*'Subscription Cohorts'!K22</f>
        <v>0</v>
      </c>
      <c r="L23" s="29" t="n">
        <f aca="false">'Subscription Cohorts'!L21*'Subscription Cohorts'!L22</f>
        <v>0</v>
      </c>
      <c r="M23" s="29" t="n">
        <f aca="false">'Subscription Cohorts'!M21*'Subscription Cohorts'!M22</f>
        <v>0</v>
      </c>
      <c r="N23" s="29" t="n">
        <f aca="false">'Subscription Cohorts'!N21*'Subscription Cohorts'!N22</f>
        <v>0</v>
      </c>
      <c r="O23" s="29" t="n">
        <f aca="false">'Subscription Cohorts'!O21*'Subscription Cohorts'!O22</f>
        <v>0</v>
      </c>
      <c r="P23" s="29" t="n">
        <f aca="false">'Subscription Cohorts'!P21*'Subscription Cohorts'!P22</f>
        <v>0</v>
      </c>
      <c r="Q23" s="29" t="n">
        <f aca="false">'Subscription Cohorts'!Q21*'Subscription Cohorts'!Q22</f>
        <v>0</v>
      </c>
      <c r="R23" s="29" t="n">
        <f aca="false">'Subscription Cohorts'!R21*'Subscription Cohorts'!R22</f>
        <v>3071.4255</v>
      </c>
      <c r="S23" s="29" t="n">
        <f aca="false">'Subscription Cohorts'!S21*'Subscription Cohorts'!S22</f>
        <v>8231.42034</v>
      </c>
      <c r="T23" s="29" t="n">
        <f aca="false">'Subscription Cohorts'!T21*'Subscription Cohorts'!T22</f>
        <v>12615.3024696</v>
      </c>
      <c r="U23" s="29" t="n">
        <f aca="false">'Subscription Cohorts'!U21*'Subscription Cohorts'!U22</f>
        <v>17300.134124424</v>
      </c>
      <c r="V23" s="29" t="n">
        <f aca="false">'Subscription Cohorts'!V21*'Subscription Cohorts'!V22</f>
        <v>22369.3227669586</v>
      </c>
      <c r="W23" s="29" t="n">
        <f aca="false">'Subscription Cohorts'!W21*'Subscription Cohorts'!W22</f>
        <v>27542.601940441</v>
      </c>
      <c r="X23" s="29" t="n">
        <f aca="false">'Subscription Cohorts'!X21*'Subscription Cohorts'!X22</f>
        <v>33013.3903490146</v>
      </c>
      <c r="Y23" s="29" t="n">
        <f aca="false">'Subscription Cohorts'!Y21*'Subscription Cohorts'!Y22</f>
        <v>39422.3038130737</v>
      </c>
      <c r="Z23" s="29" t="n">
        <f aca="false">'Subscription Cohorts'!Z21*'Subscription Cohorts'!Z22</f>
        <v>46871.3513742893</v>
      </c>
      <c r="AA23" s="29" t="n">
        <f aca="false">'Subscription Cohorts'!AA21*'Subscription Cohorts'!AA22</f>
        <v>54823.2353518319</v>
      </c>
      <c r="AB23" s="29" t="n">
        <f aca="false">'Subscription Cohorts'!AB21*'Subscription Cohorts'!AB22</f>
        <v>62139.709745722</v>
      </c>
      <c r="AC23" s="29" t="n">
        <f aca="false">'Subscription Cohorts'!AC21*'Subscription Cohorts'!AC22</f>
        <v>2050002.80865825</v>
      </c>
      <c r="AD23" s="29" t="n">
        <f aca="false">'Subscription Cohorts'!AD21*'Subscription Cohorts'!AD22</f>
        <v>5452712.83597569</v>
      </c>
      <c r="AE23" s="29" t="n">
        <f aca="false">'Subscription Cohorts'!AE21*'Subscription Cohorts'!AE22</f>
        <v>10614523.8115498</v>
      </c>
      <c r="AG23" s="29" t="n">
        <f aca="false">SUMIF($C$3:$AE$3,AG$3,$C23:$AE23)</f>
        <v>0</v>
      </c>
      <c r="AH23" s="29" t="n">
        <f aca="false">SUMIF($C$3:$AE$3,AH$3,$C23:$AE23)</f>
        <v>0</v>
      </c>
      <c r="AI23" s="29" t="n">
        <f aca="false">SUMIF($C$3:$AE$3,AI$3,$C23:$AE23)</f>
        <v>327400.197775355</v>
      </c>
      <c r="AJ23" s="29" t="n">
        <f aca="false">SUMIF($C$3:$AE$3,AJ$3,$C23:$AE23)</f>
        <v>2050002.80865825</v>
      </c>
      <c r="AK23" s="29" t="n">
        <f aca="false">SUMIF($C$3:$AE$3,AK$3,$C23:$AE23)</f>
        <v>5452712.83597569</v>
      </c>
      <c r="AL23" s="29" t="n">
        <f aca="false">SUMIF($C$3:$AE$3,AL$3,$C23:$AE23)</f>
        <v>10614523.8115498</v>
      </c>
    </row>
    <row r="24" customFormat="false" ht="15" hidden="false" customHeight="false" outlineLevel="0" collapsed="false">
      <c r="A24" s="0" t="s">
        <v>484</v>
      </c>
      <c r="B24" s="2" t="s">
        <v>50</v>
      </c>
      <c r="C24" s="4" t="n">
        <f aca="false">'Subscription Cohorts'!C19*'Subscription Cohorts'!C22*12</f>
        <v>0</v>
      </c>
      <c r="D24" s="4" t="n">
        <f aca="false">'Subscription Cohorts'!D19*'Subscription Cohorts'!D22*12</f>
        <v>0</v>
      </c>
      <c r="E24" s="4" t="n">
        <f aca="false">'Subscription Cohorts'!E19*'Subscription Cohorts'!E22*12</f>
        <v>0</v>
      </c>
      <c r="F24" s="4" t="n">
        <f aca="false">'Subscription Cohorts'!F19*'Subscription Cohorts'!F22*12</f>
        <v>0</v>
      </c>
      <c r="G24" s="4" t="n">
        <f aca="false">'Subscription Cohorts'!G19*'Subscription Cohorts'!G22*12</f>
        <v>0</v>
      </c>
      <c r="H24" s="4" t="n">
        <f aca="false">'Subscription Cohorts'!H19*'Subscription Cohorts'!H22*12</f>
        <v>0</v>
      </c>
      <c r="I24" s="4" t="n">
        <f aca="false">'Subscription Cohorts'!I19*'Subscription Cohorts'!I22*12</f>
        <v>0</v>
      </c>
      <c r="J24" s="4" t="n">
        <f aca="false">'Subscription Cohorts'!J19*'Subscription Cohorts'!J22*12</f>
        <v>0</v>
      </c>
      <c r="K24" s="4" t="n">
        <f aca="false">'Subscription Cohorts'!K19*'Subscription Cohorts'!K22*12</f>
        <v>0</v>
      </c>
      <c r="L24" s="4" t="n">
        <f aca="false">'Subscription Cohorts'!L19*'Subscription Cohorts'!L22*12</f>
        <v>0</v>
      </c>
      <c r="M24" s="4" t="n">
        <f aca="false">'Subscription Cohorts'!M19*'Subscription Cohorts'!M22*12</f>
        <v>0</v>
      </c>
      <c r="N24" s="4" t="n">
        <f aca="false">'Subscription Cohorts'!N19*'Subscription Cohorts'!N22*12</f>
        <v>0</v>
      </c>
      <c r="O24" s="4" t="n">
        <f aca="false">'Subscription Cohorts'!O19*'Subscription Cohorts'!O22*12</f>
        <v>0</v>
      </c>
      <c r="P24" s="4" t="n">
        <f aca="false">'Subscription Cohorts'!P19*'Subscription Cohorts'!P22*12</f>
        <v>0</v>
      </c>
      <c r="Q24" s="4" t="n">
        <f aca="false">'Subscription Cohorts'!Q19*'Subscription Cohorts'!Q22*12</f>
        <v>0</v>
      </c>
      <c r="R24" s="4" t="n">
        <f aca="false">'Subscription Cohorts'!R19*'Subscription Cohorts'!R22*12</f>
        <v>73714.212</v>
      </c>
      <c r="S24" s="4" t="n">
        <f aca="false">'Subscription Cohorts'!S19*'Subscription Cohorts'!S22*12</f>
        <v>123839.87616</v>
      </c>
      <c r="T24" s="4" t="n">
        <f aca="false">'Subscription Cohorts'!T19*'Subscription Cohorts'!T22*12</f>
        <v>178927.3831104</v>
      </c>
      <c r="U24" s="4" t="n">
        <f aca="false">'Subscription Cohorts'!U19*'Subscription Cohorts'!U22*12</f>
        <v>236275.835875776</v>
      </c>
      <c r="V24" s="4" t="n">
        <f aca="false">'Subscription Cohorts'!V19*'Subscription Cohorts'!V22*12</f>
        <v>300587.910531229</v>
      </c>
      <c r="W24" s="4" t="n">
        <f aca="false">'Subscription Cohorts'!W19*'Subscription Cohorts'!W22*12</f>
        <v>360434.536039356</v>
      </c>
      <c r="X24" s="4" t="n">
        <f aca="false">'Subscription Cohorts'!X19*'Subscription Cohorts'!X22*12</f>
        <v>431886.832336994</v>
      </c>
      <c r="Y24" s="4" t="n">
        <f aca="false">'Subscription Cohorts'!Y19*'Subscription Cohorts'!Y22*12</f>
        <v>514248.459176775</v>
      </c>
      <c r="Z24" s="4" t="n">
        <f aca="false">'Subscription Cohorts'!Z19*'Subscription Cohorts'!Z22*12</f>
        <v>610663.973806168</v>
      </c>
      <c r="AA24" s="4" t="n">
        <f aca="false">'Subscription Cohorts'!AA19*'Subscription Cohorts'!AA22*12</f>
        <v>705093.674637798</v>
      </c>
      <c r="AB24" s="4" t="n">
        <f aca="false">'Subscription Cohorts'!AB19*'Subscription Cohorts'!AB22*12</f>
        <v>786259.35925953</v>
      </c>
      <c r="AC24" s="4" t="n">
        <f aca="false">'Subscription Cohorts'!AC19*'Subscription Cohorts'!AC22*12</f>
        <v>3313746.25805697</v>
      </c>
      <c r="AD24" s="4" t="n">
        <f aca="false">'Subscription Cohorts'!AD19*'Subscription Cohorts'!AD22*12</f>
        <v>7591679.41389441</v>
      </c>
      <c r="AE24" s="4" t="n">
        <f aca="false">'Subscription Cohorts'!AE19*'Subscription Cohorts'!AE22*12</f>
        <v>13637368.2092051</v>
      </c>
      <c r="AG24" s="4" t="n">
        <f aca="false">D24</f>
        <v>0</v>
      </c>
      <c r="AH24" s="4" t="n">
        <f aca="false">P24</f>
        <v>0</v>
      </c>
      <c r="AI24" s="4" t="n">
        <f aca="false">AB24</f>
        <v>786259.35925953</v>
      </c>
      <c r="AJ24" s="4" t="n">
        <f aca="false">AC24</f>
        <v>3313746.25805697</v>
      </c>
      <c r="AK24" s="4" t="n">
        <f aca="false">AD24</f>
        <v>7591679.41389441</v>
      </c>
      <c r="AL24" s="4" t="n">
        <f aca="false">AE24</f>
        <v>13637368.2092051</v>
      </c>
    </row>
    <row r="26" customFormat="false" ht="15" hidden="false" customHeight="false" outlineLevel="0" collapsed="false">
      <c r="A26" s="8" t="s">
        <v>485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customFormat="false" ht="15" hidden="false" customHeight="false" outlineLevel="0" collapsed="false">
      <c r="A27" s="0" t="s">
        <v>486</v>
      </c>
      <c r="B27" s="2" t="s">
        <v>487</v>
      </c>
      <c r="C27" s="4" t="n">
        <f aca="false">'Subscription Cohorts'!C10</f>
        <v>0</v>
      </c>
      <c r="D27" s="4" t="n">
        <f aca="false">'Subscription Cohorts'!C10+'Subscription Cohorts'!D10</f>
        <v>0</v>
      </c>
      <c r="E27" s="4" t="n">
        <f aca="false">'Subscription Cohorts'!C10+'Subscription Cohorts'!D10+'Subscription Cohorts'!E10</f>
        <v>0</v>
      </c>
      <c r="F27" s="4" t="n">
        <f aca="false">'Subscription Cohorts'!D10+'Subscription Cohorts'!E10+'Subscription Cohorts'!F10</f>
        <v>0</v>
      </c>
      <c r="G27" s="4" t="n">
        <f aca="false">'Subscription Cohorts'!E10+'Subscription Cohorts'!F10+'Subscription Cohorts'!G10</f>
        <v>0</v>
      </c>
      <c r="H27" s="4" t="n">
        <f aca="false">'Subscription Cohorts'!F10+'Subscription Cohorts'!G10+'Subscription Cohorts'!H10</f>
        <v>0</v>
      </c>
      <c r="I27" s="4" t="n">
        <f aca="false">'Subscription Cohorts'!G10+'Subscription Cohorts'!H10+'Subscription Cohorts'!I10</f>
        <v>0</v>
      </c>
      <c r="J27" s="4" t="n">
        <f aca="false">'Subscription Cohorts'!H10+'Subscription Cohorts'!I10+'Subscription Cohorts'!J10</f>
        <v>0</v>
      </c>
      <c r="K27" s="4" t="n">
        <f aca="false">'Subscription Cohorts'!I10+'Subscription Cohorts'!J10+'Subscription Cohorts'!K10</f>
        <v>0</v>
      </c>
      <c r="L27" s="4" t="n">
        <f aca="false">'Subscription Cohorts'!J10+'Subscription Cohorts'!K10+'Subscription Cohorts'!L10</f>
        <v>0</v>
      </c>
      <c r="M27" s="4" t="n">
        <f aca="false">'Subscription Cohorts'!K10+'Subscription Cohorts'!L10+'Subscription Cohorts'!M10</f>
        <v>0</v>
      </c>
      <c r="N27" s="4" t="n">
        <f aca="false">'Subscription Cohorts'!L10+'Subscription Cohorts'!M10+'Subscription Cohorts'!N10</f>
        <v>0</v>
      </c>
      <c r="O27" s="4" t="n">
        <f aca="false">'Subscription Cohorts'!M10+'Subscription Cohorts'!N10+'Subscription Cohorts'!O10</f>
        <v>2125</v>
      </c>
      <c r="P27" s="4" t="n">
        <f aca="false">'Subscription Cohorts'!N10+'Subscription Cohorts'!O10+'Subscription Cohorts'!P10</f>
        <v>3697.5</v>
      </c>
      <c r="Q27" s="4" t="n">
        <f aca="false">'Subscription Cohorts'!O10+'Subscription Cohorts'!P10+'Subscription Cohorts'!Q10</f>
        <v>5500</v>
      </c>
      <c r="R27" s="4" t="n">
        <f aca="false">'Subscription Cohorts'!P10+'Subscription Cohorts'!Q10+'Subscription Cohorts'!R10</f>
        <v>5100</v>
      </c>
      <c r="S27" s="4" t="n">
        <f aca="false">'Subscription Cohorts'!Q10+'Subscription Cohorts'!R10+'Subscription Cohorts'!S10</f>
        <v>5552.5</v>
      </c>
      <c r="T27" s="4" t="n">
        <f aca="false">'Subscription Cohorts'!R10+'Subscription Cohorts'!S10+'Subscription Cohorts'!T10</f>
        <v>5800</v>
      </c>
      <c r="U27" s="4" t="n">
        <f aca="false">'Subscription Cohorts'!S10+'Subscription Cohorts'!T10+'Subscription Cohorts'!U10</f>
        <v>6525</v>
      </c>
      <c r="V27" s="4" t="n">
        <f aca="false">'Subscription Cohorts'!T10+'Subscription Cohorts'!U10+'Subscription Cohorts'!V10</f>
        <v>7350</v>
      </c>
      <c r="W27" s="4" t="n">
        <f aca="false">'Subscription Cohorts'!U10+'Subscription Cohorts'!V10+'Subscription Cohorts'!W10</f>
        <v>8650</v>
      </c>
      <c r="X27" s="4" t="n">
        <f aca="false">'Subscription Cohorts'!V10+'Subscription Cohorts'!W10+'Subscription Cohorts'!X10</f>
        <v>9650</v>
      </c>
      <c r="Y27" s="4" t="n">
        <f aca="false">'Subscription Cohorts'!W10+'Subscription Cohorts'!X10+'Subscription Cohorts'!Y10</f>
        <v>10050</v>
      </c>
      <c r="Z27" s="4" t="n">
        <f aca="false">'Subscription Cohorts'!X10+'Subscription Cohorts'!Y10+'Subscription Cohorts'!Z10</f>
        <v>10350</v>
      </c>
      <c r="AA27" s="4" t="n">
        <f aca="false">'Subscription Cohorts'!Y10+'Subscription Cohorts'!Z10+'Subscription Cohorts'!AA10</f>
        <v>12150</v>
      </c>
      <c r="AB27" s="4" t="n">
        <f aca="false">'Subscription Cohorts'!Z10+'Subscription Cohorts'!AA10+'Subscription Cohorts'!AB10</f>
        <v>16300</v>
      </c>
      <c r="AC27" s="4" t="n">
        <f aca="false">'Subscription Cohorts'!AC10*trial_months</f>
        <v>360000</v>
      </c>
      <c r="AD27" s="4" t="n">
        <f aca="false">'Subscription Cohorts'!AD10*trial_months</f>
        <v>750000</v>
      </c>
      <c r="AE27" s="4" t="n">
        <f aca="false">'Subscription Cohorts'!AE10*trial_months</f>
        <v>1200000</v>
      </c>
      <c r="AG27" s="4" t="n">
        <f aca="false">SUMIF($C$3:$AE$3,AG$3,$C27:$AE27)</f>
        <v>0</v>
      </c>
      <c r="AH27" s="4" t="n">
        <f aca="false">SUMIF($C$3:$AE$3,AH$3,$C27:$AE27)</f>
        <v>5822.5</v>
      </c>
      <c r="AI27" s="4" t="n">
        <f aca="false">SUMIF($C$3:$AE$3,AI$3,$C27:$AE27)</f>
        <v>102977.5</v>
      </c>
      <c r="AJ27" s="4" t="n">
        <f aca="false">SUMIF($C$3:$AE$3,AJ$3,$C27:$AE27)</f>
        <v>360000</v>
      </c>
      <c r="AK27" s="4" t="n">
        <f aca="false">SUMIF($C$3:$AE$3,AK$3,$C27:$AE27)</f>
        <v>750000</v>
      </c>
      <c r="AL27" s="4" t="n">
        <f aca="false">SUMIF($C$3:$AE$3,AL$3,$C27:$AE27)</f>
        <v>1200000</v>
      </c>
    </row>
    <row r="28" customFormat="false" ht="15" hidden="false" customHeight="false" outlineLevel="0" collapsed="false">
      <c r="A28" s="0" t="s">
        <v>488</v>
      </c>
      <c r="B28" s="2" t="s">
        <v>489</v>
      </c>
      <c r="C28" s="4" t="n">
        <f aca="false">0</f>
        <v>0</v>
      </c>
      <c r="D28" s="4" t="n">
        <f aca="false">C29</f>
        <v>0</v>
      </c>
      <c r="E28" s="4" t="n">
        <f aca="false">D29</f>
        <v>0</v>
      </c>
      <c r="F28" s="4" t="n">
        <f aca="false">E29</f>
        <v>0</v>
      </c>
      <c r="G28" s="4" t="n">
        <f aca="false">F29</f>
        <v>0</v>
      </c>
      <c r="H28" s="4" t="n">
        <f aca="false">G29</f>
        <v>0</v>
      </c>
      <c r="I28" s="4" t="n">
        <f aca="false">H29</f>
        <v>0</v>
      </c>
      <c r="J28" s="4" t="n">
        <f aca="false">I29</f>
        <v>0</v>
      </c>
      <c r="K28" s="4" t="n">
        <f aca="false">J29</f>
        <v>0</v>
      </c>
      <c r="L28" s="4" t="n">
        <f aca="false">K29</f>
        <v>0</v>
      </c>
      <c r="M28" s="4" t="n">
        <f aca="false">L29</f>
        <v>0</v>
      </c>
      <c r="N28" s="4" t="n">
        <f aca="false">M29</f>
        <v>0</v>
      </c>
      <c r="O28" s="4" t="n">
        <f aca="false">N29</f>
        <v>0</v>
      </c>
      <c r="P28" s="4" t="n">
        <f aca="false">O29</f>
        <v>2125</v>
      </c>
      <c r="Q28" s="4" t="n">
        <f aca="false">P29</f>
        <v>3655</v>
      </c>
      <c r="R28" s="4" t="n">
        <f aca="false">Q29</f>
        <v>5384.4</v>
      </c>
      <c r="S28" s="4" t="n">
        <f aca="false">R29</f>
        <v>7001.712</v>
      </c>
      <c r="T28" s="4" t="n">
        <f aca="false">S29</f>
        <v>8886.67776</v>
      </c>
      <c r="U28" s="4" t="n">
        <f aca="false">T29</f>
        <v>10758.9442048</v>
      </c>
      <c r="V28" s="4" t="n">
        <f aca="false">U29</f>
        <v>12993.765320704</v>
      </c>
      <c r="W28" s="4" t="n">
        <f aca="false">V29</f>
        <v>15583.8900142899</v>
      </c>
      <c r="X28" s="4" t="n">
        <f aca="false">W29</f>
        <v>18622.2122140041</v>
      </c>
      <c r="Y28" s="4" t="n">
        <f aca="false">X29</f>
        <v>21699.767969724</v>
      </c>
      <c r="Z28" s="4" t="n">
        <f aca="false">Y29</f>
        <v>24515.7726103296</v>
      </c>
      <c r="AA28" s="4" t="n">
        <f aca="false">Z29</f>
        <v>27675.457158123</v>
      </c>
      <c r="AB28" s="4" t="n">
        <f aca="false">AA29</f>
        <v>32371.9480149605</v>
      </c>
      <c r="AC28" s="4" t="n">
        <f aca="false">AB29</f>
        <v>39124.5090546613</v>
      </c>
      <c r="AD28" s="4" t="n">
        <f aca="false">AC29</f>
        <v>138343.294695706</v>
      </c>
      <c r="AE28" s="4" t="n">
        <f aca="false">AD29</f>
        <v>332813.709740543</v>
      </c>
    </row>
    <row r="29" customFormat="false" ht="15" hidden="false" customHeight="false" outlineLevel="0" collapsed="false">
      <c r="A29" s="13" t="s">
        <v>490</v>
      </c>
      <c r="B29" s="2" t="s">
        <v>489</v>
      </c>
      <c r="C29" s="29" t="n">
        <f aca="false">'Subscription Cohorts'!C28*(1-device_inactive)+'Subscription Cohorts'!C10</f>
        <v>0</v>
      </c>
      <c r="D29" s="29" t="n">
        <f aca="false">'Subscription Cohorts'!D28*(1-device_inactive)+'Subscription Cohorts'!D10</f>
        <v>0</v>
      </c>
      <c r="E29" s="29" t="n">
        <f aca="false">'Subscription Cohorts'!E28*(1-device_inactive)+'Subscription Cohorts'!E10</f>
        <v>0</v>
      </c>
      <c r="F29" s="29" t="n">
        <f aca="false">'Subscription Cohorts'!F28*(1-device_inactive)+'Subscription Cohorts'!F10</f>
        <v>0</v>
      </c>
      <c r="G29" s="29" t="n">
        <f aca="false">'Subscription Cohorts'!G28*(1-device_inactive)+'Subscription Cohorts'!G10</f>
        <v>0</v>
      </c>
      <c r="H29" s="29" t="n">
        <f aca="false">'Subscription Cohorts'!H28*(1-device_inactive)+'Subscription Cohorts'!H10</f>
        <v>0</v>
      </c>
      <c r="I29" s="29" t="n">
        <f aca="false">'Subscription Cohorts'!I28*(1-device_inactive)+'Subscription Cohorts'!I10</f>
        <v>0</v>
      </c>
      <c r="J29" s="29" t="n">
        <f aca="false">'Subscription Cohorts'!J28*(1-device_inactive)+'Subscription Cohorts'!J10</f>
        <v>0</v>
      </c>
      <c r="K29" s="29" t="n">
        <f aca="false">'Subscription Cohorts'!K28*(1-device_inactive)+'Subscription Cohorts'!K10</f>
        <v>0</v>
      </c>
      <c r="L29" s="29" t="n">
        <f aca="false">'Subscription Cohorts'!L28*(1-device_inactive)+'Subscription Cohorts'!L10</f>
        <v>0</v>
      </c>
      <c r="M29" s="29" t="n">
        <f aca="false">'Subscription Cohorts'!M28*(1-device_inactive)+'Subscription Cohorts'!M10</f>
        <v>0</v>
      </c>
      <c r="N29" s="29" t="n">
        <f aca="false">'Subscription Cohorts'!N28*(1-device_inactive)+'Subscription Cohorts'!N10</f>
        <v>0</v>
      </c>
      <c r="O29" s="29" t="n">
        <f aca="false">'Subscription Cohorts'!O28*(1-device_inactive)+'Subscription Cohorts'!O10</f>
        <v>2125</v>
      </c>
      <c r="P29" s="29" t="n">
        <f aca="false">'Subscription Cohorts'!P28*(1-device_inactive)+'Subscription Cohorts'!P10</f>
        <v>3655</v>
      </c>
      <c r="Q29" s="29" t="n">
        <f aca="false">'Subscription Cohorts'!Q28*(1-device_inactive)+'Subscription Cohorts'!Q10</f>
        <v>5384.4</v>
      </c>
      <c r="R29" s="29" t="n">
        <f aca="false">'Subscription Cohorts'!R28*(1-device_inactive)+'Subscription Cohorts'!R10</f>
        <v>7001.712</v>
      </c>
      <c r="S29" s="29" t="n">
        <f aca="false">'Subscription Cohorts'!S28*(1-device_inactive)+'Subscription Cohorts'!S10</f>
        <v>8886.67776</v>
      </c>
      <c r="T29" s="29" t="n">
        <f aca="false">'Subscription Cohorts'!T28*(1-device_inactive)+'Subscription Cohorts'!T10</f>
        <v>10758.9442048</v>
      </c>
      <c r="U29" s="29" t="n">
        <f aca="false">'Subscription Cohorts'!U28*(1-device_inactive)+'Subscription Cohorts'!U10</f>
        <v>12993.765320704</v>
      </c>
      <c r="V29" s="29" t="n">
        <f aca="false">'Subscription Cohorts'!V28*(1-device_inactive)+'Subscription Cohorts'!V10</f>
        <v>15583.8900142899</v>
      </c>
      <c r="W29" s="29" t="n">
        <f aca="false">'Subscription Cohorts'!W28*(1-device_inactive)+'Subscription Cohorts'!W10</f>
        <v>18622.2122140041</v>
      </c>
      <c r="X29" s="29" t="n">
        <f aca="false">'Subscription Cohorts'!X28*(1-device_inactive)+'Subscription Cohorts'!X10</f>
        <v>21699.767969724</v>
      </c>
      <c r="Y29" s="29" t="n">
        <f aca="false">'Subscription Cohorts'!Y28*(1-device_inactive)+'Subscription Cohorts'!Y10</f>
        <v>24515.7726103296</v>
      </c>
      <c r="Z29" s="29" t="n">
        <f aca="false">'Subscription Cohorts'!Z28*(1-device_inactive)+'Subscription Cohorts'!Z10</f>
        <v>27675.457158123</v>
      </c>
      <c r="AA29" s="29" t="n">
        <f aca="false">'Subscription Cohorts'!AA28*(1-device_inactive)+'Subscription Cohorts'!AA10</f>
        <v>32371.9480149605</v>
      </c>
      <c r="AB29" s="29" t="n">
        <f aca="false">'Subscription Cohorts'!AB28*(1-device_inactive)+'Subscription Cohorts'!AB10</f>
        <v>39124.5090546613</v>
      </c>
      <c r="AC29" s="29" t="n">
        <f aca="false">'Subscription Cohorts'!AC28*(1-device_inactive)^12+'Subscription Cohorts'!AC10*(1-(1-device_inactive)^12)/(12*device_inactive)</f>
        <v>138343.294695706</v>
      </c>
      <c r="AD29" s="29" t="n">
        <f aca="false">'Subscription Cohorts'!AD28*(1-device_inactive)^12+'Subscription Cohorts'!AD10*(1-(1-device_inactive)^12)/(12*device_inactive)</f>
        <v>332813.709740543</v>
      </c>
      <c r="AE29" s="29" t="n">
        <f aca="false">'Subscription Cohorts'!AE28*(1-device_inactive)^12+'Subscription Cohorts'!AE10*(1-(1-device_inactive)^12)/(12*device_inactive)</f>
        <v>619969.944363624</v>
      </c>
      <c r="AG29" s="29" t="n">
        <f aca="false">D29</f>
        <v>0</v>
      </c>
      <c r="AH29" s="29" t="n">
        <f aca="false">P29</f>
        <v>3655</v>
      </c>
      <c r="AI29" s="29" t="n">
        <f aca="false">AB29</f>
        <v>39124.5090546613</v>
      </c>
      <c r="AJ29" s="29" t="n">
        <f aca="false">AC29</f>
        <v>138343.294695706</v>
      </c>
      <c r="AK29" s="29" t="n">
        <f aca="false">AD29</f>
        <v>332813.709740543</v>
      </c>
      <c r="AL29" s="29" t="n">
        <f aca="false">AE29</f>
        <v>619969.944363624</v>
      </c>
    </row>
    <row r="30" customFormat="false" ht="15" hidden="false" customHeight="false" outlineLevel="0" collapsed="false">
      <c r="A30" s="0" t="s">
        <v>491</v>
      </c>
      <c r="B30" s="2" t="s">
        <v>489</v>
      </c>
      <c r="C30" s="4" t="n">
        <f aca="false">('Subscription Cohorts'!C28+'Subscription Cohorts'!C29)/2</f>
        <v>0</v>
      </c>
      <c r="D30" s="4" t="n">
        <f aca="false">('Subscription Cohorts'!D28+'Subscription Cohorts'!D29)/2</f>
        <v>0</v>
      </c>
      <c r="E30" s="4" t="n">
        <f aca="false">('Subscription Cohorts'!E28+'Subscription Cohorts'!E29)/2</f>
        <v>0</v>
      </c>
      <c r="F30" s="4" t="n">
        <f aca="false">('Subscription Cohorts'!F28+'Subscription Cohorts'!F29)/2</f>
        <v>0</v>
      </c>
      <c r="G30" s="4" t="n">
        <f aca="false">('Subscription Cohorts'!G28+'Subscription Cohorts'!G29)/2</f>
        <v>0</v>
      </c>
      <c r="H30" s="4" t="n">
        <f aca="false">('Subscription Cohorts'!H28+'Subscription Cohorts'!H29)/2</f>
        <v>0</v>
      </c>
      <c r="I30" s="4" t="n">
        <f aca="false">('Subscription Cohorts'!I28+'Subscription Cohorts'!I29)/2</f>
        <v>0</v>
      </c>
      <c r="J30" s="4" t="n">
        <f aca="false">('Subscription Cohorts'!J28+'Subscription Cohorts'!J29)/2</f>
        <v>0</v>
      </c>
      <c r="K30" s="4" t="n">
        <f aca="false">('Subscription Cohorts'!K28+'Subscription Cohorts'!K29)/2</f>
        <v>0</v>
      </c>
      <c r="L30" s="4" t="n">
        <f aca="false">('Subscription Cohorts'!L28+'Subscription Cohorts'!L29)/2</f>
        <v>0</v>
      </c>
      <c r="M30" s="4" t="n">
        <f aca="false">('Subscription Cohorts'!M28+'Subscription Cohorts'!M29)/2</f>
        <v>0</v>
      </c>
      <c r="N30" s="4" t="n">
        <f aca="false">('Subscription Cohorts'!N28+'Subscription Cohorts'!N29)/2</f>
        <v>0</v>
      </c>
      <c r="O30" s="4" t="n">
        <f aca="false">('Subscription Cohorts'!O28+'Subscription Cohorts'!O29)/2</f>
        <v>1062.5</v>
      </c>
      <c r="P30" s="4" t="n">
        <f aca="false">('Subscription Cohorts'!P28+'Subscription Cohorts'!P29)/2</f>
        <v>2890</v>
      </c>
      <c r="Q30" s="4" t="n">
        <f aca="false">('Subscription Cohorts'!Q28+'Subscription Cohorts'!Q29)/2</f>
        <v>4519.7</v>
      </c>
      <c r="R30" s="4" t="n">
        <f aca="false">('Subscription Cohorts'!R28+'Subscription Cohorts'!R29)/2</f>
        <v>6193.056</v>
      </c>
      <c r="S30" s="4" t="n">
        <f aca="false">('Subscription Cohorts'!S28+'Subscription Cohorts'!S29)/2</f>
        <v>7944.19488</v>
      </c>
      <c r="T30" s="4" t="n">
        <f aca="false">('Subscription Cohorts'!T28+'Subscription Cohorts'!T29)/2</f>
        <v>9822.8109824</v>
      </c>
      <c r="U30" s="4" t="n">
        <f aca="false">('Subscription Cohorts'!U28+'Subscription Cohorts'!U29)/2</f>
        <v>11876.354762752</v>
      </c>
      <c r="V30" s="4" t="n">
        <f aca="false">('Subscription Cohorts'!V28+'Subscription Cohorts'!V29)/2</f>
        <v>14288.827667497</v>
      </c>
      <c r="W30" s="4" t="n">
        <f aca="false">('Subscription Cohorts'!W28+'Subscription Cohorts'!W29)/2</f>
        <v>17103.051114147</v>
      </c>
      <c r="X30" s="4" t="n">
        <f aca="false">('Subscription Cohorts'!X28+'Subscription Cohorts'!X29)/2</f>
        <v>20160.9900918641</v>
      </c>
      <c r="Y30" s="4" t="n">
        <f aca="false">('Subscription Cohorts'!Y28+'Subscription Cohorts'!Y29)/2</f>
        <v>23107.7702900268</v>
      </c>
      <c r="Z30" s="4" t="n">
        <f aca="false">('Subscription Cohorts'!Z28+'Subscription Cohorts'!Z29)/2</f>
        <v>26095.6148842263</v>
      </c>
      <c r="AA30" s="4" t="n">
        <f aca="false">('Subscription Cohorts'!AA28+'Subscription Cohorts'!AA29)/2</f>
        <v>30023.7025865417</v>
      </c>
      <c r="AB30" s="4" t="n">
        <f aca="false">('Subscription Cohorts'!AB28+'Subscription Cohorts'!AB29)/2</f>
        <v>35748.2285348109</v>
      </c>
      <c r="AC30" s="4" t="n">
        <f aca="false">('Subscription Cohorts'!AC28+'Subscription Cohorts'!AC29)/2</f>
        <v>88733.9018751838</v>
      </c>
      <c r="AD30" s="4" t="n">
        <f aca="false">('Subscription Cohorts'!AD28+'Subscription Cohorts'!AD29)/2</f>
        <v>235578.502218125</v>
      </c>
      <c r="AE30" s="4" t="n">
        <f aca="false">('Subscription Cohorts'!AE28+'Subscription Cohorts'!AE29)/2</f>
        <v>476391.827052083</v>
      </c>
      <c r="AG30" s="4" t="n">
        <f aca="false">SUMIF($C$3:$AE$3,AG$3,$C30:$AE30)/COUNTIF($C$3:$AE$3,AG$3)</f>
        <v>0</v>
      </c>
      <c r="AH30" s="4" t="n">
        <f aca="false">SUMIF($C$3:$AE$3,AH$3,$C30:$AE30)/COUNTIF($C$3:$AE$3,AH$3)</f>
        <v>329.375</v>
      </c>
      <c r="AI30" s="4" t="n">
        <f aca="false">SUMIF($C$3:$AE$3,AI$3,$C30:$AE30)/COUNTIF($C$3:$AE$3,AI$3)</f>
        <v>17240.3584828555</v>
      </c>
      <c r="AJ30" s="4" t="n">
        <f aca="false">SUMIF($C$3:$AE$3,AJ$3,$C30:$AE30)/COUNTIF($C$3:$AE$3,AJ$3)</f>
        <v>88733.9018751838</v>
      </c>
      <c r="AK30" s="4" t="n">
        <f aca="false">SUMIF($C$3:$AE$3,AK$3,$C30:$AE30)/COUNTIF($C$3:$AE$3,AK$3)</f>
        <v>235578.502218125</v>
      </c>
      <c r="AL30" s="4" t="n">
        <f aca="false">SUMIF($C$3:$AE$3,AL$3,$C30:$AE30)/COUNTIF($C$3:$AE$3,AL$3)</f>
        <v>476391.827052083</v>
      </c>
    </row>
    <row r="31" customFormat="false" ht="15" hidden="false" customHeight="false" outlineLevel="0" collapsed="false">
      <c r="A31" s="0" t="s">
        <v>492</v>
      </c>
      <c r="B31" s="2" t="s">
        <v>493</v>
      </c>
      <c r="C31" s="4" t="n">
        <f aca="false">'Subscription Cohorts'!C30*Timeline!C4</f>
        <v>0</v>
      </c>
      <c r="D31" s="4" t="n">
        <f aca="false">'Subscription Cohorts'!D30*Timeline!D4</f>
        <v>0</v>
      </c>
      <c r="E31" s="4" t="n">
        <f aca="false">'Subscription Cohorts'!E30*Timeline!E4</f>
        <v>0</v>
      </c>
      <c r="F31" s="4" t="n">
        <f aca="false">'Subscription Cohorts'!F30*Timeline!F4</f>
        <v>0</v>
      </c>
      <c r="G31" s="4" t="n">
        <f aca="false">'Subscription Cohorts'!G30*Timeline!G4</f>
        <v>0</v>
      </c>
      <c r="H31" s="4" t="n">
        <f aca="false">'Subscription Cohorts'!H30*Timeline!H4</f>
        <v>0</v>
      </c>
      <c r="I31" s="4" t="n">
        <f aca="false">'Subscription Cohorts'!I30*Timeline!I4</f>
        <v>0</v>
      </c>
      <c r="J31" s="4" t="n">
        <f aca="false">'Subscription Cohorts'!J30*Timeline!J4</f>
        <v>0</v>
      </c>
      <c r="K31" s="4" t="n">
        <f aca="false">'Subscription Cohorts'!K30*Timeline!K4</f>
        <v>0</v>
      </c>
      <c r="L31" s="4" t="n">
        <f aca="false">'Subscription Cohorts'!L30*Timeline!L4</f>
        <v>0</v>
      </c>
      <c r="M31" s="4" t="n">
        <f aca="false">'Subscription Cohorts'!M30*Timeline!M4</f>
        <v>0</v>
      </c>
      <c r="N31" s="4" t="n">
        <f aca="false">'Subscription Cohorts'!N30*Timeline!N4</f>
        <v>0</v>
      </c>
      <c r="O31" s="4" t="n">
        <f aca="false">'Subscription Cohorts'!O30*Timeline!O4</f>
        <v>1062.5</v>
      </c>
      <c r="P31" s="4" t="n">
        <f aca="false">'Subscription Cohorts'!P30*Timeline!P4</f>
        <v>2890</v>
      </c>
      <c r="Q31" s="4" t="n">
        <f aca="false">'Subscription Cohorts'!Q30*Timeline!Q4</f>
        <v>4519.7</v>
      </c>
      <c r="R31" s="4" t="n">
        <f aca="false">'Subscription Cohorts'!R30*Timeline!R4</f>
        <v>6193.056</v>
      </c>
      <c r="S31" s="4" t="n">
        <f aca="false">'Subscription Cohorts'!S30*Timeline!S4</f>
        <v>7944.19488</v>
      </c>
      <c r="T31" s="4" t="n">
        <f aca="false">'Subscription Cohorts'!T30*Timeline!T4</f>
        <v>9822.8109824</v>
      </c>
      <c r="U31" s="4" t="n">
        <f aca="false">'Subscription Cohorts'!U30*Timeline!U4</f>
        <v>11876.354762752</v>
      </c>
      <c r="V31" s="4" t="n">
        <f aca="false">'Subscription Cohorts'!V30*Timeline!V4</f>
        <v>14288.827667497</v>
      </c>
      <c r="W31" s="4" t="n">
        <f aca="false">'Subscription Cohorts'!W30*Timeline!W4</f>
        <v>17103.051114147</v>
      </c>
      <c r="X31" s="4" t="n">
        <f aca="false">'Subscription Cohorts'!X30*Timeline!X4</f>
        <v>20160.9900918641</v>
      </c>
      <c r="Y31" s="4" t="n">
        <f aca="false">'Subscription Cohorts'!Y30*Timeline!Y4</f>
        <v>23107.7702900268</v>
      </c>
      <c r="Z31" s="4" t="n">
        <f aca="false">'Subscription Cohorts'!Z30*Timeline!Z4</f>
        <v>26095.6148842263</v>
      </c>
      <c r="AA31" s="4" t="n">
        <f aca="false">'Subscription Cohorts'!AA30*Timeline!AA4</f>
        <v>30023.7025865417</v>
      </c>
      <c r="AB31" s="4" t="n">
        <f aca="false">'Subscription Cohorts'!AB30*Timeline!AB4</f>
        <v>35748.2285348109</v>
      </c>
      <c r="AC31" s="4" t="n">
        <f aca="false">'Subscription Cohorts'!AC30*Timeline!AC4</f>
        <v>1064806.82250221</v>
      </c>
      <c r="AD31" s="4" t="n">
        <f aca="false">'Subscription Cohorts'!AD30*Timeline!AD4</f>
        <v>2826942.0266175</v>
      </c>
      <c r="AE31" s="4" t="n">
        <f aca="false">'Subscription Cohorts'!AE30*Timeline!AE4</f>
        <v>5716701.924625</v>
      </c>
      <c r="AG31" s="4" t="n">
        <f aca="false">SUMIF($C$3:$AE$3,AG$3,$C31:$AE31)</f>
        <v>0</v>
      </c>
      <c r="AH31" s="4" t="n">
        <f aca="false">SUMIF($C$3:$AE$3,AH$3,$C31:$AE31)</f>
        <v>3952.5</v>
      </c>
      <c r="AI31" s="4" t="n">
        <f aca="false">SUMIF($C$3:$AE$3,AI$3,$C31:$AE31)</f>
        <v>206884.301794266</v>
      </c>
      <c r="AJ31" s="4" t="n">
        <f aca="false">SUMIF($C$3:$AE$3,AJ$3,$C31:$AE31)</f>
        <v>1064806.82250221</v>
      </c>
      <c r="AK31" s="4" t="n">
        <f aca="false">SUMIF($C$3:$AE$3,AK$3,$C31:$AE31)</f>
        <v>2826942.0266175</v>
      </c>
      <c r="AL31" s="4" t="n">
        <f aca="false">SUMIF($C$3:$AE$3,AL$3,$C31:$AE31)</f>
        <v>5716701.924625</v>
      </c>
    </row>
    <row r="32" customFormat="false" ht="15" hidden="false" customHeight="false" outlineLevel="0" collapsed="false">
      <c r="A32" s="0" t="s">
        <v>494</v>
      </c>
      <c r="B32" s="2" t="s">
        <v>58</v>
      </c>
      <c r="C32" s="5" t="n">
        <f aca="false">Assumptions!C108+Assumptions!C109</f>
        <v>0.47</v>
      </c>
      <c r="D32" s="5" t="n">
        <f aca="false">Assumptions!D108+Assumptions!D109</f>
        <v>0.47</v>
      </c>
      <c r="E32" s="5" t="n">
        <f aca="false">Assumptions!E108+Assumptions!E109</f>
        <v>0.47</v>
      </c>
      <c r="F32" s="5" t="n">
        <f aca="false">Assumptions!F108+Assumptions!F109</f>
        <v>0.47</v>
      </c>
      <c r="G32" s="5" t="n">
        <f aca="false">Assumptions!G108+Assumptions!G109</f>
        <v>0.47</v>
      </c>
      <c r="H32" s="5" t="n">
        <f aca="false">Assumptions!H108+Assumptions!H109</f>
        <v>0.47</v>
      </c>
      <c r="I32" s="5" t="n">
        <f aca="false">Assumptions!I108+Assumptions!I109</f>
        <v>0.47</v>
      </c>
      <c r="J32" s="5" t="n">
        <f aca="false">Assumptions!J108+Assumptions!J109</f>
        <v>0.47</v>
      </c>
      <c r="K32" s="5" t="n">
        <f aca="false">Assumptions!K108+Assumptions!K109</f>
        <v>0.47</v>
      </c>
      <c r="L32" s="5" t="n">
        <f aca="false">Assumptions!L108+Assumptions!L109</f>
        <v>0.47</v>
      </c>
      <c r="M32" s="5" t="n">
        <f aca="false">Assumptions!M108+Assumptions!M109</f>
        <v>0.47</v>
      </c>
      <c r="N32" s="5" t="n">
        <f aca="false">Assumptions!N108+Assumptions!N109</f>
        <v>0.47</v>
      </c>
      <c r="O32" s="5" t="n">
        <f aca="false">Assumptions!O108+Assumptions!O109</f>
        <v>0.47</v>
      </c>
      <c r="P32" s="5" t="n">
        <f aca="false">Assumptions!P108+Assumptions!P109</f>
        <v>0.47</v>
      </c>
      <c r="Q32" s="5" t="n">
        <f aca="false">Assumptions!Q108+Assumptions!Q109</f>
        <v>0.47</v>
      </c>
      <c r="R32" s="5" t="n">
        <f aca="false">Assumptions!R108+Assumptions!R109</f>
        <v>0.47</v>
      </c>
      <c r="S32" s="5" t="n">
        <f aca="false">Assumptions!S108+Assumptions!S109</f>
        <v>0.47</v>
      </c>
      <c r="T32" s="5" t="n">
        <f aca="false">Assumptions!T108+Assumptions!T109</f>
        <v>0.55</v>
      </c>
      <c r="U32" s="5" t="n">
        <f aca="false">Assumptions!U108+Assumptions!U109</f>
        <v>0.55</v>
      </c>
      <c r="V32" s="5" t="n">
        <f aca="false">Assumptions!V108+Assumptions!V109</f>
        <v>0.55</v>
      </c>
      <c r="W32" s="5" t="n">
        <f aca="false">Assumptions!W108+Assumptions!W109</f>
        <v>0.55</v>
      </c>
      <c r="X32" s="5" t="n">
        <f aca="false">Assumptions!X108+Assumptions!X109</f>
        <v>0.55</v>
      </c>
      <c r="Y32" s="5" t="n">
        <f aca="false">Assumptions!Y108+Assumptions!Y109</f>
        <v>0.55</v>
      </c>
      <c r="Z32" s="5" t="n">
        <f aca="false">Assumptions!Z108+Assumptions!Z109</f>
        <v>0.55</v>
      </c>
      <c r="AA32" s="5" t="n">
        <f aca="false">Assumptions!AA108+Assumptions!AA109</f>
        <v>0.55</v>
      </c>
      <c r="AB32" s="5" t="n">
        <f aca="false">Assumptions!AB108+Assumptions!AB109</f>
        <v>0.55</v>
      </c>
      <c r="AC32" s="5" t="n">
        <f aca="false">Assumptions!AC108+Assumptions!AC109</f>
        <v>0.55</v>
      </c>
      <c r="AD32" s="5" t="n">
        <f aca="false">Assumptions!AD108+Assumptions!AD109</f>
        <v>0.55</v>
      </c>
      <c r="AE32" s="5" t="n">
        <f aca="false">Assumptions!AE108+Assumptions!AE109</f>
        <v>0.55</v>
      </c>
    </row>
    <row r="33" customFormat="false" ht="15" hidden="false" customHeight="false" outlineLevel="0" collapsed="false">
      <c r="A33" s="0" t="s">
        <v>495</v>
      </c>
      <c r="B33" s="2" t="s">
        <v>493</v>
      </c>
      <c r="C33" s="4" t="n">
        <f aca="false">MAX(0,'Subscription Cohorts'!C31-'Subscription Cohorts'!C21-'Subscription Cohorts'!C27)</f>
        <v>0</v>
      </c>
      <c r="D33" s="4" t="n">
        <f aca="false">MAX(0,'Subscription Cohorts'!D31-'Subscription Cohorts'!D21-'Subscription Cohorts'!D27)</f>
        <v>0</v>
      </c>
      <c r="E33" s="4" t="n">
        <f aca="false">MAX(0,'Subscription Cohorts'!E31-'Subscription Cohorts'!E21-'Subscription Cohorts'!E27)</f>
        <v>0</v>
      </c>
      <c r="F33" s="4" t="n">
        <f aca="false">MAX(0,'Subscription Cohorts'!F31-'Subscription Cohorts'!F21-'Subscription Cohorts'!F27)</f>
        <v>0</v>
      </c>
      <c r="G33" s="4" t="n">
        <f aca="false">MAX(0,'Subscription Cohorts'!G31-'Subscription Cohorts'!G21-'Subscription Cohorts'!G27)</f>
        <v>0</v>
      </c>
      <c r="H33" s="4" t="n">
        <f aca="false">MAX(0,'Subscription Cohorts'!H31-'Subscription Cohorts'!H21-'Subscription Cohorts'!H27)</f>
        <v>0</v>
      </c>
      <c r="I33" s="4" t="n">
        <f aca="false">MAX(0,'Subscription Cohorts'!I31-'Subscription Cohorts'!I21-'Subscription Cohorts'!I27)</f>
        <v>0</v>
      </c>
      <c r="J33" s="4" t="n">
        <f aca="false">MAX(0,'Subscription Cohorts'!J31-'Subscription Cohorts'!J21-'Subscription Cohorts'!J27)</f>
        <v>0</v>
      </c>
      <c r="K33" s="4" t="n">
        <f aca="false">MAX(0,'Subscription Cohorts'!K31-'Subscription Cohorts'!K21-'Subscription Cohorts'!K27)</f>
        <v>0</v>
      </c>
      <c r="L33" s="4" t="n">
        <f aca="false">MAX(0,'Subscription Cohorts'!L31-'Subscription Cohorts'!L21-'Subscription Cohorts'!L27)</f>
        <v>0</v>
      </c>
      <c r="M33" s="4" t="n">
        <f aca="false">MAX(0,'Subscription Cohorts'!M31-'Subscription Cohorts'!M21-'Subscription Cohorts'!M27)</f>
        <v>0</v>
      </c>
      <c r="N33" s="4" t="n">
        <f aca="false">MAX(0,'Subscription Cohorts'!N31-'Subscription Cohorts'!N21-'Subscription Cohorts'!N27)</f>
        <v>0</v>
      </c>
      <c r="O33" s="4" t="n">
        <f aca="false">MAX(0,'Subscription Cohorts'!O31-'Subscription Cohorts'!O21-'Subscription Cohorts'!O27)</f>
        <v>0</v>
      </c>
      <c r="P33" s="4" t="n">
        <f aca="false">MAX(0,'Subscription Cohorts'!P31-'Subscription Cohorts'!P21-'Subscription Cohorts'!P27)</f>
        <v>0</v>
      </c>
      <c r="Q33" s="4" t="n">
        <f aca="false">MAX(0,'Subscription Cohorts'!Q31-'Subscription Cohorts'!Q21-'Subscription Cohorts'!Q27)</f>
        <v>0</v>
      </c>
      <c r="R33" s="4" t="n">
        <f aca="false">MAX(0,'Subscription Cohorts'!R31-'Subscription Cohorts'!R21-'Subscription Cohorts'!R27)</f>
        <v>735.556</v>
      </c>
      <c r="S33" s="4" t="n">
        <f aca="false">MAX(0,'Subscription Cohorts'!S31-'Subscription Cohorts'!S21-'Subscription Cohorts'!S27)</f>
        <v>1433.59488</v>
      </c>
      <c r="T33" s="4" t="n">
        <f aca="false">MAX(0,'Subscription Cohorts'!T31-'Subscription Cohorts'!T21-'Subscription Cohorts'!T27)</f>
        <v>2554.4469824</v>
      </c>
      <c r="U33" s="4" t="n">
        <f aca="false">MAX(0,'Subscription Cohorts'!U31-'Subscription Cohorts'!U21-'Subscription Cohorts'!U27)</f>
        <v>3337.697602752</v>
      </c>
      <c r="V33" s="4" t="n">
        <f aca="false">MAX(0,'Subscription Cohorts'!V31-'Subscription Cohorts'!V21-'Subscription Cohorts'!V27)</f>
        <v>4335.13993709696</v>
      </c>
      <c r="W33" s="4" t="n">
        <f aca="false">MAX(0,'Subscription Cohorts'!W31-'Subscription Cohorts'!W21-'Subscription Cohorts'!W27)</f>
        <v>5247.21714757102</v>
      </c>
      <c r="X33" s="4" t="n">
        <f aca="false">MAX(0,'Subscription Cohorts'!X31-'Subscription Cohorts'!X21-'Subscription Cohorts'!X27)</f>
        <v>6668.38116328264</v>
      </c>
      <c r="Y33" s="4" t="n">
        <f aca="false">MAX(0,'Subscription Cohorts'!Y31-'Subscription Cohorts'!Y21-'Subscription Cohorts'!Y27)</f>
        <v>8469.19289716024</v>
      </c>
      <c r="Z33" s="4" t="n">
        <f aca="false">MAX(0,'Subscription Cohorts'!Z31-'Subscription Cohorts'!Z21-'Subscription Cohorts'!Z27)</f>
        <v>10290.0021349317</v>
      </c>
      <c r="AA33" s="4" t="n">
        <f aca="false">MAX(0,'Subscription Cohorts'!AA31-'Subscription Cohorts'!AA21-'Subscription Cohorts'!AA27)</f>
        <v>11492.5266022048</v>
      </c>
      <c r="AB33" s="4" t="n">
        <f aca="false">MAX(0,'Subscription Cohorts'!AB31-'Subscription Cohorts'!AB21-'Subscription Cohorts'!AB27)</f>
        <v>12215.4481095342</v>
      </c>
      <c r="AC33" s="4" t="n">
        <f aca="false">MAX(0,'Subscription Cohorts'!AC31-'Subscription Cohorts'!AC21-'Subscription Cohorts'!AC27)</f>
        <v>466195.791860139</v>
      </c>
      <c r="AD33" s="4" t="n">
        <f aca="false">MAX(0,'Subscription Cohorts'!AD31-'Subscription Cohorts'!AD21-'Subscription Cohorts'!AD27)</f>
        <v>1442270.97929393</v>
      </c>
      <c r="AE33" s="4" t="n">
        <f aca="false">MAX(0,'Subscription Cohorts'!AE31-'Subscription Cohorts'!AE21-'Subscription Cohorts'!AE27)</f>
        <v>3281219.48735636</v>
      </c>
      <c r="AG33" s="4" t="n">
        <f aca="false">SUMIF($C$3:$AE$3,AG$3,$C33:$AE33)</f>
        <v>0</v>
      </c>
      <c r="AH33" s="4" t="n">
        <f aca="false">SUMIF($C$3:$AE$3,AH$3,$C33:$AE33)</f>
        <v>0</v>
      </c>
      <c r="AI33" s="4" t="n">
        <f aca="false">SUMIF($C$3:$AE$3,AI$3,$C33:$AE33)</f>
        <v>66779.2034569336</v>
      </c>
      <c r="AJ33" s="4" t="n">
        <f aca="false">SUMIF($C$3:$AE$3,AJ$3,$C33:$AE33)</f>
        <v>466195.791860139</v>
      </c>
      <c r="AK33" s="4" t="n">
        <f aca="false">SUMIF($C$3:$AE$3,AK$3,$C33:$AE33)</f>
        <v>1442270.97929393</v>
      </c>
      <c r="AL33" s="4" t="n">
        <f aca="false">SUMIF($C$3:$AE$3,AL$3,$C33:$AE33)</f>
        <v>3281219.48735636</v>
      </c>
    </row>
    <row r="34" customFormat="false" ht="15" hidden="false" customHeight="false" outlineLevel="0" collapsed="false">
      <c r="A34" s="0" t="s">
        <v>496</v>
      </c>
      <c r="B34" s="2" t="s">
        <v>497</v>
      </c>
      <c r="C34" s="4" t="n">
        <f aca="false">'Subscription Cohorts'!C33*'Subscription Cohorts'!C32*trip_rate</f>
        <v>0</v>
      </c>
      <c r="D34" s="4" t="n">
        <f aca="false">'Subscription Cohorts'!D33*'Subscription Cohorts'!D32*trip_rate</f>
        <v>0</v>
      </c>
      <c r="E34" s="4" t="n">
        <f aca="false">'Subscription Cohorts'!E33*'Subscription Cohorts'!E32*trip_rate</f>
        <v>0</v>
      </c>
      <c r="F34" s="4" t="n">
        <f aca="false">'Subscription Cohorts'!F33*'Subscription Cohorts'!F32*trip_rate</f>
        <v>0</v>
      </c>
      <c r="G34" s="4" t="n">
        <f aca="false">'Subscription Cohorts'!G33*'Subscription Cohorts'!G32*trip_rate</f>
        <v>0</v>
      </c>
      <c r="H34" s="4" t="n">
        <f aca="false">'Subscription Cohorts'!H33*'Subscription Cohorts'!H32*trip_rate</f>
        <v>0</v>
      </c>
      <c r="I34" s="4" t="n">
        <f aca="false">'Subscription Cohorts'!I33*'Subscription Cohorts'!I32*trip_rate</f>
        <v>0</v>
      </c>
      <c r="J34" s="4" t="n">
        <f aca="false">'Subscription Cohorts'!J33*'Subscription Cohorts'!J32*trip_rate</f>
        <v>0</v>
      </c>
      <c r="K34" s="4" t="n">
        <f aca="false">'Subscription Cohorts'!K33*'Subscription Cohorts'!K32*trip_rate</f>
        <v>0</v>
      </c>
      <c r="L34" s="4" t="n">
        <f aca="false">'Subscription Cohorts'!L33*'Subscription Cohorts'!L32*trip_rate</f>
        <v>0</v>
      </c>
      <c r="M34" s="4" t="n">
        <f aca="false">'Subscription Cohorts'!M33*'Subscription Cohorts'!M32*trip_rate</f>
        <v>0</v>
      </c>
      <c r="N34" s="4" t="n">
        <f aca="false">'Subscription Cohorts'!N33*'Subscription Cohorts'!N32*trip_rate</f>
        <v>0</v>
      </c>
      <c r="O34" s="4" t="n">
        <f aca="false">'Subscription Cohorts'!O33*'Subscription Cohorts'!O32*trip_rate</f>
        <v>0</v>
      </c>
      <c r="P34" s="4" t="n">
        <f aca="false">'Subscription Cohorts'!P33*'Subscription Cohorts'!P32*trip_rate</f>
        <v>0</v>
      </c>
      <c r="Q34" s="4" t="n">
        <f aca="false">'Subscription Cohorts'!Q33*'Subscription Cohorts'!Q32*trip_rate</f>
        <v>0</v>
      </c>
      <c r="R34" s="4" t="n">
        <f aca="false">'Subscription Cohorts'!R33*'Subscription Cohorts'!R32*trip_rate</f>
        <v>10.3713396</v>
      </c>
      <c r="S34" s="4" t="n">
        <f aca="false">'Subscription Cohorts'!S33*'Subscription Cohorts'!S32*trip_rate</f>
        <v>20.213687808</v>
      </c>
      <c r="T34" s="4" t="n">
        <f aca="false">'Subscription Cohorts'!T33*'Subscription Cohorts'!T32*trip_rate</f>
        <v>42.1483752096</v>
      </c>
      <c r="U34" s="4" t="n">
        <f aca="false">'Subscription Cohorts'!U33*'Subscription Cohorts'!U32*trip_rate</f>
        <v>55.072010445408</v>
      </c>
      <c r="V34" s="4" t="n">
        <f aca="false">'Subscription Cohorts'!V33*'Subscription Cohorts'!V32*trip_rate</f>
        <v>71.5298089620998</v>
      </c>
      <c r="W34" s="4" t="n">
        <f aca="false">'Subscription Cohorts'!W33*'Subscription Cohorts'!W32*trip_rate</f>
        <v>86.5790829349218</v>
      </c>
      <c r="X34" s="4" t="n">
        <f aca="false">'Subscription Cohorts'!X33*'Subscription Cohorts'!X32*trip_rate</f>
        <v>110.028289194164</v>
      </c>
      <c r="Y34" s="4" t="n">
        <f aca="false">'Subscription Cohorts'!Y33*'Subscription Cohorts'!Y32*trip_rate</f>
        <v>139.741682803144</v>
      </c>
      <c r="Z34" s="4" t="n">
        <f aca="false">'Subscription Cohorts'!Z33*'Subscription Cohorts'!Z32*trip_rate</f>
        <v>169.785035226373</v>
      </c>
      <c r="AA34" s="4" t="n">
        <f aca="false">'Subscription Cohorts'!AA33*'Subscription Cohorts'!AA32*trip_rate</f>
        <v>189.62668893638</v>
      </c>
      <c r="AB34" s="4" t="n">
        <f aca="false">'Subscription Cohorts'!AB33*'Subscription Cohorts'!AB32*trip_rate</f>
        <v>201.554893807315</v>
      </c>
      <c r="AC34" s="4" t="n">
        <f aca="false">'Subscription Cohorts'!AC33*'Subscription Cohorts'!AC32*trip_rate</f>
        <v>7692.2305656923</v>
      </c>
      <c r="AD34" s="4" t="n">
        <f aca="false">'Subscription Cohorts'!AD33*'Subscription Cohorts'!AD32*trip_rate</f>
        <v>23797.4711583498</v>
      </c>
      <c r="AE34" s="4" t="n">
        <f aca="false">'Subscription Cohorts'!AE33*'Subscription Cohorts'!AE32*trip_rate</f>
        <v>54140.12154138</v>
      </c>
      <c r="AG34" s="4" t="n">
        <f aca="false">SUMIF($C$3:$AE$3,AG$3,$C34:$AE34)</f>
        <v>0</v>
      </c>
      <c r="AH34" s="4" t="n">
        <f aca="false">SUMIF($C$3:$AE$3,AH$3,$C34:$AE34)</f>
        <v>0</v>
      </c>
      <c r="AI34" s="4" t="n">
        <f aca="false">SUMIF($C$3:$AE$3,AI$3,$C34:$AE34)</f>
        <v>1096.6508949274</v>
      </c>
      <c r="AJ34" s="4" t="n">
        <f aca="false">SUMIF($C$3:$AE$3,AJ$3,$C34:$AE34)</f>
        <v>7692.2305656923</v>
      </c>
      <c r="AK34" s="4" t="n">
        <f aca="false">SUMIF($C$3:$AE$3,AK$3,$C34:$AE34)</f>
        <v>23797.4711583498</v>
      </c>
      <c r="AL34" s="4" t="n">
        <f aca="false">SUMIF($C$3:$AE$3,AL$3,$C34:$AE34)</f>
        <v>54140.12154138</v>
      </c>
    </row>
    <row r="35" customFormat="false" ht="15" hidden="false" customHeight="false" outlineLevel="0" collapsed="false">
      <c r="A35" s="13" t="s">
        <v>498</v>
      </c>
      <c r="B35" s="2" t="s">
        <v>50</v>
      </c>
      <c r="C35" s="29" t="n">
        <f aca="false">'Subscription Cohorts'!C34*trip_price*sc_price</f>
        <v>0</v>
      </c>
      <c r="D35" s="29" t="n">
        <f aca="false">'Subscription Cohorts'!D34*trip_price*sc_price</f>
        <v>0</v>
      </c>
      <c r="E35" s="29" t="n">
        <f aca="false">'Subscription Cohorts'!E34*trip_price*sc_price</f>
        <v>0</v>
      </c>
      <c r="F35" s="29" t="n">
        <f aca="false">'Subscription Cohorts'!F34*trip_price*sc_price</f>
        <v>0</v>
      </c>
      <c r="G35" s="29" t="n">
        <f aca="false">'Subscription Cohorts'!G34*trip_price*sc_price</f>
        <v>0</v>
      </c>
      <c r="H35" s="29" t="n">
        <f aca="false">'Subscription Cohorts'!H34*trip_price*sc_price</f>
        <v>0</v>
      </c>
      <c r="I35" s="29" t="n">
        <f aca="false">'Subscription Cohorts'!I34*trip_price*sc_price</f>
        <v>0</v>
      </c>
      <c r="J35" s="29" t="n">
        <f aca="false">'Subscription Cohorts'!J34*trip_price*sc_price</f>
        <v>0</v>
      </c>
      <c r="K35" s="29" t="n">
        <f aca="false">'Subscription Cohorts'!K34*trip_price*sc_price</f>
        <v>0</v>
      </c>
      <c r="L35" s="29" t="n">
        <f aca="false">'Subscription Cohorts'!L34*trip_price*sc_price</f>
        <v>0</v>
      </c>
      <c r="M35" s="29" t="n">
        <f aca="false">'Subscription Cohorts'!M34*trip_price*sc_price</f>
        <v>0</v>
      </c>
      <c r="N35" s="29" t="n">
        <f aca="false">'Subscription Cohorts'!N34*trip_price*sc_price</f>
        <v>0</v>
      </c>
      <c r="O35" s="29" t="n">
        <f aca="false">'Subscription Cohorts'!O34*trip_price*sc_price</f>
        <v>0</v>
      </c>
      <c r="P35" s="29" t="n">
        <f aca="false">'Subscription Cohorts'!P34*trip_price*sc_price</f>
        <v>0</v>
      </c>
      <c r="Q35" s="29" t="n">
        <f aca="false">'Subscription Cohorts'!Q34*trip_price*sc_price</f>
        <v>0</v>
      </c>
      <c r="R35" s="29" t="n">
        <f aca="false">'Subscription Cohorts'!R34*trip_price*sc_price</f>
        <v>331.8828672</v>
      </c>
      <c r="S35" s="29" t="n">
        <f aca="false">'Subscription Cohorts'!S34*trip_price*sc_price</f>
        <v>646.838009855999</v>
      </c>
      <c r="T35" s="29" t="n">
        <f aca="false">'Subscription Cohorts'!T34*trip_price*sc_price</f>
        <v>1348.7480067072</v>
      </c>
      <c r="U35" s="29" t="n">
        <f aca="false">'Subscription Cohorts'!U34*trip_price*sc_price</f>
        <v>1762.30433425306</v>
      </c>
      <c r="V35" s="29" t="n">
        <f aca="false">'Subscription Cohorts'!V34*trip_price*sc_price</f>
        <v>2288.95388678719</v>
      </c>
      <c r="W35" s="29" t="n">
        <f aca="false">'Subscription Cohorts'!W34*trip_price*sc_price</f>
        <v>2770.5306539175</v>
      </c>
      <c r="X35" s="29" t="n">
        <f aca="false">'Subscription Cohorts'!X34*trip_price*sc_price</f>
        <v>3520.90525421323</v>
      </c>
      <c r="Y35" s="29" t="n">
        <f aca="false">'Subscription Cohorts'!Y34*trip_price*sc_price</f>
        <v>4471.73384970061</v>
      </c>
      <c r="Z35" s="29" t="n">
        <f aca="false">'Subscription Cohorts'!Z34*trip_price*sc_price</f>
        <v>5433.12112724394</v>
      </c>
      <c r="AA35" s="29" t="n">
        <f aca="false">'Subscription Cohorts'!AA34*trip_price*sc_price</f>
        <v>6068.05404596416</v>
      </c>
      <c r="AB35" s="29" t="n">
        <f aca="false">'Subscription Cohorts'!AB34*trip_price*sc_price</f>
        <v>6449.75660183407</v>
      </c>
      <c r="AC35" s="29" t="n">
        <f aca="false">'Subscription Cohorts'!AC34*trip_price*sc_price</f>
        <v>246151.378102154</v>
      </c>
      <c r="AD35" s="29" t="n">
        <f aca="false">'Subscription Cohorts'!AD34*trip_price*sc_price</f>
        <v>761519.077067195</v>
      </c>
      <c r="AE35" s="29" t="n">
        <f aca="false">'Subscription Cohorts'!AE34*trip_price*sc_price</f>
        <v>1732483.88932416</v>
      </c>
      <c r="AG35" s="29" t="n">
        <f aca="false">SUMIF($C$3:$AE$3,AG$3,$C35:$AE35)</f>
        <v>0</v>
      </c>
      <c r="AH35" s="29" t="n">
        <f aca="false">SUMIF($C$3:$AE$3,AH$3,$C35:$AE35)</f>
        <v>0</v>
      </c>
      <c r="AI35" s="29" t="n">
        <f aca="false">SUMIF($C$3:$AE$3,AI$3,$C35:$AE35)</f>
        <v>35092.828637677</v>
      </c>
      <c r="AJ35" s="29" t="n">
        <f aca="false">SUMIF($C$3:$AE$3,AJ$3,$C35:$AE35)</f>
        <v>246151.378102154</v>
      </c>
      <c r="AK35" s="29" t="n">
        <f aca="false">SUMIF($C$3:$AE$3,AK$3,$C35:$AE35)</f>
        <v>761519.077067195</v>
      </c>
      <c r="AL35" s="29" t="n">
        <f aca="false">SUMIF($C$3:$AE$3,AL$3,$C35:$AE35)</f>
        <v>1732483.88932416</v>
      </c>
    </row>
    <row r="36" customFormat="false" ht="15" hidden="false" customHeight="false" outlineLevel="0" collapsed="false">
      <c r="A36" s="0" t="s">
        <v>499</v>
      </c>
      <c r="B36" s="2" t="s">
        <v>58</v>
      </c>
      <c r="C36" s="5" t="n">
        <f aca="false">IF('Subscription Cohorts'!C29&gt;0,'Subscription Cohorts'!C19/'Subscription Cohorts'!C29,0)</f>
        <v>0</v>
      </c>
      <c r="D36" s="5" t="n">
        <f aca="false">IF('Subscription Cohorts'!D29&gt;0,'Subscription Cohorts'!D19/'Subscription Cohorts'!D29,0)</f>
        <v>0</v>
      </c>
      <c r="E36" s="5" t="n">
        <f aca="false">IF('Subscription Cohorts'!E29&gt;0,'Subscription Cohorts'!E19/'Subscription Cohorts'!E29,0)</f>
        <v>0</v>
      </c>
      <c r="F36" s="5" t="n">
        <f aca="false">IF('Subscription Cohorts'!F29&gt;0,'Subscription Cohorts'!F19/'Subscription Cohorts'!F29,0)</f>
        <v>0</v>
      </c>
      <c r="G36" s="5" t="n">
        <f aca="false">IF('Subscription Cohorts'!G29&gt;0,'Subscription Cohorts'!G19/'Subscription Cohorts'!G29,0)</f>
        <v>0</v>
      </c>
      <c r="H36" s="5" t="n">
        <f aca="false">IF('Subscription Cohorts'!H29&gt;0,'Subscription Cohorts'!H19/'Subscription Cohorts'!H29,0)</f>
        <v>0</v>
      </c>
      <c r="I36" s="5" t="n">
        <f aca="false">IF('Subscription Cohorts'!I29&gt;0,'Subscription Cohorts'!I19/'Subscription Cohorts'!I29,0)</f>
        <v>0</v>
      </c>
      <c r="J36" s="5" t="n">
        <f aca="false">IF('Subscription Cohorts'!J29&gt;0,'Subscription Cohorts'!J19/'Subscription Cohorts'!J29,0)</f>
        <v>0</v>
      </c>
      <c r="K36" s="5" t="n">
        <f aca="false">IF('Subscription Cohorts'!K29&gt;0,'Subscription Cohorts'!K19/'Subscription Cohorts'!K29,0)</f>
        <v>0</v>
      </c>
      <c r="L36" s="5" t="n">
        <f aca="false">IF('Subscription Cohorts'!L29&gt;0,'Subscription Cohorts'!L19/'Subscription Cohorts'!L29,0)</f>
        <v>0</v>
      </c>
      <c r="M36" s="5" t="n">
        <f aca="false">IF('Subscription Cohorts'!M29&gt;0,'Subscription Cohorts'!M19/'Subscription Cohorts'!M29,0)</f>
        <v>0</v>
      </c>
      <c r="N36" s="5" t="n">
        <f aca="false">IF('Subscription Cohorts'!N29&gt;0,'Subscription Cohorts'!N19/'Subscription Cohorts'!N29,0)</f>
        <v>0</v>
      </c>
      <c r="O36" s="5" t="n">
        <f aca="false">IF('Subscription Cohorts'!O29&gt;0,'Subscription Cohorts'!O19/'Subscription Cohorts'!O29,0)</f>
        <v>0</v>
      </c>
      <c r="P36" s="5" t="n">
        <f aca="false">IF('Subscription Cohorts'!P29&gt;0,'Subscription Cohorts'!P19/'Subscription Cohorts'!P29,0)</f>
        <v>0</v>
      </c>
      <c r="Q36" s="5" t="n">
        <f aca="false">IF('Subscription Cohorts'!Q29&gt;0,'Subscription Cohorts'!Q19/'Subscription Cohorts'!Q29,0)</f>
        <v>0</v>
      </c>
      <c r="R36" s="5" t="n">
        <f aca="false">IF('Subscription Cohorts'!R29&gt;0,'Subscription Cohorts'!R19/'Subscription Cohorts'!R29,0)</f>
        <v>0.102117882026567</v>
      </c>
      <c r="S36" s="5" t="n">
        <f aca="false">IF('Subscription Cohorts'!S29&gt;0,'Subscription Cohorts'!S19/'Subscription Cohorts'!S29,0)</f>
        <v>0.135168623465424</v>
      </c>
      <c r="T36" s="5" t="n">
        <f aca="false">IF('Subscription Cohorts'!T29&gt;0,'Subscription Cohorts'!T19/'Subscription Cohorts'!T29,0)</f>
        <v>0.161310251913539</v>
      </c>
      <c r="U36" s="5" t="n">
        <f aca="false">IF('Subscription Cohorts'!U29&gt;0,'Subscription Cohorts'!U19/'Subscription Cohorts'!U29,0)</f>
        <v>0.176375843601571</v>
      </c>
      <c r="V36" s="5" t="n">
        <f aca="false">IF('Subscription Cohorts'!V29&gt;0,'Subscription Cohorts'!V19/'Subscription Cohorts'!V29,0)</f>
        <v>0.187089945971545</v>
      </c>
      <c r="W36" s="5" t="n">
        <f aca="false">IF('Subscription Cohorts'!W29&gt;0,'Subscription Cohorts'!W19/'Subscription Cohorts'!W29,0)</f>
        <v>0.187737028886552</v>
      </c>
      <c r="X36" s="5" t="n">
        <f aca="false">IF('Subscription Cohorts'!X29&gt;0,'Subscription Cohorts'!X19/'Subscription Cohorts'!X29,0)</f>
        <v>0.193049947384491</v>
      </c>
      <c r="Y36" s="5" t="n">
        <f aca="false">IF('Subscription Cohorts'!Y29&gt;0,'Subscription Cohorts'!Y19/'Subscription Cohorts'!Y29,0)</f>
        <v>0.203461493961669</v>
      </c>
      <c r="Z36" s="5" t="n">
        <f aca="false">IF('Subscription Cohorts'!Z29&gt;0,'Subscription Cohorts'!Z19/'Subscription Cohorts'!Z29,0)</f>
        <v>0.214023918153359</v>
      </c>
      <c r="AA36" s="5" t="n">
        <f aca="false">IF('Subscription Cohorts'!AA29&gt;0,'Subscription Cohorts'!AA19/'Subscription Cohorts'!AA29,0)</f>
        <v>0.211267551394998</v>
      </c>
      <c r="AB36" s="5" t="n">
        <f aca="false">IF('Subscription Cohorts'!AB29&gt;0,'Subscription Cohorts'!AB19/'Subscription Cohorts'!AB29,0)</f>
        <v>0.194926884549312</v>
      </c>
      <c r="AC36" s="5" t="n">
        <f aca="false">IF('Subscription Cohorts'!AC29&gt;0,'Subscription Cohorts'!AC19/'Subscription Cohorts'!AC29,0)</f>
        <v>0.232335701691671</v>
      </c>
      <c r="AD36" s="5" t="n">
        <f aca="false">IF('Subscription Cohorts'!AD29&gt;0,'Subscription Cohorts'!AD19/'Subscription Cohorts'!AD29,0)</f>
        <v>0.221254170981125</v>
      </c>
      <c r="AE36" s="5" t="n">
        <f aca="false">IF('Subscription Cohorts'!AE29&gt;0,'Subscription Cohorts'!AE19/'Subscription Cohorts'!AE29,0)</f>
        <v>0.213360856131105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500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501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502</v>
      </c>
      <c r="B10" s="2"/>
      <c r="C10" s="4" t="n">
        <f aca="false">'Pricing &amp; Mix'!C29*'Pricing &amp; Mix'!C13+'Pricing &amp; Mix'!C30*'Pricing &amp; Mix'!C14+'Pricing &amp; Mix'!C31*'Pricing &amp; Mix'!C15</f>
        <v>0</v>
      </c>
      <c r="D10" s="4" t="n">
        <f aca="false">'Pricing &amp; Mix'!D29*'Pricing &amp; Mix'!D13+'Pricing &amp; Mix'!D30*'Pricing &amp; Mix'!D14+'Pricing &amp; Mix'!D31*'Pricing &amp; Mix'!D15</f>
        <v>0</v>
      </c>
      <c r="E10" s="4" t="n">
        <f aca="false">'Pricing &amp; Mix'!E29*'Pricing &amp; Mix'!E13+'Pricing &amp; Mix'!E30*'Pricing &amp; Mix'!E14+'Pricing &amp; Mix'!E31*'Pricing &amp; Mix'!E15</f>
        <v>0</v>
      </c>
      <c r="F10" s="4" t="n">
        <f aca="false">'Pricing &amp; Mix'!F29*'Pricing &amp; Mix'!F13+'Pricing &amp; Mix'!F30*'Pricing &amp; Mix'!F14+'Pricing &amp; Mix'!F31*'Pricing &amp; Mix'!F15</f>
        <v>0</v>
      </c>
      <c r="G10" s="4" t="n">
        <f aca="false">'Pricing &amp; Mix'!G29*'Pricing &amp; Mix'!G13+'Pricing &amp; Mix'!G30*'Pricing &amp; Mix'!G14+'Pricing &amp; Mix'!G31*'Pricing &amp; Mix'!G15</f>
        <v>0</v>
      </c>
      <c r="H10" s="4" t="n">
        <f aca="false">'Pricing &amp; Mix'!H29*'Pricing &amp; Mix'!H13+'Pricing &amp; Mix'!H30*'Pricing &amp; Mix'!H14+'Pricing &amp; Mix'!H31*'Pricing &amp; Mix'!H15</f>
        <v>0</v>
      </c>
      <c r="I10" s="4" t="n">
        <f aca="false">'Pricing &amp; Mix'!I29*'Pricing &amp; Mix'!I13+'Pricing &amp; Mix'!I30*'Pricing &amp; Mix'!I14+'Pricing &amp; Mix'!I31*'Pricing &amp; Mix'!I15</f>
        <v>0</v>
      </c>
      <c r="J10" s="4" t="n">
        <f aca="false">'Pricing &amp; Mix'!J29*'Pricing &amp; Mix'!J13+'Pricing &amp; Mix'!J30*'Pricing &amp; Mix'!J14+'Pricing &amp; Mix'!J31*'Pricing &amp; Mix'!J15</f>
        <v>0</v>
      </c>
      <c r="K10" s="4" t="n">
        <f aca="false">'Pricing &amp; Mix'!K29*'Pricing &amp; Mix'!K13+'Pricing &amp; Mix'!K30*'Pricing &amp; Mix'!K14+'Pricing &amp; Mix'!K31*'Pricing &amp; Mix'!K15</f>
        <v>0</v>
      </c>
      <c r="L10" s="4" t="n">
        <f aca="false">'Pricing &amp; Mix'!L29*'Pricing &amp; Mix'!L13+'Pricing &amp; Mix'!L30*'Pricing &amp; Mix'!L14+'Pricing &amp; Mix'!L31*'Pricing &amp; Mix'!L15</f>
        <v>0</v>
      </c>
      <c r="M10" s="4" t="n">
        <f aca="false">'Pricing &amp; Mix'!M29*'Pricing &amp; Mix'!M13+'Pricing &amp; Mix'!M30*'Pricing &amp; Mix'!M14+'Pricing &amp; Mix'!M31*'Pricing &amp; Mix'!M15</f>
        <v>0</v>
      </c>
      <c r="N10" s="4" t="n">
        <f aca="false">'Pricing &amp; Mix'!N29*'Pricing &amp; Mix'!N13+'Pricing &amp; Mix'!N30*'Pricing &amp; Mix'!N14+'Pricing &amp; Mix'!N31*'Pricing &amp; Mix'!N15</f>
        <v>0</v>
      </c>
      <c r="O10" s="4" t="n">
        <f aca="false">'Pricing &amp; Mix'!O29*'Pricing &amp; Mix'!O13+'Pricing &amp; Mix'!O30*'Pricing &amp; Mix'!O14+'Pricing &amp; Mix'!O31*'Pricing &amp; Mix'!O15</f>
        <v>0</v>
      </c>
      <c r="P10" s="4" t="n">
        <f aca="false">'Pricing &amp; Mix'!P29*'Pricing &amp; Mix'!P13+'Pricing &amp; Mix'!P30*'Pricing &amp; Mix'!P14+'Pricing &amp; Mix'!P31*'Pricing &amp; Mix'!P15</f>
        <v>0</v>
      </c>
      <c r="Q10" s="4" t="n">
        <f aca="false">'Pricing &amp; Mix'!Q29*'Pricing &amp; Mix'!Q13+'Pricing &amp; Mix'!Q30*'Pricing &amp; Mix'!Q14+'Pricing &amp; Mix'!Q31*'Pricing &amp; Mix'!Q15</f>
        <v>232121.25</v>
      </c>
      <c r="R10" s="4" t="n">
        <f aca="false">'Pricing &amp; Mix'!R29*'Pricing &amp; Mix'!R13+'Pricing &amp; Mix'!R30*'Pricing &amp; Mix'!R14+'Pricing &amp; Mix'!R31*'Pricing &amp; Mix'!R15</f>
        <v>250690.95</v>
      </c>
      <c r="S10" s="4" t="n">
        <f aca="false">'Pricing &amp; Mix'!S29*'Pricing &amp; Mix'!S13+'Pricing &amp; Mix'!S30*'Pricing &amp; Mix'!S14+'Pricing &amp; Mix'!S31*'Pricing &amp; Mix'!S15</f>
        <v>306400.05</v>
      </c>
      <c r="T10" s="4" t="n">
        <f aca="false">'Pricing &amp; Mix'!T29*'Pricing &amp; Mix'!T13+'Pricing &amp; Mix'!T30*'Pricing &amp; Mix'!T14+'Pricing &amp; Mix'!T31*'Pricing &amp; Mix'!T15</f>
        <v>479533.95</v>
      </c>
      <c r="U10" s="4" t="n">
        <f aca="false">'Pricing &amp; Mix'!U29*'Pricing &amp; Mix'!U13+'Pricing &amp; Mix'!U30*'Pricing &amp; Mix'!U14+'Pricing &amp; Mix'!U31*'Pricing &amp; Mix'!U15</f>
        <v>573101.55</v>
      </c>
      <c r="V10" s="4" t="n">
        <f aca="false">'Pricing &amp; Mix'!V29*'Pricing &amp; Mix'!V13+'Pricing &amp; Mix'!V30*'Pricing &amp; Mix'!V14+'Pricing &amp; Mix'!V31*'Pricing &amp; Mix'!V15</f>
        <v>666669.15</v>
      </c>
      <c r="W10" s="4" t="n">
        <f aca="false">'Pricing &amp; Mix'!W29*'Pricing &amp; Mix'!W13+'Pricing &amp; Mix'!W30*'Pricing &amp; Mix'!W14+'Pricing &amp; Mix'!W31*'Pricing &amp; Mix'!W15</f>
        <v>653023.875</v>
      </c>
      <c r="X10" s="4" t="n">
        <f aca="false">'Pricing &amp; Mix'!X29*'Pricing &amp; Mix'!X13+'Pricing &amp; Mix'!X30*'Pricing &amp; Mix'!X14+'Pricing &amp; Mix'!X31*'Pricing &amp; Mix'!X15</f>
        <v>672517.125</v>
      </c>
      <c r="Y10" s="4" t="n">
        <f aca="false">'Pricing &amp; Mix'!Y29*'Pricing &amp; Mix'!Y13+'Pricing &amp; Mix'!Y30*'Pricing &amp; Mix'!Y14+'Pricing &amp; Mix'!Y31*'Pricing &amp; Mix'!Y15</f>
        <v>633530.625</v>
      </c>
      <c r="Z10" s="4" t="n">
        <f aca="false">'Pricing &amp; Mix'!Z29*'Pricing &amp; Mix'!Z13+'Pricing &amp; Mix'!Z30*'Pricing &amp; Mix'!Z14+'Pricing &amp; Mix'!Z31*'Pricing &amp; Mix'!Z15</f>
        <v>711503.625</v>
      </c>
      <c r="AA10" s="4" t="n">
        <f aca="false">'Pricing &amp; Mix'!AA29*'Pricing &amp; Mix'!AA13+'Pricing &amp; Mix'!AA30*'Pricing &amp; Mix'!AA14+'Pricing &amp; Mix'!AA31*'Pricing &amp; Mix'!AA15</f>
        <v>1023395.625</v>
      </c>
      <c r="AB10" s="4" t="n">
        <f aca="false">'Pricing &amp; Mix'!AB29*'Pricing &amp; Mix'!AB13+'Pricing &amp; Mix'!AB30*'Pricing &amp; Mix'!AB14+'Pricing &amp; Mix'!AB31*'Pricing &amp; Mix'!AB15</f>
        <v>1442500.5</v>
      </c>
      <c r="AC10" s="4" t="n">
        <f aca="false">'Pricing &amp; Mix'!AC29*'Pricing &amp; Mix'!AC13+'Pricing &amp; Mix'!AC30*'Pricing &amp; Mix'!AC14+'Pricing &amp; Mix'!AC31*'Pricing &amp; Mix'!AC15</f>
        <v>21832440</v>
      </c>
      <c r="AD10" s="4" t="n">
        <f aca="false">'Pricing &amp; Mix'!AD29*'Pricing &amp; Mix'!AD13+'Pricing &amp; Mix'!AD30*'Pricing &amp; Mix'!AD14+'Pricing &amp; Mix'!AD31*'Pricing &amp; Mix'!AD15</f>
        <v>42235375</v>
      </c>
      <c r="AE10" s="4" t="n">
        <f aca="false">'Pricing &amp; Mix'!AE29*'Pricing &amp; Mix'!AE13+'Pricing &amp; Mix'!AE30*'Pricing &amp; Mix'!AE14+'Pricing &amp; Mix'!AE31*'Pricing &amp; Mix'!AE15</f>
        <v>67576600</v>
      </c>
      <c r="AG10" s="4" t="n">
        <f aca="false">SUMIF($C$3:$AE$3,AG$3,$C10:$AE10)</f>
        <v>0</v>
      </c>
      <c r="AH10" s="4" t="n">
        <f aca="false">SUMIF($C$3:$AE$3,AH$3,$C10:$AE10)</f>
        <v>0</v>
      </c>
      <c r="AI10" s="4" t="n">
        <f aca="false">SUMIF($C$3:$AE$3,AI$3,$C10:$AE10)</f>
        <v>7644988.275</v>
      </c>
      <c r="AJ10" s="4" t="n">
        <f aca="false">SUMIF($C$3:$AE$3,AJ$3,$C10:$AE10)</f>
        <v>21832440</v>
      </c>
      <c r="AK10" s="4" t="n">
        <f aca="false">SUMIF($C$3:$AE$3,AK$3,$C10:$AE10)</f>
        <v>42235375</v>
      </c>
      <c r="AL10" s="4" t="n">
        <f aca="false">SUMIF($C$3:$AE$3,AL$3,$C10:$AE10)</f>
        <v>67576600</v>
      </c>
    </row>
    <row r="11" customFormat="false" ht="15" hidden="false" customHeight="false" outlineLevel="0" collapsed="false">
      <c r="A11" s="0" t="s">
        <v>503</v>
      </c>
      <c r="B11" s="2"/>
      <c r="C11" s="4" t="n">
        <f aca="false">'Pricing &amp; Mix'!C32*'Pricing &amp; Mix'!C16+'Pricing &amp; Mix'!C33*'Pricing &amp; Mix'!C17+'Pricing &amp; Mix'!C34*'Pricing &amp; Mix'!C18</f>
        <v>0</v>
      </c>
      <c r="D11" s="4" t="n">
        <f aca="false">'Pricing &amp; Mix'!D32*'Pricing &amp; Mix'!D16+'Pricing &amp; Mix'!D33*'Pricing &amp; Mix'!D17+'Pricing &amp; Mix'!D34*'Pricing &amp; Mix'!D18</f>
        <v>0</v>
      </c>
      <c r="E11" s="4" t="n">
        <f aca="false">'Pricing &amp; Mix'!E32*'Pricing &amp; Mix'!E16+'Pricing &amp; Mix'!E33*'Pricing &amp; Mix'!E17+'Pricing &amp; Mix'!E34*'Pricing &amp; Mix'!E18</f>
        <v>0</v>
      </c>
      <c r="F11" s="4" t="n">
        <f aca="false">'Pricing &amp; Mix'!F32*'Pricing &amp; Mix'!F16+'Pricing &amp; Mix'!F33*'Pricing &amp; Mix'!F17+'Pricing &amp; Mix'!F34*'Pricing &amp; Mix'!F18</f>
        <v>0</v>
      </c>
      <c r="G11" s="4" t="n">
        <f aca="false">'Pricing &amp; Mix'!G32*'Pricing &amp; Mix'!G16+'Pricing &amp; Mix'!G33*'Pricing &amp; Mix'!G17+'Pricing &amp; Mix'!G34*'Pricing &amp; Mix'!G18</f>
        <v>0</v>
      </c>
      <c r="H11" s="4" t="n">
        <f aca="false">'Pricing &amp; Mix'!H32*'Pricing &amp; Mix'!H16+'Pricing &amp; Mix'!H33*'Pricing &amp; Mix'!H17+'Pricing &amp; Mix'!H34*'Pricing &amp; Mix'!H18</f>
        <v>0</v>
      </c>
      <c r="I11" s="4" t="n">
        <f aca="false">'Pricing &amp; Mix'!I32*'Pricing &amp; Mix'!I16+'Pricing &amp; Mix'!I33*'Pricing &amp; Mix'!I17+'Pricing &amp; Mix'!I34*'Pricing &amp; Mix'!I18</f>
        <v>0</v>
      </c>
      <c r="J11" s="4" t="n">
        <f aca="false">'Pricing &amp; Mix'!J32*'Pricing &amp; Mix'!J16+'Pricing &amp; Mix'!J33*'Pricing &amp; Mix'!J17+'Pricing &amp; Mix'!J34*'Pricing &amp; Mix'!J18</f>
        <v>0</v>
      </c>
      <c r="K11" s="4" t="n">
        <f aca="false">'Pricing &amp; Mix'!K32*'Pricing &amp; Mix'!K16+'Pricing &amp; Mix'!K33*'Pricing &amp; Mix'!K17+'Pricing &amp; Mix'!K34*'Pricing &amp; Mix'!K18</f>
        <v>0</v>
      </c>
      <c r="L11" s="4" t="n">
        <f aca="false">'Pricing &amp; Mix'!L32*'Pricing &amp; Mix'!L16+'Pricing &amp; Mix'!L33*'Pricing &amp; Mix'!L17+'Pricing &amp; Mix'!L34*'Pricing &amp; Mix'!L18</f>
        <v>0</v>
      </c>
      <c r="M11" s="4" t="n">
        <f aca="false">'Pricing &amp; Mix'!M32*'Pricing &amp; Mix'!M16+'Pricing &amp; Mix'!M33*'Pricing &amp; Mix'!M17+'Pricing &amp; Mix'!M34*'Pricing &amp; Mix'!M18</f>
        <v>0</v>
      </c>
      <c r="N11" s="4" t="n">
        <f aca="false">'Pricing &amp; Mix'!N32*'Pricing &amp; Mix'!N16+'Pricing &amp; Mix'!N33*'Pricing &amp; Mix'!N17+'Pricing &amp; Mix'!N34*'Pricing &amp; Mix'!N18</f>
        <v>0</v>
      </c>
      <c r="O11" s="4" t="n">
        <f aca="false">'Pricing &amp; Mix'!O32*'Pricing &amp; Mix'!O16+'Pricing &amp; Mix'!O33*'Pricing &amp; Mix'!O17+'Pricing &amp; Mix'!O34*'Pricing &amp; Mix'!O18</f>
        <v>0</v>
      </c>
      <c r="P11" s="4" t="n">
        <f aca="false">'Pricing &amp; Mix'!P32*'Pricing &amp; Mix'!P16+'Pricing &amp; Mix'!P33*'Pricing &amp; Mix'!P17+'Pricing &amp; Mix'!P34*'Pricing &amp; Mix'!P18</f>
        <v>0</v>
      </c>
      <c r="Q11" s="4" t="n">
        <f aca="false">'Pricing &amp; Mix'!Q32*'Pricing &amp; Mix'!Q16+'Pricing &amp; Mix'!Q33*'Pricing &amp; Mix'!Q17+'Pricing &amp; Mix'!Q34*'Pricing &amp; Mix'!Q18</f>
        <v>17011.25</v>
      </c>
      <c r="R11" s="4" t="n">
        <f aca="false">'Pricing &amp; Mix'!R32*'Pricing &amp; Mix'!R16+'Pricing &amp; Mix'!R33*'Pricing &amp; Mix'!R17+'Pricing &amp; Mix'!R34*'Pricing &amp; Mix'!R18</f>
        <v>18372.15</v>
      </c>
      <c r="S11" s="4" t="n">
        <f aca="false">'Pricing &amp; Mix'!S32*'Pricing &amp; Mix'!S16+'Pricing &amp; Mix'!S33*'Pricing &amp; Mix'!S17+'Pricing &amp; Mix'!S34*'Pricing &amp; Mix'!S18</f>
        <v>22454.85</v>
      </c>
      <c r="T11" s="4" t="n">
        <f aca="false">'Pricing &amp; Mix'!T32*'Pricing &amp; Mix'!T16+'Pricing &amp; Mix'!T33*'Pricing &amp; Mix'!T17+'Pricing &amp; Mix'!T34*'Pricing &amp; Mix'!T18</f>
        <v>35143.15</v>
      </c>
      <c r="U11" s="4" t="n">
        <f aca="false">'Pricing &amp; Mix'!U32*'Pricing &amp; Mix'!U16+'Pricing &amp; Mix'!U33*'Pricing &amp; Mix'!U17+'Pricing &amp; Mix'!U34*'Pricing &amp; Mix'!U18</f>
        <v>42000.35</v>
      </c>
      <c r="V11" s="4" t="n">
        <f aca="false">'Pricing &amp; Mix'!V32*'Pricing &amp; Mix'!V16+'Pricing &amp; Mix'!V33*'Pricing &amp; Mix'!V17+'Pricing &amp; Mix'!V34*'Pricing &amp; Mix'!V18</f>
        <v>48857.55</v>
      </c>
      <c r="W11" s="4" t="n">
        <f aca="false">'Pricing &amp; Mix'!W32*'Pricing &amp; Mix'!W16+'Pricing &amp; Mix'!W33*'Pricing &amp; Mix'!W17+'Pricing &amp; Mix'!W34*'Pricing &amp; Mix'!W18</f>
        <v>143572.625</v>
      </c>
      <c r="X11" s="4" t="n">
        <f aca="false">'Pricing &amp; Mix'!X32*'Pricing &amp; Mix'!X16+'Pricing &amp; Mix'!X33*'Pricing &amp; Mix'!X17+'Pricing &amp; Mix'!X34*'Pricing &amp; Mix'!X18</f>
        <v>147858.375</v>
      </c>
      <c r="Y11" s="4" t="n">
        <f aca="false">'Pricing &amp; Mix'!Y32*'Pricing &amp; Mix'!Y16+'Pricing &amp; Mix'!Y33*'Pricing &amp; Mix'!Y17+'Pricing &amp; Mix'!Y34*'Pricing &amp; Mix'!Y18</f>
        <v>139286.875</v>
      </c>
      <c r="Z11" s="4" t="n">
        <f aca="false">'Pricing &amp; Mix'!Z32*'Pricing &amp; Mix'!Z16+'Pricing &amp; Mix'!Z33*'Pricing &amp; Mix'!Z17+'Pricing &amp; Mix'!Z34*'Pricing &amp; Mix'!Z18</f>
        <v>156429.875</v>
      </c>
      <c r="AA11" s="4" t="n">
        <f aca="false">'Pricing &amp; Mix'!AA32*'Pricing &amp; Mix'!AA16+'Pricing &amp; Mix'!AA33*'Pricing &amp; Mix'!AA17+'Pricing &amp; Mix'!AA34*'Pricing &amp; Mix'!AA18</f>
        <v>225001.875</v>
      </c>
      <c r="AB11" s="4" t="n">
        <f aca="false">'Pricing &amp; Mix'!AB32*'Pricing &amp; Mix'!AB16+'Pricing &amp; Mix'!AB33*'Pricing &amp; Mix'!AB17+'Pricing &amp; Mix'!AB34*'Pricing &amp; Mix'!AB18</f>
        <v>317145.5</v>
      </c>
      <c r="AC11" s="4" t="n">
        <f aca="false">'Pricing &amp; Mix'!AC32*'Pricing &amp; Mix'!AC16+'Pricing &amp; Mix'!AC33*'Pricing &amp; Mix'!AC17+'Pricing &amp; Mix'!AC34*'Pricing &amp; Mix'!AC18</f>
        <v>6171480</v>
      </c>
      <c r="AD11" s="4" t="n">
        <f aca="false">'Pricing &amp; Mix'!AD32*'Pricing &amp; Mix'!AD16+'Pricing &amp; Mix'!AD33*'Pricing &amp; Mix'!AD17+'Pricing &amp; Mix'!AD34*'Pricing &amp; Mix'!AD18</f>
        <v>15000125</v>
      </c>
      <c r="AE11" s="4" t="n">
        <f aca="false">'Pricing &amp; Mix'!AE32*'Pricing &amp; Mix'!AE16+'Pricing &amp; Mix'!AE33*'Pricing &amp; Mix'!AE17+'Pricing &amp; Mix'!AE34*'Pricing &amp; Mix'!AE18</f>
        <v>24000200</v>
      </c>
      <c r="AG11" s="4" t="n">
        <f aca="false">SUMIF($C$3:$AE$3,AG$3,$C11:$AE11)</f>
        <v>0</v>
      </c>
      <c r="AH11" s="4" t="n">
        <f aca="false">SUMIF($C$3:$AE$3,AH$3,$C11:$AE11)</f>
        <v>0</v>
      </c>
      <c r="AI11" s="4" t="n">
        <f aca="false">SUMIF($C$3:$AE$3,AI$3,$C11:$AE11)</f>
        <v>1313134.425</v>
      </c>
      <c r="AJ11" s="4" t="n">
        <f aca="false">SUMIF($C$3:$AE$3,AJ$3,$C11:$AE11)</f>
        <v>6171480</v>
      </c>
      <c r="AK11" s="4" t="n">
        <f aca="false">SUMIF($C$3:$AE$3,AK$3,$C11:$AE11)</f>
        <v>15000125</v>
      </c>
      <c r="AL11" s="4" t="n">
        <f aca="false">SUMIF($C$3:$AE$3,AL$3,$C11:$AE11)</f>
        <v>24000200</v>
      </c>
    </row>
    <row r="12" customFormat="false" ht="15" hidden="false" customHeight="false" outlineLevel="0" collapsed="false">
      <c r="A12" s="0" t="s">
        <v>504</v>
      </c>
      <c r="B12" s="2"/>
      <c r="C12" s="4" t="n">
        <f aca="false">'Pricing &amp; Mix'!C35*'Pricing &amp; Mix'!C19+'Pricing &amp; Mix'!C36*'Pricing &amp; Mix'!C20+'Pricing &amp; Mix'!C37*'Pricing &amp; Mix'!C21</f>
        <v>0</v>
      </c>
      <c r="D12" s="4" t="n">
        <f aca="false">'Pricing &amp; Mix'!D35*'Pricing &amp; Mix'!D19+'Pricing &amp; Mix'!D36*'Pricing &amp; Mix'!D20+'Pricing &amp; Mix'!D37*'Pricing &amp; Mix'!D21</f>
        <v>0</v>
      </c>
      <c r="E12" s="4" t="n">
        <f aca="false">'Pricing &amp; Mix'!E35*'Pricing &amp; Mix'!E19+'Pricing &amp; Mix'!E36*'Pricing &amp; Mix'!E20+'Pricing &amp; Mix'!E37*'Pricing &amp; Mix'!E21</f>
        <v>0</v>
      </c>
      <c r="F12" s="4" t="n">
        <f aca="false">'Pricing &amp; Mix'!F35*'Pricing &amp; Mix'!F19+'Pricing &amp; Mix'!F36*'Pricing &amp; Mix'!F20+'Pricing &amp; Mix'!F37*'Pricing &amp; Mix'!F21</f>
        <v>0</v>
      </c>
      <c r="G12" s="4" t="n">
        <f aca="false">'Pricing &amp; Mix'!G35*'Pricing &amp; Mix'!G19+'Pricing &amp; Mix'!G36*'Pricing &amp; Mix'!G20+'Pricing &amp; Mix'!G37*'Pricing &amp; Mix'!G21</f>
        <v>0</v>
      </c>
      <c r="H12" s="4" t="n">
        <f aca="false">'Pricing &amp; Mix'!H35*'Pricing &amp; Mix'!H19+'Pricing &amp; Mix'!H36*'Pricing &amp; Mix'!H20+'Pricing &amp; Mix'!H37*'Pricing &amp; Mix'!H21</f>
        <v>0</v>
      </c>
      <c r="I12" s="4" t="n">
        <f aca="false">'Pricing &amp; Mix'!I35*'Pricing &amp; Mix'!I19+'Pricing &amp; Mix'!I36*'Pricing &amp; Mix'!I20+'Pricing &amp; Mix'!I37*'Pricing &amp; Mix'!I21</f>
        <v>0</v>
      </c>
      <c r="J12" s="4" t="n">
        <f aca="false">'Pricing &amp; Mix'!J35*'Pricing &amp; Mix'!J19+'Pricing &amp; Mix'!J36*'Pricing &amp; Mix'!J20+'Pricing &amp; Mix'!J37*'Pricing &amp; Mix'!J21</f>
        <v>0</v>
      </c>
      <c r="K12" s="4" t="n">
        <f aca="false">'Pricing &amp; Mix'!K35*'Pricing &amp; Mix'!K19+'Pricing &amp; Mix'!K36*'Pricing &amp; Mix'!K20+'Pricing &amp; Mix'!K37*'Pricing &amp; Mix'!K21</f>
        <v>0</v>
      </c>
      <c r="L12" s="4" t="n">
        <f aca="false">'Pricing &amp; Mix'!L35*'Pricing &amp; Mix'!L19+'Pricing &amp; Mix'!L36*'Pricing &amp; Mix'!L20+'Pricing &amp; Mix'!L37*'Pricing &amp; Mix'!L21</f>
        <v>0</v>
      </c>
      <c r="M12" s="4" t="n">
        <f aca="false">'Pricing &amp; Mix'!M35*'Pricing &amp; Mix'!M19+'Pricing &amp; Mix'!M36*'Pricing &amp; Mix'!M20+'Pricing &amp; Mix'!M37*'Pricing &amp; Mix'!M21</f>
        <v>0</v>
      </c>
      <c r="N12" s="4" t="n">
        <f aca="false">'Pricing &amp; Mix'!N35*'Pricing &amp; Mix'!N19+'Pricing &amp; Mix'!N36*'Pricing &amp; Mix'!N20+'Pricing &amp; Mix'!N37*'Pricing &amp; Mix'!N21</f>
        <v>0</v>
      </c>
      <c r="O12" s="4" t="n">
        <f aca="false">'Pricing &amp; Mix'!O35*'Pricing &amp; Mix'!O19+'Pricing &amp; Mix'!O36*'Pricing &amp; Mix'!O20+'Pricing &amp; Mix'!O37*'Pricing &amp; Mix'!O21</f>
        <v>362425</v>
      </c>
      <c r="P12" s="4" t="n">
        <f aca="false">'Pricing &amp; Mix'!P35*'Pricing &amp; Mix'!P19+'Pricing &amp; Mix'!P36*'Pricing &amp; Mix'!P20+'Pricing &amp; Mix'!P37*'Pricing &amp; Mix'!P21</f>
        <v>268194.5</v>
      </c>
      <c r="Q12" s="4" t="n">
        <f aca="false">'Pricing &amp; Mix'!Q35*'Pricing &amp; Mix'!Q19+'Pricing &amp; Mix'!Q36*'Pricing &amp; Mix'!Q20+'Pricing &amp; Mix'!Q37*'Pricing &amp; Mix'!Q21</f>
        <v>94230.5</v>
      </c>
      <c r="R12" s="4" t="n">
        <f aca="false">'Pricing &amp; Mix'!R35*'Pricing &amp; Mix'!R19+'Pricing &amp; Mix'!R36*'Pricing &amp; Mix'!R20+'Pricing &amp; Mix'!R37*'Pricing &amp; Mix'!R21</f>
        <v>170025</v>
      </c>
      <c r="S12" s="4" t="n">
        <f aca="false">'Pricing &amp; Mix'!S35*'Pricing &amp; Mix'!S19+'Pricing &amp; Mix'!S36*'Pricing &amp; Mix'!S20+'Pricing &amp; Mix'!S37*'Pricing &amp; Mix'!S21</f>
        <v>170025</v>
      </c>
      <c r="T12" s="4" t="n">
        <f aca="false">'Pricing &amp; Mix'!T35*'Pricing &amp; Mix'!T19+'Pricing &amp; Mix'!T36*'Pricing &amp; Mix'!T20+'Pricing &amp; Mix'!T37*'Pricing &amp; Mix'!T21</f>
        <v>0</v>
      </c>
      <c r="U12" s="4" t="n">
        <f aca="false">'Pricing &amp; Mix'!U35*'Pricing &amp; Mix'!U19+'Pricing &amp; Mix'!U36*'Pricing &amp; Mix'!U20+'Pricing &amp; Mix'!U37*'Pricing &amp; Mix'!U21</f>
        <v>0</v>
      </c>
      <c r="V12" s="4" t="n">
        <f aca="false">'Pricing &amp; Mix'!V35*'Pricing &amp; Mix'!V19+'Pricing &amp; Mix'!V36*'Pricing &amp; Mix'!V20+'Pricing &amp; Mix'!V37*'Pricing &amp; Mix'!V21</f>
        <v>0</v>
      </c>
      <c r="W12" s="4" t="n">
        <f aca="false">'Pricing &amp; Mix'!W35*'Pricing &amp; Mix'!W19+'Pricing &amp; Mix'!W36*'Pricing &amp; Mix'!W20+'Pricing &amp; Mix'!W37*'Pricing &amp; Mix'!W21</f>
        <v>0</v>
      </c>
      <c r="X12" s="4" t="n">
        <f aca="false">'Pricing &amp; Mix'!X35*'Pricing &amp; Mix'!X19+'Pricing &amp; Mix'!X36*'Pricing &amp; Mix'!X20+'Pricing &amp; Mix'!X37*'Pricing &amp; Mix'!X21</f>
        <v>0</v>
      </c>
      <c r="Y12" s="4" t="n">
        <f aca="false">'Pricing &amp; Mix'!Y35*'Pricing &amp; Mix'!Y19+'Pricing &amp; Mix'!Y36*'Pricing &amp; Mix'!Y20+'Pricing &amp; Mix'!Y37*'Pricing &amp; Mix'!Y21</f>
        <v>0</v>
      </c>
      <c r="Z12" s="4" t="n">
        <f aca="false">'Pricing &amp; Mix'!Z35*'Pricing &amp; Mix'!Z19+'Pricing &amp; Mix'!Z36*'Pricing &amp; Mix'!Z20+'Pricing &amp; Mix'!Z37*'Pricing &amp; Mix'!Z21</f>
        <v>0</v>
      </c>
      <c r="AA12" s="4" t="n">
        <f aca="false">'Pricing &amp; Mix'!AA35*'Pricing &amp; Mix'!AA19+'Pricing &amp; Mix'!AA36*'Pricing &amp; Mix'!AA20+'Pricing &amp; Mix'!AA37*'Pricing &amp; Mix'!AA21</f>
        <v>0</v>
      </c>
      <c r="AB12" s="4" t="n">
        <f aca="false">'Pricing &amp; Mix'!AB35*'Pricing &amp; Mix'!AB19+'Pricing &amp; Mix'!AB36*'Pricing &amp; Mix'!AB20+'Pricing &amp; Mix'!AB37*'Pricing &amp; Mix'!AB21</f>
        <v>0</v>
      </c>
      <c r="AC12" s="4" t="n">
        <f aca="false">'Pricing &amp; Mix'!AC35*'Pricing &amp; Mix'!AC19+'Pricing &amp; Mix'!AC36*'Pricing &amp; Mix'!AC20+'Pricing &amp; Mix'!AC37*'Pricing &amp; Mix'!AC21</f>
        <v>0</v>
      </c>
      <c r="AD12" s="4" t="n">
        <f aca="false">'Pricing &amp; Mix'!AD35*'Pricing &amp; Mix'!AD19+'Pricing &amp; Mix'!AD36*'Pricing &amp; Mix'!AD20+'Pricing &amp; Mix'!AD37*'Pricing &amp; Mix'!AD21</f>
        <v>0</v>
      </c>
      <c r="AE12" s="4" t="n">
        <f aca="false">'Pricing &amp; Mix'!AE35*'Pricing &amp; Mix'!AE19+'Pricing &amp; Mix'!AE36*'Pricing &amp; Mix'!AE20+'Pricing &amp; Mix'!AE37*'Pricing &amp; Mix'!AE21</f>
        <v>0</v>
      </c>
      <c r="AG12" s="4" t="n">
        <f aca="false">SUMIF($C$3:$AE$3,AG$3,$C12:$AE12)</f>
        <v>0</v>
      </c>
      <c r="AH12" s="4" t="n">
        <f aca="false">SUMIF($C$3:$AE$3,AH$3,$C12:$AE12)</f>
        <v>630619.5</v>
      </c>
      <c r="AI12" s="4" t="n">
        <f aca="false">SUMIF($C$3:$AE$3,AI$3,$C12:$AE12)</f>
        <v>434280.5</v>
      </c>
      <c r="AJ12" s="4" t="n">
        <f aca="false">SUMIF($C$3:$AE$3,AJ$3,$C12:$AE12)</f>
        <v>0</v>
      </c>
      <c r="AK12" s="4" t="n">
        <f aca="false">SUMIF($C$3:$AE$3,AK$3,$C12:$AE12)</f>
        <v>0</v>
      </c>
      <c r="AL12" s="4" t="n">
        <f aca="false">SUMIF($C$3:$AE$3,AL$3,$C12:$AE12)</f>
        <v>0</v>
      </c>
    </row>
    <row r="13" customFormat="false" ht="15" hidden="false" customHeight="false" outlineLevel="0" collapsed="false">
      <c r="A13" s="0" t="s">
        <v>505</v>
      </c>
      <c r="B13" s="2"/>
      <c r="C13" s="4" t="n">
        <f aca="false">'Revenue Build'!C10+'Revenue Build'!C11+'Revenue Build'!C12</f>
        <v>0</v>
      </c>
      <c r="D13" s="4" t="n">
        <f aca="false">'Revenue Build'!D10+'Revenue Build'!D11+'Revenue Build'!D12</f>
        <v>0</v>
      </c>
      <c r="E13" s="4" t="n">
        <f aca="false">'Revenue Build'!E10+'Revenue Build'!E11+'Revenue Build'!E12</f>
        <v>0</v>
      </c>
      <c r="F13" s="4" t="n">
        <f aca="false">'Revenue Build'!F10+'Revenue Build'!F11+'Revenue Build'!F12</f>
        <v>0</v>
      </c>
      <c r="G13" s="4" t="n">
        <f aca="false">'Revenue Build'!G10+'Revenue Build'!G11+'Revenue Build'!G12</f>
        <v>0</v>
      </c>
      <c r="H13" s="4" t="n">
        <f aca="false">'Revenue Build'!H10+'Revenue Build'!H11+'Revenue Build'!H12</f>
        <v>0</v>
      </c>
      <c r="I13" s="4" t="n">
        <f aca="false">'Revenue Build'!I10+'Revenue Build'!I11+'Revenue Build'!I12</f>
        <v>0</v>
      </c>
      <c r="J13" s="4" t="n">
        <f aca="false">'Revenue Build'!J10+'Revenue Build'!J11+'Revenue Build'!J12</f>
        <v>0</v>
      </c>
      <c r="K13" s="4" t="n">
        <f aca="false">'Revenue Build'!K10+'Revenue Build'!K11+'Revenue Build'!K12</f>
        <v>0</v>
      </c>
      <c r="L13" s="4" t="n">
        <f aca="false">'Revenue Build'!L10+'Revenue Build'!L11+'Revenue Build'!L12</f>
        <v>0</v>
      </c>
      <c r="M13" s="4" t="n">
        <f aca="false">'Revenue Build'!M10+'Revenue Build'!M11+'Revenue Build'!M12</f>
        <v>0</v>
      </c>
      <c r="N13" s="4" t="n">
        <f aca="false">'Revenue Build'!N10+'Revenue Build'!N11+'Revenue Build'!N12</f>
        <v>0</v>
      </c>
      <c r="O13" s="4" t="n">
        <f aca="false">'Revenue Build'!O10+'Revenue Build'!O11+'Revenue Build'!O12</f>
        <v>362425</v>
      </c>
      <c r="P13" s="4" t="n">
        <f aca="false">'Revenue Build'!P10+'Revenue Build'!P11+'Revenue Build'!P12</f>
        <v>268194.5</v>
      </c>
      <c r="Q13" s="4" t="n">
        <f aca="false">'Revenue Build'!Q10+'Revenue Build'!Q11+'Revenue Build'!Q12</f>
        <v>343363</v>
      </c>
      <c r="R13" s="4" t="n">
        <f aca="false">'Revenue Build'!R10+'Revenue Build'!R11+'Revenue Build'!R12</f>
        <v>439088.1</v>
      </c>
      <c r="S13" s="4" t="n">
        <f aca="false">'Revenue Build'!S10+'Revenue Build'!S11+'Revenue Build'!S12</f>
        <v>498879.9</v>
      </c>
      <c r="T13" s="4" t="n">
        <f aca="false">'Revenue Build'!T10+'Revenue Build'!T11+'Revenue Build'!T12</f>
        <v>514677.1</v>
      </c>
      <c r="U13" s="4" t="n">
        <f aca="false">'Revenue Build'!U10+'Revenue Build'!U11+'Revenue Build'!U12</f>
        <v>615101.9</v>
      </c>
      <c r="V13" s="4" t="n">
        <f aca="false">'Revenue Build'!V10+'Revenue Build'!V11+'Revenue Build'!V12</f>
        <v>715526.7</v>
      </c>
      <c r="W13" s="4" t="n">
        <f aca="false">'Revenue Build'!W10+'Revenue Build'!W11+'Revenue Build'!W12</f>
        <v>796596.5</v>
      </c>
      <c r="X13" s="4" t="n">
        <f aca="false">'Revenue Build'!X10+'Revenue Build'!X11+'Revenue Build'!X12</f>
        <v>820375.5</v>
      </c>
      <c r="Y13" s="4" t="n">
        <f aca="false">'Revenue Build'!Y10+'Revenue Build'!Y11+'Revenue Build'!Y12</f>
        <v>772817.5</v>
      </c>
      <c r="Z13" s="4" t="n">
        <f aca="false">'Revenue Build'!Z10+'Revenue Build'!Z11+'Revenue Build'!Z12</f>
        <v>867933.5</v>
      </c>
      <c r="AA13" s="4" t="n">
        <f aca="false">'Revenue Build'!AA10+'Revenue Build'!AA11+'Revenue Build'!AA12</f>
        <v>1248397.5</v>
      </c>
      <c r="AB13" s="4" t="n">
        <f aca="false">'Revenue Build'!AB10+'Revenue Build'!AB11+'Revenue Build'!AB12</f>
        <v>1759646</v>
      </c>
      <c r="AC13" s="4" t="n">
        <f aca="false">'Revenue Build'!AC10+'Revenue Build'!AC11+'Revenue Build'!AC12</f>
        <v>28003920</v>
      </c>
      <c r="AD13" s="4" t="n">
        <f aca="false">'Revenue Build'!AD10+'Revenue Build'!AD11+'Revenue Build'!AD12</f>
        <v>57235500</v>
      </c>
      <c r="AE13" s="4" t="n">
        <f aca="false">'Revenue Build'!AE10+'Revenue Build'!AE11+'Revenue Build'!AE12</f>
        <v>91576800</v>
      </c>
      <c r="AG13" s="4" t="n">
        <f aca="false">SUMIF($C$3:$AE$3,AG$3,$C13:$AE13)</f>
        <v>0</v>
      </c>
      <c r="AH13" s="4" t="n">
        <f aca="false">SUMIF($C$3:$AE$3,AH$3,$C13:$AE13)</f>
        <v>630619.5</v>
      </c>
      <c r="AI13" s="4" t="n">
        <f aca="false">SUMIF($C$3:$AE$3,AI$3,$C13:$AE13)</f>
        <v>9392403.2</v>
      </c>
      <c r="AJ13" s="4" t="n">
        <f aca="false">SUMIF($C$3:$AE$3,AJ$3,$C13:$AE13)</f>
        <v>28003920</v>
      </c>
      <c r="AK13" s="4" t="n">
        <f aca="false">SUMIF($C$3:$AE$3,AK$3,$C13:$AE13)</f>
        <v>57235500</v>
      </c>
      <c r="AL13" s="4" t="n">
        <f aca="false">SUMIF($C$3:$AE$3,AL$3,$C13:$AE13)</f>
        <v>91576800</v>
      </c>
    </row>
    <row r="14" customFormat="false" ht="15" hidden="false" customHeight="false" outlineLevel="0" collapsed="false">
      <c r="A14" s="0" t="s">
        <v>506</v>
      </c>
      <c r="B14" s="2"/>
      <c r="C14" s="4" t="n">
        <f aca="false">-'Revenue Build'!C13*returns_pct</f>
        <v>-0</v>
      </c>
      <c r="D14" s="4" t="n">
        <f aca="false">-'Revenue Build'!D13*returns_pct</f>
        <v>-0</v>
      </c>
      <c r="E14" s="4" t="n">
        <f aca="false">-'Revenue Build'!E13*returns_pct</f>
        <v>-0</v>
      </c>
      <c r="F14" s="4" t="n">
        <f aca="false">-'Revenue Build'!F13*returns_pct</f>
        <v>-0</v>
      </c>
      <c r="G14" s="4" t="n">
        <f aca="false">-'Revenue Build'!G13*returns_pct</f>
        <v>-0</v>
      </c>
      <c r="H14" s="4" t="n">
        <f aca="false">-'Revenue Build'!H13*returns_pct</f>
        <v>-0</v>
      </c>
      <c r="I14" s="4" t="n">
        <f aca="false">-'Revenue Build'!I13*returns_pct</f>
        <v>-0</v>
      </c>
      <c r="J14" s="4" t="n">
        <f aca="false">-'Revenue Build'!J13*returns_pct</f>
        <v>-0</v>
      </c>
      <c r="K14" s="4" t="n">
        <f aca="false">-'Revenue Build'!K13*returns_pct</f>
        <v>-0</v>
      </c>
      <c r="L14" s="4" t="n">
        <f aca="false">-'Revenue Build'!L13*returns_pct</f>
        <v>-0</v>
      </c>
      <c r="M14" s="4" t="n">
        <f aca="false">-'Revenue Build'!M13*returns_pct</f>
        <v>-0</v>
      </c>
      <c r="N14" s="4" t="n">
        <f aca="false">-'Revenue Build'!N13*returns_pct</f>
        <v>-0</v>
      </c>
      <c r="O14" s="4" t="n">
        <f aca="false">-'Revenue Build'!O13*returns_pct</f>
        <v>-14497</v>
      </c>
      <c r="P14" s="4" t="n">
        <f aca="false">-'Revenue Build'!P13*returns_pct</f>
        <v>-10727.78</v>
      </c>
      <c r="Q14" s="4" t="n">
        <f aca="false">-'Revenue Build'!Q13*returns_pct</f>
        <v>-13734.52</v>
      </c>
      <c r="R14" s="4" t="n">
        <f aca="false">-'Revenue Build'!R13*returns_pct</f>
        <v>-17563.524</v>
      </c>
      <c r="S14" s="4" t="n">
        <f aca="false">-'Revenue Build'!S13*returns_pct</f>
        <v>-19955.196</v>
      </c>
      <c r="T14" s="4" t="n">
        <f aca="false">-'Revenue Build'!T13*returns_pct</f>
        <v>-20587.084</v>
      </c>
      <c r="U14" s="4" t="n">
        <f aca="false">-'Revenue Build'!U13*returns_pct</f>
        <v>-24604.076</v>
      </c>
      <c r="V14" s="4" t="n">
        <f aca="false">-'Revenue Build'!V13*returns_pct</f>
        <v>-28621.068</v>
      </c>
      <c r="W14" s="4" t="n">
        <f aca="false">-'Revenue Build'!W13*returns_pct</f>
        <v>-31863.86</v>
      </c>
      <c r="X14" s="4" t="n">
        <f aca="false">-'Revenue Build'!X13*returns_pct</f>
        <v>-32815.02</v>
      </c>
      <c r="Y14" s="4" t="n">
        <f aca="false">-'Revenue Build'!Y13*returns_pct</f>
        <v>-30912.7</v>
      </c>
      <c r="Z14" s="4" t="n">
        <f aca="false">-'Revenue Build'!Z13*returns_pct</f>
        <v>-34717.34</v>
      </c>
      <c r="AA14" s="4" t="n">
        <f aca="false">-'Revenue Build'!AA13*returns_pct</f>
        <v>-49935.9</v>
      </c>
      <c r="AB14" s="4" t="n">
        <f aca="false">-'Revenue Build'!AB13*returns_pct</f>
        <v>-70385.84</v>
      </c>
      <c r="AC14" s="4" t="n">
        <f aca="false">-'Revenue Build'!AC13*returns_pct</f>
        <v>-1120156.8</v>
      </c>
      <c r="AD14" s="4" t="n">
        <f aca="false">-'Revenue Build'!AD13*returns_pct</f>
        <v>-2289420</v>
      </c>
      <c r="AE14" s="4" t="n">
        <f aca="false">-'Revenue Build'!AE13*returns_pct</f>
        <v>-3663072</v>
      </c>
      <c r="AG14" s="4" t="n">
        <f aca="false">SUMIF($C$3:$AE$3,AG$3,$C14:$AE14)</f>
        <v>0</v>
      </c>
      <c r="AH14" s="4" t="n">
        <f aca="false">SUMIF($C$3:$AE$3,AH$3,$C14:$AE14)</f>
        <v>-25224.78</v>
      </c>
      <c r="AI14" s="4" t="n">
        <f aca="false">SUMIF($C$3:$AE$3,AI$3,$C14:$AE14)</f>
        <v>-375696.128</v>
      </c>
      <c r="AJ14" s="4" t="n">
        <f aca="false">SUMIF($C$3:$AE$3,AJ$3,$C14:$AE14)</f>
        <v>-1120156.8</v>
      </c>
      <c r="AK14" s="4" t="n">
        <f aca="false">SUMIF($C$3:$AE$3,AK$3,$C14:$AE14)</f>
        <v>-2289420</v>
      </c>
      <c r="AL14" s="4" t="n">
        <f aca="false">SUMIF($C$3:$AE$3,AL$3,$C14:$AE14)</f>
        <v>-3663072</v>
      </c>
    </row>
    <row r="15" customFormat="false" ht="15" hidden="false" customHeight="false" outlineLevel="0" collapsed="false">
      <c r="A15" s="13" t="s">
        <v>507</v>
      </c>
      <c r="B15" s="2"/>
      <c r="C15" s="29" t="n">
        <f aca="false">'Revenue Build'!C13+'Revenue Build'!C14</f>
        <v>0</v>
      </c>
      <c r="D15" s="29" t="n">
        <f aca="false">'Revenue Build'!D13+'Revenue Build'!D14</f>
        <v>0</v>
      </c>
      <c r="E15" s="29" t="n">
        <f aca="false">'Revenue Build'!E13+'Revenue Build'!E14</f>
        <v>0</v>
      </c>
      <c r="F15" s="29" t="n">
        <f aca="false">'Revenue Build'!F13+'Revenue Build'!F14</f>
        <v>0</v>
      </c>
      <c r="G15" s="29" t="n">
        <f aca="false">'Revenue Build'!G13+'Revenue Build'!G14</f>
        <v>0</v>
      </c>
      <c r="H15" s="29" t="n">
        <f aca="false">'Revenue Build'!H13+'Revenue Build'!H14</f>
        <v>0</v>
      </c>
      <c r="I15" s="29" t="n">
        <f aca="false">'Revenue Build'!I13+'Revenue Build'!I14</f>
        <v>0</v>
      </c>
      <c r="J15" s="29" t="n">
        <f aca="false">'Revenue Build'!J13+'Revenue Build'!J14</f>
        <v>0</v>
      </c>
      <c r="K15" s="29" t="n">
        <f aca="false">'Revenue Build'!K13+'Revenue Build'!K14</f>
        <v>0</v>
      </c>
      <c r="L15" s="29" t="n">
        <f aca="false">'Revenue Build'!L13+'Revenue Build'!L14</f>
        <v>0</v>
      </c>
      <c r="M15" s="29" t="n">
        <f aca="false">'Revenue Build'!M13+'Revenue Build'!M14</f>
        <v>0</v>
      </c>
      <c r="N15" s="29" t="n">
        <f aca="false">'Revenue Build'!N13+'Revenue Build'!N14</f>
        <v>0</v>
      </c>
      <c r="O15" s="29" t="n">
        <f aca="false">'Revenue Build'!O13+'Revenue Build'!O14</f>
        <v>347928</v>
      </c>
      <c r="P15" s="29" t="n">
        <f aca="false">'Revenue Build'!P13+'Revenue Build'!P14</f>
        <v>257466.72</v>
      </c>
      <c r="Q15" s="29" t="n">
        <f aca="false">'Revenue Build'!Q13+'Revenue Build'!Q14</f>
        <v>329628.48</v>
      </c>
      <c r="R15" s="29" t="n">
        <f aca="false">'Revenue Build'!R13+'Revenue Build'!R14</f>
        <v>421524.576</v>
      </c>
      <c r="S15" s="29" t="n">
        <f aca="false">'Revenue Build'!S13+'Revenue Build'!S14</f>
        <v>478924.704</v>
      </c>
      <c r="T15" s="29" t="n">
        <f aca="false">'Revenue Build'!T13+'Revenue Build'!T14</f>
        <v>494090.016</v>
      </c>
      <c r="U15" s="29" t="n">
        <f aca="false">'Revenue Build'!U13+'Revenue Build'!U14</f>
        <v>590497.824</v>
      </c>
      <c r="V15" s="29" t="n">
        <f aca="false">'Revenue Build'!V13+'Revenue Build'!V14</f>
        <v>686905.632</v>
      </c>
      <c r="W15" s="29" t="n">
        <f aca="false">'Revenue Build'!W13+'Revenue Build'!W14</f>
        <v>764732.64</v>
      </c>
      <c r="X15" s="29" t="n">
        <f aca="false">'Revenue Build'!X13+'Revenue Build'!X14</f>
        <v>787560.48</v>
      </c>
      <c r="Y15" s="29" t="n">
        <f aca="false">'Revenue Build'!Y13+'Revenue Build'!Y14</f>
        <v>741904.8</v>
      </c>
      <c r="Z15" s="29" t="n">
        <f aca="false">'Revenue Build'!Z13+'Revenue Build'!Z14</f>
        <v>833216.16</v>
      </c>
      <c r="AA15" s="29" t="n">
        <f aca="false">'Revenue Build'!AA13+'Revenue Build'!AA14</f>
        <v>1198461.6</v>
      </c>
      <c r="AB15" s="29" t="n">
        <f aca="false">'Revenue Build'!AB13+'Revenue Build'!AB14</f>
        <v>1689260.16</v>
      </c>
      <c r="AC15" s="29" t="n">
        <f aca="false">'Revenue Build'!AC13+'Revenue Build'!AC14</f>
        <v>26883763.2</v>
      </c>
      <c r="AD15" s="29" t="n">
        <f aca="false">'Revenue Build'!AD13+'Revenue Build'!AD14</f>
        <v>54946080</v>
      </c>
      <c r="AE15" s="29" t="n">
        <f aca="false">'Revenue Build'!AE13+'Revenue Build'!AE14</f>
        <v>87913728</v>
      </c>
      <c r="AG15" s="29" t="n">
        <f aca="false">SUMIF($C$3:$AE$3,AG$3,$C15:$AE15)</f>
        <v>0</v>
      </c>
      <c r="AH15" s="29" t="n">
        <f aca="false">SUMIF($C$3:$AE$3,AH$3,$C15:$AE15)</f>
        <v>605394.72</v>
      </c>
      <c r="AI15" s="29" t="n">
        <f aca="false">SUMIF($C$3:$AE$3,AI$3,$C15:$AE15)</f>
        <v>9016707.072</v>
      </c>
      <c r="AJ15" s="29" t="n">
        <f aca="false">SUMIF($C$3:$AE$3,AJ$3,$C15:$AE15)</f>
        <v>26883763.2</v>
      </c>
      <c r="AK15" s="29" t="n">
        <f aca="false">SUMIF($C$3:$AE$3,AK$3,$C15:$AE15)</f>
        <v>54946080</v>
      </c>
      <c r="AL15" s="29" t="n">
        <f aca="false">SUMIF($C$3:$AE$3,AL$3,$C15:$AE15)</f>
        <v>87913728</v>
      </c>
    </row>
    <row r="17" customFormat="false" ht="15" hidden="false" customHeight="false" outlineLevel="0" collapsed="false">
      <c r="A17" s="8" t="s">
        <v>508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customFormat="false" ht="15" hidden="false" customHeight="false" outlineLevel="0" collapsed="false">
      <c r="A18" s="0" t="s">
        <v>509</v>
      </c>
      <c r="B18" s="2"/>
      <c r="C18" s="4" t="n">
        <f aca="false">'Subscription Cohorts'!C23</f>
        <v>0</v>
      </c>
      <c r="D18" s="4" t="n">
        <f aca="false">'Subscription Cohorts'!D23</f>
        <v>0</v>
      </c>
      <c r="E18" s="4" t="n">
        <f aca="false">'Subscription Cohorts'!E23</f>
        <v>0</v>
      </c>
      <c r="F18" s="4" t="n">
        <f aca="false">'Subscription Cohorts'!F23</f>
        <v>0</v>
      </c>
      <c r="G18" s="4" t="n">
        <f aca="false">'Subscription Cohorts'!G23</f>
        <v>0</v>
      </c>
      <c r="H18" s="4" t="n">
        <f aca="false">'Subscription Cohorts'!H23</f>
        <v>0</v>
      </c>
      <c r="I18" s="4" t="n">
        <f aca="false">'Subscription Cohorts'!I23</f>
        <v>0</v>
      </c>
      <c r="J18" s="4" t="n">
        <f aca="false">'Subscription Cohorts'!J23</f>
        <v>0</v>
      </c>
      <c r="K18" s="4" t="n">
        <f aca="false">'Subscription Cohorts'!K23</f>
        <v>0</v>
      </c>
      <c r="L18" s="4" t="n">
        <f aca="false">'Subscription Cohorts'!L23</f>
        <v>0</v>
      </c>
      <c r="M18" s="4" t="n">
        <f aca="false">'Subscription Cohorts'!M23</f>
        <v>0</v>
      </c>
      <c r="N18" s="4" t="n">
        <f aca="false">'Subscription Cohorts'!N23</f>
        <v>0</v>
      </c>
      <c r="O18" s="4" t="n">
        <f aca="false">'Subscription Cohorts'!O23</f>
        <v>0</v>
      </c>
      <c r="P18" s="4" t="n">
        <f aca="false">'Subscription Cohorts'!P23</f>
        <v>0</v>
      </c>
      <c r="Q18" s="4" t="n">
        <f aca="false">'Subscription Cohorts'!Q23</f>
        <v>0</v>
      </c>
      <c r="R18" s="4" t="n">
        <f aca="false">'Subscription Cohorts'!R23</f>
        <v>3071.4255</v>
      </c>
      <c r="S18" s="4" t="n">
        <f aca="false">'Subscription Cohorts'!S23</f>
        <v>8231.42034</v>
      </c>
      <c r="T18" s="4" t="n">
        <f aca="false">'Subscription Cohorts'!T23</f>
        <v>12615.3024696</v>
      </c>
      <c r="U18" s="4" t="n">
        <f aca="false">'Subscription Cohorts'!U23</f>
        <v>17300.134124424</v>
      </c>
      <c r="V18" s="4" t="n">
        <f aca="false">'Subscription Cohorts'!V23</f>
        <v>22369.3227669586</v>
      </c>
      <c r="W18" s="4" t="n">
        <f aca="false">'Subscription Cohorts'!W23</f>
        <v>27542.601940441</v>
      </c>
      <c r="X18" s="4" t="n">
        <f aca="false">'Subscription Cohorts'!X23</f>
        <v>33013.3903490146</v>
      </c>
      <c r="Y18" s="4" t="n">
        <f aca="false">'Subscription Cohorts'!Y23</f>
        <v>39422.3038130737</v>
      </c>
      <c r="Z18" s="4" t="n">
        <f aca="false">'Subscription Cohorts'!Z23</f>
        <v>46871.3513742893</v>
      </c>
      <c r="AA18" s="4" t="n">
        <f aca="false">'Subscription Cohorts'!AA23</f>
        <v>54823.2353518319</v>
      </c>
      <c r="AB18" s="4" t="n">
        <f aca="false">'Subscription Cohorts'!AB23</f>
        <v>62139.709745722</v>
      </c>
      <c r="AC18" s="4" t="n">
        <f aca="false">'Subscription Cohorts'!AC23</f>
        <v>2050002.80865825</v>
      </c>
      <c r="AD18" s="4" t="n">
        <f aca="false">'Subscription Cohorts'!AD23</f>
        <v>5452712.83597569</v>
      </c>
      <c r="AE18" s="4" t="n">
        <f aca="false">'Subscription Cohorts'!AE23</f>
        <v>10614523.8115498</v>
      </c>
      <c r="AG18" s="4" t="n">
        <f aca="false">SUMIF($C$3:$AE$3,AG$3,$C18:$AE18)</f>
        <v>0</v>
      </c>
      <c r="AH18" s="4" t="n">
        <f aca="false">SUMIF($C$3:$AE$3,AH$3,$C18:$AE18)</f>
        <v>0</v>
      </c>
      <c r="AI18" s="4" t="n">
        <f aca="false">SUMIF($C$3:$AE$3,AI$3,$C18:$AE18)</f>
        <v>327400.197775355</v>
      </c>
      <c r="AJ18" s="4" t="n">
        <f aca="false">SUMIF($C$3:$AE$3,AJ$3,$C18:$AE18)</f>
        <v>2050002.80865825</v>
      </c>
      <c r="AK18" s="4" t="n">
        <f aca="false">SUMIF($C$3:$AE$3,AK$3,$C18:$AE18)</f>
        <v>5452712.83597569</v>
      </c>
      <c r="AL18" s="4" t="n">
        <f aca="false">SUMIF($C$3:$AE$3,AL$3,$C18:$AE18)</f>
        <v>10614523.8115498</v>
      </c>
    </row>
    <row r="19" customFormat="false" ht="15" hidden="false" customHeight="false" outlineLevel="0" collapsed="false">
      <c r="A19" s="0" t="s">
        <v>510</v>
      </c>
      <c r="B19" s="2"/>
      <c r="C19" s="4" t="n">
        <f aca="false">'Subscription Cohorts'!C35</f>
        <v>0</v>
      </c>
      <c r="D19" s="4" t="n">
        <f aca="false">'Subscription Cohorts'!D35</f>
        <v>0</v>
      </c>
      <c r="E19" s="4" t="n">
        <f aca="false">'Subscription Cohorts'!E35</f>
        <v>0</v>
      </c>
      <c r="F19" s="4" t="n">
        <f aca="false">'Subscription Cohorts'!F35</f>
        <v>0</v>
      </c>
      <c r="G19" s="4" t="n">
        <f aca="false">'Subscription Cohorts'!G35</f>
        <v>0</v>
      </c>
      <c r="H19" s="4" t="n">
        <f aca="false">'Subscription Cohorts'!H35</f>
        <v>0</v>
      </c>
      <c r="I19" s="4" t="n">
        <f aca="false">'Subscription Cohorts'!I35</f>
        <v>0</v>
      </c>
      <c r="J19" s="4" t="n">
        <f aca="false">'Subscription Cohorts'!J35</f>
        <v>0</v>
      </c>
      <c r="K19" s="4" t="n">
        <f aca="false">'Subscription Cohorts'!K35</f>
        <v>0</v>
      </c>
      <c r="L19" s="4" t="n">
        <f aca="false">'Subscription Cohorts'!L35</f>
        <v>0</v>
      </c>
      <c r="M19" s="4" t="n">
        <f aca="false">'Subscription Cohorts'!M35</f>
        <v>0</v>
      </c>
      <c r="N19" s="4" t="n">
        <f aca="false">'Subscription Cohorts'!N35</f>
        <v>0</v>
      </c>
      <c r="O19" s="4" t="n">
        <f aca="false">'Subscription Cohorts'!O35</f>
        <v>0</v>
      </c>
      <c r="P19" s="4" t="n">
        <f aca="false">'Subscription Cohorts'!P35</f>
        <v>0</v>
      </c>
      <c r="Q19" s="4" t="n">
        <f aca="false">'Subscription Cohorts'!Q35</f>
        <v>0</v>
      </c>
      <c r="R19" s="4" t="n">
        <f aca="false">'Subscription Cohorts'!R35</f>
        <v>331.8828672</v>
      </c>
      <c r="S19" s="4" t="n">
        <f aca="false">'Subscription Cohorts'!S35</f>
        <v>646.838009855999</v>
      </c>
      <c r="T19" s="4" t="n">
        <f aca="false">'Subscription Cohorts'!T35</f>
        <v>1348.7480067072</v>
      </c>
      <c r="U19" s="4" t="n">
        <f aca="false">'Subscription Cohorts'!U35</f>
        <v>1762.30433425306</v>
      </c>
      <c r="V19" s="4" t="n">
        <f aca="false">'Subscription Cohorts'!V35</f>
        <v>2288.95388678719</v>
      </c>
      <c r="W19" s="4" t="n">
        <f aca="false">'Subscription Cohorts'!W35</f>
        <v>2770.5306539175</v>
      </c>
      <c r="X19" s="4" t="n">
        <f aca="false">'Subscription Cohorts'!X35</f>
        <v>3520.90525421323</v>
      </c>
      <c r="Y19" s="4" t="n">
        <f aca="false">'Subscription Cohorts'!Y35</f>
        <v>4471.73384970061</v>
      </c>
      <c r="Z19" s="4" t="n">
        <f aca="false">'Subscription Cohorts'!Z35</f>
        <v>5433.12112724394</v>
      </c>
      <c r="AA19" s="4" t="n">
        <f aca="false">'Subscription Cohorts'!AA35</f>
        <v>6068.05404596416</v>
      </c>
      <c r="AB19" s="4" t="n">
        <f aca="false">'Subscription Cohorts'!AB35</f>
        <v>6449.75660183407</v>
      </c>
      <c r="AC19" s="4" t="n">
        <f aca="false">'Subscription Cohorts'!AC35</f>
        <v>246151.378102154</v>
      </c>
      <c r="AD19" s="4" t="n">
        <f aca="false">'Subscription Cohorts'!AD35</f>
        <v>761519.077067195</v>
      </c>
      <c r="AE19" s="4" t="n">
        <f aca="false">'Subscription Cohorts'!AE35</f>
        <v>1732483.88932416</v>
      </c>
      <c r="AG19" s="4" t="n">
        <f aca="false">SUMIF($C$3:$AE$3,AG$3,$C19:$AE19)</f>
        <v>0</v>
      </c>
      <c r="AH19" s="4" t="n">
        <f aca="false">SUMIF($C$3:$AE$3,AH$3,$C19:$AE19)</f>
        <v>0</v>
      </c>
      <c r="AI19" s="4" t="n">
        <f aca="false">SUMIF($C$3:$AE$3,AI$3,$C19:$AE19)</f>
        <v>35092.828637677</v>
      </c>
      <c r="AJ19" s="4" t="n">
        <f aca="false">SUMIF($C$3:$AE$3,AJ$3,$C19:$AE19)</f>
        <v>246151.378102154</v>
      </c>
      <c r="AK19" s="4" t="n">
        <f aca="false">SUMIF($C$3:$AE$3,AK$3,$C19:$AE19)</f>
        <v>761519.077067195</v>
      </c>
      <c r="AL19" s="4" t="n">
        <f aca="false">SUMIF($C$3:$AE$3,AL$3,$C19:$AE19)</f>
        <v>1732483.88932416</v>
      </c>
    </row>
    <row r="20" customFormat="false" ht="15" hidden="false" customHeight="false" outlineLevel="0" collapsed="false">
      <c r="A20" s="0" t="s">
        <v>511</v>
      </c>
      <c r="B20" s="2"/>
      <c r="C20" s="4" t="n">
        <f aca="false">'Pricing &amp; Mix'!C42*acc_attach*acc_aov*sc_price</f>
        <v>0</v>
      </c>
      <c r="D20" s="4" t="n">
        <f aca="false">'Pricing &amp; Mix'!D42*acc_attach*acc_aov*sc_price</f>
        <v>0</v>
      </c>
      <c r="E20" s="4" t="n">
        <f aca="false">'Pricing &amp; Mix'!E42*acc_attach*acc_aov*sc_price</f>
        <v>0</v>
      </c>
      <c r="F20" s="4" t="n">
        <f aca="false">'Pricing &amp; Mix'!F42*acc_attach*acc_aov*sc_price</f>
        <v>0</v>
      </c>
      <c r="G20" s="4" t="n">
        <f aca="false">'Pricing &amp; Mix'!G42*acc_attach*acc_aov*sc_price</f>
        <v>0</v>
      </c>
      <c r="H20" s="4" t="n">
        <f aca="false">'Pricing &amp; Mix'!H42*acc_attach*acc_aov*sc_price</f>
        <v>0</v>
      </c>
      <c r="I20" s="4" t="n">
        <f aca="false">'Pricing &amp; Mix'!I42*acc_attach*acc_aov*sc_price</f>
        <v>0</v>
      </c>
      <c r="J20" s="4" t="n">
        <f aca="false">'Pricing &amp; Mix'!J42*acc_attach*acc_aov*sc_price</f>
        <v>0</v>
      </c>
      <c r="K20" s="4" t="n">
        <f aca="false">'Pricing &amp; Mix'!K42*acc_attach*acc_aov*sc_price</f>
        <v>0</v>
      </c>
      <c r="L20" s="4" t="n">
        <f aca="false">'Pricing &amp; Mix'!L42*acc_attach*acc_aov*sc_price</f>
        <v>0</v>
      </c>
      <c r="M20" s="4" t="n">
        <f aca="false">'Pricing &amp; Mix'!M42*acc_attach*acc_aov*sc_price</f>
        <v>0</v>
      </c>
      <c r="N20" s="4" t="n">
        <f aca="false">'Pricing &amp; Mix'!N42*acc_attach*acc_aov*sc_price</f>
        <v>0</v>
      </c>
      <c r="O20" s="4" t="n">
        <f aca="false">'Pricing &amp; Mix'!O42*acc_attach*acc_aov*sc_price</f>
        <v>28687.5</v>
      </c>
      <c r="P20" s="4" t="n">
        <f aca="false">'Pricing &amp; Mix'!P42*acc_attach*acc_aov*sc_price</f>
        <v>21228.75</v>
      </c>
      <c r="Q20" s="4" t="n">
        <f aca="false">'Pricing &amp; Mix'!Q42*acc_attach*acc_aov*sc_price</f>
        <v>24333.75</v>
      </c>
      <c r="R20" s="4" t="n">
        <f aca="false">'Pricing &amp; Mix'!R42*acc_attach*acc_aov*sc_price</f>
        <v>23287.5</v>
      </c>
      <c r="S20" s="4" t="n">
        <f aca="false">'Pricing &amp; Mix'!S42*acc_attach*acc_aov*sc_price</f>
        <v>27337.5</v>
      </c>
      <c r="T20" s="4" t="n">
        <f aca="false">'Pricing &amp; Mix'!T42*acc_attach*acc_aov*sc_price</f>
        <v>27675</v>
      </c>
      <c r="U20" s="4" t="n">
        <f aca="false">'Pricing &amp; Mix'!U42*acc_attach*acc_aov*sc_price</f>
        <v>33075</v>
      </c>
      <c r="V20" s="4" t="n">
        <f aca="false">'Pricing &amp; Mix'!V42*acc_attach*acc_aov*sc_price</f>
        <v>38475</v>
      </c>
      <c r="W20" s="4" t="n">
        <f aca="false">'Pricing &amp; Mix'!W42*acc_attach*acc_aov*sc_price</f>
        <v>45225</v>
      </c>
      <c r="X20" s="4" t="n">
        <f aca="false">'Pricing &amp; Mix'!X42*acc_attach*acc_aov*sc_price</f>
        <v>46575</v>
      </c>
      <c r="Y20" s="4" t="n">
        <f aca="false">'Pricing &amp; Mix'!Y42*acc_attach*acc_aov*sc_price</f>
        <v>43875</v>
      </c>
      <c r="Z20" s="4" t="n">
        <f aca="false">'Pricing &amp; Mix'!Z42*acc_attach*acc_aov*sc_price</f>
        <v>49275</v>
      </c>
      <c r="AA20" s="4" t="n">
        <f aca="false">'Pricing &amp; Mix'!AA42*acc_attach*acc_aov*sc_price</f>
        <v>70875</v>
      </c>
      <c r="AB20" s="4" t="n">
        <f aca="false">'Pricing &amp; Mix'!AB42*acc_attach*acc_aov*sc_price</f>
        <v>99900</v>
      </c>
      <c r="AC20" s="4" t="n">
        <f aca="false">'Pricing &amp; Mix'!AC42*acc_attach*acc_aov*sc_price</f>
        <v>1620000</v>
      </c>
      <c r="AD20" s="4" t="n">
        <f aca="false">'Pricing &amp; Mix'!AD42*acc_attach*acc_aov*sc_price</f>
        <v>3375000</v>
      </c>
      <c r="AE20" s="4" t="n">
        <f aca="false">'Pricing &amp; Mix'!AE42*acc_attach*acc_aov*sc_price</f>
        <v>5400000</v>
      </c>
      <c r="AG20" s="4" t="n">
        <f aca="false">SUMIF($C$3:$AE$3,AG$3,$C20:$AE20)</f>
        <v>0</v>
      </c>
      <c r="AH20" s="4" t="n">
        <f aca="false">SUMIF($C$3:$AE$3,AH$3,$C20:$AE20)</f>
        <v>49916.25</v>
      </c>
      <c r="AI20" s="4" t="n">
        <f aca="false">SUMIF($C$3:$AE$3,AI$3,$C20:$AE20)</f>
        <v>529908.75</v>
      </c>
      <c r="AJ20" s="4" t="n">
        <f aca="false">SUMIF($C$3:$AE$3,AJ$3,$C20:$AE20)</f>
        <v>1620000</v>
      </c>
      <c r="AK20" s="4" t="n">
        <f aca="false">SUMIF($C$3:$AE$3,AK$3,$C20:$AE20)</f>
        <v>3375000</v>
      </c>
      <c r="AL20" s="4" t="n">
        <f aca="false">SUMIF($C$3:$AE$3,AL$3,$C20:$AE20)</f>
        <v>5400000</v>
      </c>
    </row>
    <row r="21" customFormat="false" ht="15" hidden="false" customHeight="false" outlineLevel="0" collapsed="false">
      <c r="A21" s="0" t="s">
        <v>512</v>
      </c>
      <c r="B21" s="2"/>
      <c r="C21" s="4" t="n">
        <f aca="false">'Subscription Cohorts'!C31*Assumptions!C112</f>
        <v>0</v>
      </c>
      <c r="D21" s="4" t="n">
        <f aca="false">'Subscription Cohorts'!D31*Assumptions!D112</f>
        <v>0</v>
      </c>
      <c r="E21" s="4" t="n">
        <f aca="false">'Subscription Cohorts'!E31*Assumptions!E112</f>
        <v>0</v>
      </c>
      <c r="F21" s="4" t="n">
        <f aca="false">'Subscription Cohorts'!F31*Assumptions!F112</f>
        <v>0</v>
      </c>
      <c r="G21" s="4" t="n">
        <f aca="false">'Subscription Cohorts'!G31*Assumptions!G112</f>
        <v>0</v>
      </c>
      <c r="H21" s="4" t="n">
        <f aca="false">'Subscription Cohorts'!H31*Assumptions!H112</f>
        <v>0</v>
      </c>
      <c r="I21" s="4" t="n">
        <f aca="false">'Subscription Cohorts'!I31*Assumptions!I112</f>
        <v>0</v>
      </c>
      <c r="J21" s="4" t="n">
        <f aca="false">'Subscription Cohorts'!J31*Assumptions!J112</f>
        <v>0</v>
      </c>
      <c r="K21" s="4" t="n">
        <f aca="false">'Subscription Cohorts'!K31*Assumptions!K112</f>
        <v>0</v>
      </c>
      <c r="L21" s="4" t="n">
        <f aca="false">'Subscription Cohorts'!L31*Assumptions!L112</f>
        <v>0</v>
      </c>
      <c r="M21" s="4" t="n">
        <f aca="false">'Subscription Cohorts'!M31*Assumptions!M112</f>
        <v>0</v>
      </c>
      <c r="N21" s="4" t="n">
        <f aca="false">'Subscription Cohorts'!N31*Assumptions!N112</f>
        <v>0</v>
      </c>
      <c r="O21" s="4" t="n">
        <f aca="false">'Subscription Cohorts'!O31*Assumptions!O112</f>
        <v>318.75</v>
      </c>
      <c r="P21" s="4" t="n">
        <f aca="false">'Subscription Cohorts'!P31*Assumptions!P112</f>
        <v>867</v>
      </c>
      <c r="Q21" s="4" t="n">
        <f aca="false">'Subscription Cohorts'!Q31*Assumptions!Q112</f>
        <v>1355.91</v>
      </c>
      <c r="R21" s="4" t="n">
        <f aca="false">'Subscription Cohorts'!R31*Assumptions!R112</f>
        <v>1857.9168</v>
      </c>
      <c r="S21" s="4" t="n">
        <f aca="false">'Subscription Cohorts'!S31*Assumptions!S112</f>
        <v>2383.258464</v>
      </c>
      <c r="T21" s="4" t="n">
        <f aca="false">'Subscription Cohorts'!T31*Assumptions!T112</f>
        <v>2946.84329472</v>
      </c>
      <c r="U21" s="4" t="n">
        <f aca="false">'Subscription Cohorts'!U31*Assumptions!U112</f>
        <v>3562.9064288256</v>
      </c>
      <c r="V21" s="4" t="n">
        <f aca="false">'Subscription Cohorts'!V31*Assumptions!V112</f>
        <v>4286.64830024909</v>
      </c>
      <c r="W21" s="4" t="n">
        <f aca="false">'Subscription Cohorts'!W31*Assumptions!W112</f>
        <v>5130.91533424411</v>
      </c>
      <c r="X21" s="4" t="n">
        <f aca="false">'Subscription Cohorts'!X31*Assumptions!X112</f>
        <v>6048.29702755922</v>
      </c>
      <c r="Y21" s="4" t="n">
        <f aca="false">'Subscription Cohorts'!Y31*Assumptions!Y112</f>
        <v>6932.33108700804</v>
      </c>
      <c r="Z21" s="4" t="n">
        <f aca="false">'Subscription Cohorts'!Z31*Assumptions!Z112</f>
        <v>7828.68446526788</v>
      </c>
      <c r="AA21" s="4" t="n">
        <f aca="false">'Subscription Cohorts'!AA31*Assumptions!AA112</f>
        <v>9007.11077596252</v>
      </c>
      <c r="AB21" s="4" t="n">
        <f aca="false">'Subscription Cohorts'!AB31*Assumptions!AB112</f>
        <v>10724.4685604433</v>
      </c>
      <c r="AC21" s="4" t="n">
        <f aca="false">'Subscription Cohorts'!AC31*Assumptions!AC112</f>
        <v>425922.729000883</v>
      </c>
      <c r="AD21" s="4" t="n">
        <f aca="false">'Subscription Cohorts'!AD31*Assumptions!AD112</f>
        <v>1413471.01330875</v>
      </c>
      <c r="AE21" s="4" t="n">
        <f aca="false">'Subscription Cohorts'!AE31*Assumptions!AE112</f>
        <v>3430021.154775</v>
      </c>
      <c r="AG21" s="4" t="n">
        <f aca="false">SUMIF($C$3:$AE$3,AG$3,$C21:$AE21)</f>
        <v>0</v>
      </c>
      <c r="AH21" s="4" t="n">
        <f aca="false">SUMIF($C$3:$AE$3,AH$3,$C21:$AE21)</f>
        <v>1185.75</v>
      </c>
      <c r="AI21" s="4" t="n">
        <f aca="false">SUMIF($C$3:$AE$3,AI$3,$C21:$AE21)</f>
        <v>62065.2905382797</v>
      </c>
      <c r="AJ21" s="4" t="n">
        <f aca="false">SUMIF($C$3:$AE$3,AJ$3,$C21:$AE21)</f>
        <v>425922.729000883</v>
      </c>
      <c r="AK21" s="4" t="n">
        <f aca="false">SUMIF($C$3:$AE$3,AK$3,$C21:$AE21)</f>
        <v>1413471.01330875</v>
      </c>
      <c r="AL21" s="4" t="n">
        <f aca="false">SUMIF($C$3:$AE$3,AL$3,$C21:$AE21)</f>
        <v>3430021.154775</v>
      </c>
    </row>
    <row r="22" customFormat="false" ht="15" hidden="false" customHeight="false" outlineLevel="0" collapsed="false">
      <c r="A22" s="0" t="s">
        <v>513</v>
      </c>
      <c r="B22" s="2" t="s">
        <v>489</v>
      </c>
      <c r="C22" s="4" t="n">
        <f aca="false">(Assumptions!C110+0)/2</f>
        <v>0</v>
      </c>
      <c r="D22" s="4" t="n">
        <f aca="false">(Assumptions!D110+Assumptions!C110)/2</f>
        <v>0</v>
      </c>
      <c r="E22" s="4" t="n">
        <f aca="false">(Assumptions!E110+Assumptions!D110)/2</f>
        <v>0</v>
      </c>
      <c r="F22" s="4" t="n">
        <f aca="false">(Assumptions!F110+Assumptions!E110)/2</f>
        <v>0</v>
      </c>
      <c r="G22" s="4" t="n">
        <f aca="false">(Assumptions!G110+Assumptions!F110)/2</f>
        <v>0</v>
      </c>
      <c r="H22" s="4" t="n">
        <f aca="false">(Assumptions!H110+Assumptions!G110)/2</f>
        <v>0</v>
      </c>
      <c r="I22" s="4" t="n">
        <f aca="false">(Assumptions!I110+Assumptions!H110)/2</f>
        <v>0</v>
      </c>
      <c r="J22" s="4" t="n">
        <f aca="false">(Assumptions!J110+Assumptions!I110)/2</f>
        <v>0</v>
      </c>
      <c r="K22" s="4" t="n">
        <f aca="false">(Assumptions!K110+Assumptions!J110)/2</f>
        <v>0</v>
      </c>
      <c r="L22" s="4" t="n">
        <f aca="false">(Assumptions!L110+Assumptions!K110)/2</f>
        <v>0</v>
      </c>
      <c r="M22" s="4" t="n">
        <f aca="false">(Assumptions!M110+Assumptions!L110)/2</f>
        <v>0</v>
      </c>
      <c r="N22" s="4" t="n">
        <f aca="false">(Assumptions!N110+Assumptions!M110)/2</f>
        <v>0</v>
      </c>
      <c r="O22" s="4" t="n">
        <f aca="false">(Assumptions!O110+Assumptions!N110)/2</f>
        <v>0</v>
      </c>
      <c r="P22" s="4" t="n">
        <f aca="false">(Assumptions!P110+Assumptions!O110)/2</f>
        <v>0</v>
      </c>
      <c r="Q22" s="4" t="n">
        <f aca="false">(Assumptions!Q110+Assumptions!P110)/2</f>
        <v>0</v>
      </c>
      <c r="R22" s="4" t="n">
        <f aca="false">(Assumptions!R110+Assumptions!Q110)/2</f>
        <v>0</v>
      </c>
      <c r="S22" s="4" t="n">
        <f aca="false">(Assumptions!S110+Assumptions!R110)/2</f>
        <v>0</v>
      </c>
      <c r="T22" s="4" t="n">
        <f aca="false">(Assumptions!T110+Assumptions!S110)/2</f>
        <v>25</v>
      </c>
      <c r="U22" s="4" t="n">
        <f aca="false">(Assumptions!U110+Assumptions!T110)/2</f>
        <v>75</v>
      </c>
      <c r="V22" s="4" t="n">
        <f aca="false">(Assumptions!V110+Assumptions!U110)/2</f>
        <v>125</v>
      </c>
      <c r="W22" s="4" t="n">
        <f aca="false">(Assumptions!W110+Assumptions!V110)/2</f>
        <v>175</v>
      </c>
      <c r="X22" s="4" t="n">
        <f aca="false">(Assumptions!X110+Assumptions!W110)/2</f>
        <v>225</v>
      </c>
      <c r="Y22" s="4" t="n">
        <f aca="false">(Assumptions!Y110+Assumptions!X110)/2</f>
        <v>275</v>
      </c>
      <c r="Z22" s="4" t="n">
        <f aca="false">(Assumptions!Z110+Assumptions!Y110)/2</f>
        <v>350</v>
      </c>
      <c r="AA22" s="4" t="n">
        <f aca="false">(Assumptions!AA110+Assumptions!Z110)/2</f>
        <v>450</v>
      </c>
      <c r="AB22" s="4" t="n">
        <f aca="false">(Assumptions!AB110+Assumptions!AA110)/2</f>
        <v>550</v>
      </c>
      <c r="AC22" s="4" t="n">
        <f aca="false">(Assumptions!AC110+Assumptions!AB110)/2</f>
        <v>1550</v>
      </c>
      <c r="AD22" s="4" t="n">
        <f aca="false">(Assumptions!AD110+Assumptions!AC110)/2</f>
        <v>4250</v>
      </c>
      <c r="AE22" s="4" t="n">
        <f aca="false">(Assumptions!AE110+Assumptions!AD110)/2</f>
        <v>8500</v>
      </c>
      <c r="AG22" s="4" t="n">
        <f aca="false">SUMIF($C$3:$AE$3,AG$3,$C22:$AE22)/COUNTIF($C$3:$AE$3,AG$3)</f>
        <v>0</v>
      </c>
      <c r="AH22" s="4" t="n">
        <f aca="false">SUMIF($C$3:$AE$3,AH$3,$C22:$AE22)/COUNTIF($C$3:$AE$3,AH$3)</f>
        <v>0</v>
      </c>
      <c r="AI22" s="4" t="n">
        <f aca="false">SUMIF($C$3:$AE$3,AI$3,$C22:$AE22)/COUNTIF($C$3:$AE$3,AI$3)</f>
        <v>187.5</v>
      </c>
      <c r="AJ22" s="4" t="n">
        <f aca="false">SUMIF($C$3:$AE$3,AJ$3,$C22:$AE22)/COUNTIF($C$3:$AE$3,AJ$3)</f>
        <v>1550</v>
      </c>
      <c r="AK22" s="4" t="n">
        <f aca="false">SUMIF($C$3:$AE$3,AK$3,$C22:$AE22)/COUNTIF($C$3:$AE$3,AK$3)</f>
        <v>4250</v>
      </c>
      <c r="AL22" s="4" t="n">
        <f aca="false">SUMIF($C$3:$AE$3,AL$3,$C22:$AE22)/COUNTIF($C$3:$AE$3,AL$3)</f>
        <v>8500</v>
      </c>
    </row>
    <row r="23" customFormat="false" ht="15" hidden="false" customHeight="false" outlineLevel="0" collapsed="false">
      <c r="A23" s="0" t="s">
        <v>514</v>
      </c>
      <c r="B23" s="2"/>
      <c r="C23" s="4" t="n">
        <f aca="false">'Revenue Build'!C22*fleet_fee*Timeline!C4</f>
        <v>0</v>
      </c>
      <c r="D23" s="4" t="n">
        <f aca="false">'Revenue Build'!D22*fleet_fee*Timeline!D4</f>
        <v>0</v>
      </c>
      <c r="E23" s="4" t="n">
        <f aca="false">'Revenue Build'!E22*fleet_fee*Timeline!E4</f>
        <v>0</v>
      </c>
      <c r="F23" s="4" t="n">
        <f aca="false">'Revenue Build'!F22*fleet_fee*Timeline!F4</f>
        <v>0</v>
      </c>
      <c r="G23" s="4" t="n">
        <f aca="false">'Revenue Build'!G22*fleet_fee*Timeline!G4</f>
        <v>0</v>
      </c>
      <c r="H23" s="4" t="n">
        <f aca="false">'Revenue Build'!H22*fleet_fee*Timeline!H4</f>
        <v>0</v>
      </c>
      <c r="I23" s="4" t="n">
        <f aca="false">'Revenue Build'!I22*fleet_fee*Timeline!I4</f>
        <v>0</v>
      </c>
      <c r="J23" s="4" t="n">
        <f aca="false">'Revenue Build'!J22*fleet_fee*Timeline!J4</f>
        <v>0</v>
      </c>
      <c r="K23" s="4" t="n">
        <f aca="false">'Revenue Build'!K22*fleet_fee*Timeline!K4</f>
        <v>0</v>
      </c>
      <c r="L23" s="4" t="n">
        <f aca="false">'Revenue Build'!L22*fleet_fee*Timeline!L4</f>
        <v>0</v>
      </c>
      <c r="M23" s="4" t="n">
        <f aca="false">'Revenue Build'!M22*fleet_fee*Timeline!M4</f>
        <v>0</v>
      </c>
      <c r="N23" s="4" t="n">
        <f aca="false">'Revenue Build'!N22*fleet_fee*Timeline!N4</f>
        <v>0</v>
      </c>
      <c r="O23" s="4" t="n">
        <f aca="false">'Revenue Build'!O22*fleet_fee*Timeline!O4</f>
        <v>0</v>
      </c>
      <c r="P23" s="4" t="n">
        <f aca="false">'Revenue Build'!P22*fleet_fee*Timeline!P4</f>
        <v>0</v>
      </c>
      <c r="Q23" s="4" t="n">
        <f aca="false">'Revenue Build'!Q22*fleet_fee*Timeline!Q4</f>
        <v>0</v>
      </c>
      <c r="R23" s="4" t="n">
        <f aca="false">'Revenue Build'!R22*fleet_fee*Timeline!R4</f>
        <v>0</v>
      </c>
      <c r="S23" s="4" t="n">
        <f aca="false">'Revenue Build'!S22*fleet_fee*Timeline!S4</f>
        <v>0</v>
      </c>
      <c r="T23" s="4" t="n">
        <f aca="false">'Revenue Build'!T22*fleet_fee*Timeline!T4</f>
        <v>550</v>
      </c>
      <c r="U23" s="4" t="n">
        <f aca="false">'Revenue Build'!U22*fleet_fee*Timeline!U4</f>
        <v>1650</v>
      </c>
      <c r="V23" s="4" t="n">
        <f aca="false">'Revenue Build'!V22*fleet_fee*Timeline!V4</f>
        <v>2750</v>
      </c>
      <c r="W23" s="4" t="n">
        <f aca="false">'Revenue Build'!W22*fleet_fee*Timeline!W4</f>
        <v>3850</v>
      </c>
      <c r="X23" s="4" t="n">
        <f aca="false">'Revenue Build'!X22*fleet_fee*Timeline!X4</f>
        <v>4950</v>
      </c>
      <c r="Y23" s="4" t="n">
        <f aca="false">'Revenue Build'!Y22*fleet_fee*Timeline!Y4</f>
        <v>6050</v>
      </c>
      <c r="Z23" s="4" t="n">
        <f aca="false">'Revenue Build'!Z22*fleet_fee*Timeline!Z4</f>
        <v>7700</v>
      </c>
      <c r="AA23" s="4" t="n">
        <f aca="false">'Revenue Build'!AA22*fleet_fee*Timeline!AA4</f>
        <v>9900</v>
      </c>
      <c r="AB23" s="4" t="n">
        <f aca="false">'Revenue Build'!AB22*fleet_fee*Timeline!AB4</f>
        <v>12100</v>
      </c>
      <c r="AC23" s="4" t="n">
        <f aca="false">'Revenue Build'!AC22*fleet_fee*Timeline!AC4</f>
        <v>409200</v>
      </c>
      <c r="AD23" s="4" t="n">
        <f aca="false">'Revenue Build'!AD22*fleet_fee*Timeline!AD4</f>
        <v>1122000</v>
      </c>
      <c r="AE23" s="4" t="n">
        <f aca="false">'Revenue Build'!AE22*fleet_fee*Timeline!AE4</f>
        <v>2244000</v>
      </c>
      <c r="AG23" s="4" t="n">
        <f aca="false">SUMIF($C$3:$AE$3,AG$3,$C23:$AE23)</f>
        <v>0</v>
      </c>
      <c r="AH23" s="4" t="n">
        <f aca="false">SUMIF($C$3:$AE$3,AH$3,$C23:$AE23)</f>
        <v>0</v>
      </c>
      <c r="AI23" s="4" t="n">
        <f aca="false">SUMIF($C$3:$AE$3,AI$3,$C23:$AE23)</f>
        <v>49500</v>
      </c>
      <c r="AJ23" s="4" t="n">
        <f aca="false">SUMIF($C$3:$AE$3,AJ$3,$C23:$AE23)</f>
        <v>409200</v>
      </c>
      <c r="AK23" s="4" t="n">
        <f aca="false">SUMIF($C$3:$AE$3,AK$3,$C23:$AE23)</f>
        <v>1122000</v>
      </c>
      <c r="AL23" s="4" t="n">
        <f aca="false">SUMIF($C$3:$AE$3,AL$3,$C23:$AE23)</f>
        <v>2244000</v>
      </c>
    </row>
    <row r="24" customFormat="false" ht="15" hidden="false" customHeight="false" outlineLevel="0" collapsed="false">
      <c r="A24" s="13" t="s">
        <v>515</v>
      </c>
      <c r="B24" s="2"/>
      <c r="C24" s="29" t="n">
        <f aca="false">'Revenue Build'!C15+'Revenue Build'!C18+'Revenue Build'!C19+'Revenue Build'!C20+'Revenue Build'!C21+'Revenue Build'!C23</f>
        <v>0</v>
      </c>
      <c r="D24" s="29" t="n">
        <f aca="false">'Revenue Build'!D15+'Revenue Build'!D18+'Revenue Build'!D19+'Revenue Build'!D20+'Revenue Build'!D21+'Revenue Build'!D23</f>
        <v>0</v>
      </c>
      <c r="E24" s="29" t="n">
        <f aca="false">'Revenue Build'!E15+'Revenue Build'!E18+'Revenue Build'!E19+'Revenue Build'!E20+'Revenue Build'!E21+'Revenue Build'!E23</f>
        <v>0</v>
      </c>
      <c r="F24" s="29" t="n">
        <f aca="false">'Revenue Build'!F15+'Revenue Build'!F18+'Revenue Build'!F19+'Revenue Build'!F20+'Revenue Build'!F21+'Revenue Build'!F23</f>
        <v>0</v>
      </c>
      <c r="G24" s="29" t="n">
        <f aca="false">'Revenue Build'!G15+'Revenue Build'!G18+'Revenue Build'!G19+'Revenue Build'!G20+'Revenue Build'!G21+'Revenue Build'!G23</f>
        <v>0</v>
      </c>
      <c r="H24" s="29" t="n">
        <f aca="false">'Revenue Build'!H15+'Revenue Build'!H18+'Revenue Build'!H19+'Revenue Build'!H20+'Revenue Build'!H21+'Revenue Build'!H23</f>
        <v>0</v>
      </c>
      <c r="I24" s="29" t="n">
        <f aca="false">'Revenue Build'!I15+'Revenue Build'!I18+'Revenue Build'!I19+'Revenue Build'!I20+'Revenue Build'!I21+'Revenue Build'!I23</f>
        <v>0</v>
      </c>
      <c r="J24" s="29" t="n">
        <f aca="false">'Revenue Build'!J15+'Revenue Build'!J18+'Revenue Build'!J19+'Revenue Build'!J20+'Revenue Build'!J21+'Revenue Build'!J23</f>
        <v>0</v>
      </c>
      <c r="K24" s="29" t="n">
        <f aca="false">'Revenue Build'!K15+'Revenue Build'!K18+'Revenue Build'!K19+'Revenue Build'!K20+'Revenue Build'!K21+'Revenue Build'!K23</f>
        <v>0</v>
      </c>
      <c r="L24" s="29" t="n">
        <f aca="false">'Revenue Build'!L15+'Revenue Build'!L18+'Revenue Build'!L19+'Revenue Build'!L20+'Revenue Build'!L21+'Revenue Build'!L23</f>
        <v>0</v>
      </c>
      <c r="M24" s="29" t="n">
        <f aca="false">'Revenue Build'!M15+'Revenue Build'!M18+'Revenue Build'!M19+'Revenue Build'!M20+'Revenue Build'!M21+'Revenue Build'!M23</f>
        <v>0</v>
      </c>
      <c r="N24" s="29" t="n">
        <f aca="false">'Revenue Build'!N15+'Revenue Build'!N18+'Revenue Build'!N19+'Revenue Build'!N20+'Revenue Build'!N21+'Revenue Build'!N23</f>
        <v>0</v>
      </c>
      <c r="O24" s="29" t="n">
        <f aca="false">'Revenue Build'!O15+'Revenue Build'!O18+'Revenue Build'!O19+'Revenue Build'!O20+'Revenue Build'!O21+'Revenue Build'!O23</f>
        <v>376934.25</v>
      </c>
      <c r="P24" s="29" t="n">
        <f aca="false">'Revenue Build'!P15+'Revenue Build'!P18+'Revenue Build'!P19+'Revenue Build'!P20+'Revenue Build'!P21+'Revenue Build'!P23</f>
        <v>279562.47</v>
      </c>
      <c r="Q24" s="29" t="n">
        <f aca="false">'Revenue Build'!Q15+'Revenue Build'!Q18+'Revenue Build'!Q19+'Revenue Build'!Q20+'Revenue Build'!Q21+'Revenue Build'!Q23</f>
        <v>355318.14</v>
      </c>
      <c r="R24" s="29" t="n">
        <f aca="false">'Revenue Build'!R15+'Revenue Build'!R18+'Revenue Build'!R19+'Revenue Build'!R20+'Revenue Build'!R21+'Revenue Build'!R23</f>
        <v>450073.3011672</v>
      </c>
      <c r="S24" s="29" t="n">
        <f aca="false">'Revenue Build'!S15+'Revenue Build'!S18+'Revenue Build'!S19+'Revenue Build'!S20+'Revenue Build'!S21+'Revenue Build'!S23</f>
        <v>517523.720813856</v>
      </c>
      <c r="T24" s="29" t="n">
        <f aca="false">'Revenue Build'!T15+'Revenue Build'!T18+'Revenue Build'!T19+'Revenue Build'!T20+'Revenue Build'!T21+'Revenue Build'!T23</f>
        <v>539225.909771027</v>
      </c>
      <c r="U24" s="29" t="n">
        <f aca="false">'Revenue Build'!U15+'Revenue Build'!U18+'Revenue Build'!U19+'Revenue Build'!U20+'Revenue Build'!U21+'Revenue Build'!U23</f>
        <v>647848.168887503</v>
      </c>
      <c r="V24" s="29" t="n">
        <f aca="false">'Revenue Build'!V15+'Revenue Build'!V18+'Revenue Build'!V19+'Revenue Build'!V20+'Revenue Build'!V21+'Revenue Build'!V23</f>
        <v>757075.556953995</v>
      </c>
      <c r="W24" s="29" t="n">
        <f aca="false">'Revenue Build'!W15+'Revenue Build'!W18+'Revenue Build'!W19+'Revenue Build'!W20+'Revenue Build'!W21+'Revenue Build'!W23</f>
        <v>849251.687928603</v>
      </c>
      <c r="X24" s="29" t="n">
        <f aca="false">'Revenue Build'!X15+'Revenue Build'!X18+'Revenue Build'!X19+'Revenue Build'!X20+'Revenue Build'!X21+'Revenue Build'!X23</f>
        <v>881668.072630787</v>
      </c>
      <c r="Y24" s="29" t="n">
        <f aca="false">'Revenue Build'!Y15+'Revenue Build'!Y18+'Revenue Build'!Y19+'Revenue Build'!Y20+'Revenue Build'!Y21+'Revenue Build'!Y23</f>
        <v>842656.168749782</v>
      </c>
      <c r="Z24" s="29" t="n">
        <f aca="false">'Revenue Build'!Z15+'Revenue Build'!Z18+'Revenue Build'!Z19+'Revenue Build'!Z20+'Revenue Build'!Z21+'Revenue Build'!Z23</f>
        <v>950324.316966801</v>
      </c>
      <c r="AA24" s="29" t="n">
        <f aca="false">'Revenue Build'!AA15+'Revenue Build'!AA18+'Revenue Build'!AA19+'Revenue Build'!AA20+'Revenue Build'!AA21+'Revenue Build'!AA23</f>
        <v>1349135.00017376</v>
      </c>
      <c r="AB24" s="29" t="n">
        <f aca="false">'Revenue Build'!AB15+'Revenue Build'!AB18+'Revenue Build'!AB19+'Revenue Build'!AB20+'Revenue Build'!AB21+'Revenue Build'!AB23</f>
        <v>1880574.094908</v>
      </c>
      <c r="AC24" s="29" t="n">
        <f aca="false">'Revenue Build'!AC15+'Revenue Build'!AC18+'Revenue Build'!AC19+'Revenue Build'!AC20+'Revenue Build'!AC21+'Revenue Build'!AC23</f>
        <v>31635040.1157613</v>
      </c>
      <c r="AD24" s="29" t="n">
        <f aca="false">'Revenue Build'!AD15+'Revenue Build'!AD18+'Revenue Build'!AD19+'Revenue Build'!AD20+'Revenue Build'!AD21+'Revenue Build'!AD23</f>
        <v>67070782.9263516</v>
      </c>
      <c r="AE24" s="29" t="n">
        <f aca="false">'Revenue Build'!AE15+'Revenue Build'!AE18+'Revenue Build'!AE19+'Revenue Build'!AE20+'Revenue Build'!AE21+'Revenue Build'!AE23</f>
        <v>111334756.855649</v>
      </c>
      <c r="AG24" s="29" t="n">
        <f aca="false">SUMIF($C$3:$AE$3,AG$3,$C24:$AE24)</f>
        <v>0</v>
      </c>
      <c r="AH24" s="29" t="n">
        <f aca="false">SUMIF($C$3:$AE$3,AH$3,$C24:$AE24)</f>
        <v>656496.72</v>
      </c>
      <c r="AI24" s="29" t="n">
        <f aca="false">SUMIF($C$3:$AE$3,AI$3,$C24:$AE24)</f>
        <v>10020674.1389513</v>
      </c>
      <c r="AJ24" s="29" t="n">
        <f aca="false">SUMIF($C$3:$AE$3,AJ$3,$C24:$AE24)</f>
        <v>31635040.1157613</v>
      </c>
      <c r="AK24" s="29" t="n">
        <f aca="false">SUMIF($C$3:$AE$3,AK$3,$C24:$AE24)</f>
        <v>67070782.9263516</v>
      </c>
      <c r="AL24" s="29" t="n">
        <f aca="false">SUMIF($C$3:$AE$3,AL$3,$C24:$AE24)</f>
        <v>111334756.855649</v>
      </c>
    </row>
    <row r="25" customFormat="false" ht="15" hidden="false" customHeight="false" outlineLevel="0" collapsed="false">
      <c r="A25" s="0" t="s">
        <v>516</v>
      </c>
      <c r="B25" s="2"/>
      <c r="C25" s="4" t="n">
        <f aca="false">'Revenue Build'!C18+'Revenue Build'!C19+'Revenue Build'!C23</f>
        <v>0</v>
      </c>
      <c r="D25" s="4" t="n">
        <f aca="false">'Revenue Build'!D18+'Revenue Build'!D19+'Revenue Build'!D23</f>
        <v>0</v>
      </c>
      <c r="E25" s="4" t="n">
        <f aca="false">'Revenue Build'!E18+'Revenue Build'!E19+'Revenue Build'!E23</f>
        <v>0</v>
      </c>
      <c r="F25" s="4" t="n">
        <f aca="false">'Revenue Build'!F18+'Revenue Build'!F19+'Revenue Build'!F23</f>
        <v>0</v>
      </c>
      <c r="G25" s="4" t="n">
        <f aca="false">'Revenue Build'!G18+'Revenue Build'!G19+'Revenue Build'!G23</f>
        <v>0</v>
      </c>
      <c r="H25" s="4" t="n">
        <f aca="false">'Revenue Build'!H18+'Revenue Build'!H19+'Revenue Build'!H23</f>
        <v>0</v>
      </c>
      <c r="I25" s="4" t="n">
        <f aca="false">'Revenue Build'!I18+'Revenue Build'!I19+'Revenue Build'!I23</f>
        <v>0</v>
      </c>
      <c r="J25" s="4" t="n">
        <f aca="false">'Revenue Build'!J18+'Revenue Build'!J19+'Revenue Build'!J23</f>
        <v>0</v>
      </c>
      <c r="K25" s="4" t="n">
        <f aca="false">'Revenue Build'!K18+'Revenue Build'!K19+'Revenue Build'!K23</f>
        <v>0</v>
      </c>
      <c r="L25" s="4" t="n">
        <f aca="false">'Revenue Build'!L18+'Revenue Build'!L19+'Revenue Build'!L23</f>
        <v>0</v>
      </c>
      <c r="M25" s="4" t="n">
        <f aca="false">'Revenue Build'!M18+'Revenue Build'!M19+'Revenue Build'!M23</f>
        <v>0</v>
      </c>
      <c r="N25" s="4" t="n">
        <f aca="false">'Revenue Build'!N18+'Revenue Build'!N19+'Revenue Build'!N23</f>
        <v>0</v>
      </c>
      <c r="O25" s="4" t="n">
        <f aca="false">'Revenue Build'!O18+'Revenue Build'!O19+'Revenue Build'!O23</f>
        <v>0</v>
      </c>
      <c r="P25" s="4" t="n">
        <f aca="false">'Revenue Build'!P18+'Revenue Build'!P19+'Revenue Build'!P23</f>
        <v>0</v>
      </c>
      <c r="Q25" s="4" t="n">
        <f aca="false">'Revenue Build'!Q18+'Revenue Build'!Q19+'Revenue Build'!Q23</f>
        <v>0</v>
      </c>
      <c r="R25" s="4" t="n">
        <f aca="false">'Revenue Build'!R18+'Revenue Build'!R19+'Revenue Build'!R23</f>
        <v>3403.3083672</v>
      </c>
      <c r="S25" s="4" t="n">
        <f aca="false">'Revenue Build'!S18+'Revenue Build'!S19+'Revenue Build'!S23</f>
        <v>8878.258349856</v>
      </c>
      <c r="T25" s="4" t="n">
        <f aca="false">'Revenue Build'!T18+'Revenue Build'!T19+'Revenue Build'!T23</f>
        <v>14514.0504763072</v>
      </c>
      <c r="U25" s="4" t="n">
        <f aca="false">'Revenue Build'!U18+'Revenue Build'!U19+'Revenue Build'!U23</f>
        <v>20712.4384586771</v>
      </c>
      <c r="V25" s="4" t="n">
        <f aca="false">'Revenue Build'!V18+'Revenue Build'!V19+'Revenue Build'!V23</f>
        <v>27408.2766537458</v>
      </c>
      <c r="W25" s="4" t="n">
        <f aca="false">'Revenue Build'!W18+'Revenue Build'!W19+'Revenue Build'!W23</f>
        <v>34163.1325943585</v>
      </c>
      <c r="X25" s="4" t="n">
        <f aca="false">'Revenue Build'!X18+'Revenue Build'!X19+'Revenue Build'!X23</f>
        <v>41484.2956032278</v>
      </c>
      <c r="Y25" s="4" t="n">
        <f aca="false">'Revenue Build'!Y18+'Revenue Build'!Y19+'Revenue Build'!Y23</f>
        <v>49944.0376627743</v>
      </c>
      <c r="Z25" s="4" t="n">
        <f aca="false">'Revenue Build'!Z18+'Revenue Build'!Z19+'Revenue Build'!Z23</f>
        <v>60004.4725015332</v>
      </c>
      <c r="AA25" s="4" t="n">
        <f aca="false">'Revenue Build'!AA18+'Revenue Build'!AA19+'Revenue Build'!AA23</f>
        <v>70791.2893977961</v>
      </c>
      <c r="AB25" s="4" t="n">
        <f aca="false">'Revenue Build'!AB18+'Revenue Build'!AB19+'Revenue Build'!AB23</f>
        <v>80689.4663475561</v>
      </c>
      <c r="AC25" s="4" t="n">
        <f aca="false">'Revenue Build'!AC18+'Revenue Build'!AC19+'Revenue Build'!AC23</f>
        <v>2705354.1867604</v>
      </c>
      <c r="AD25" s="4" t="n">
        <f aca="false">'Revenue Build'!AD18+'Revenue Build'!AD19+'Revenue Build'!AD23</f>
        <v>7336231.91304288</v>
      </c>
      <c r="AE25" s="4" t="n">
        <f aca="false">'Revenue Build'!AE18+'Revenue Build'!AE19+'Revenue Build'!AE23</f>
        <v>14591007.7008739</v>
      </c>
      <c r="AG25" s="4" t="n">
        <f aca="false">SUMIF($C$3:$AE$3,AG$3,$C25:$AE25)</f>
        <v>0</v>
      </c>
      <c r="AH25" s="4" t="n">
        <f aca="false">SUMIF($C$3:$AE$3,AH$3,$C25:$AE25)</f>
        <v>0</v>
      </c>
      <c r="AI25" s="4" t="n">
        <f aca="false">SUMIF($C$3:$AE$3,AI$3,$C25:$AE25)</f>
        <v>411993.026413032</v>
      </c>
      <c r="AJ25" s="4" t="n">
        <f aca="false">SUMIF($C$3:$AE$3,AJ$3,$C25:$AE25)</f>
        <v>2705354.1867604</v>
      </c>
      <c r="AK25" s="4" t="n">
        <f aca="false">SUMIF($C$3:$AE$3,AK$3,$C25:$AE25)</f>
        <v>7336231.91304288</v>
      </c>
      <c r="AL25" s="4" t="n">
        <f aca="false">SUMIF($C$3:$AE$3,AL$3,$C25:$AE25)</f>
        <v>14591007.7008739</v>
      </c>
    </row>
    <row r="26" customFormat="false" ht="15" hidden="false" customHeight="false" outlineLevel="0" collapsed="false">
      <c r="A26" s="0" t="s">
        <v>517</v>
      </c>
      <c r="B26" s="2" t="s">
        <v>58</v>
      </c>
      <c r="C26" s="5" t="n">
        <f aca="false">IF('Revenue Build'!C24&gt;0,'Revenue Build'!C25/'Revenue Build'!C24,0)</f>
        <v>0</v>
      </c>
      <c r="D26" s="5" t="n">
        <f aca="false">IF('Revenue Build'!D24&gt;0,'Revenue Build'!D25/'Revenue Build'!D24,0)</f>
        <v>0</v>
      </c>
      <c r="E26" s="5" t="n">
        <f aca="false">IF('Revenue Build'!E24&gt;0,'Revenue Build'!E25/'Revenue Build'!E24,0)</f>
        <v>0</v>
      </c>
      <c r="F26" s="5" t="n">
        <f aca="false">IF('Revenue Build'!F24&gt;0,'Revenue Build'!F25/'Revenue Build'!F24,0)</f>
        <v>0</v>
      </c>
      <c r="G26" s="5" t="n">
        <f aca="false">IF('Revenue Build'!G24&gt;0,'Revenue Build'!G25/'Revenue Build'!G24,0)</f>
        <v>0</v>
      </c>
      <c r="H26" s="5" t="n">
        <f aca="false">IF('Revenue Build'!H24&gt;0,'Revenue Build'!H25/'Revenue Build'!H24,0)</f>
        <v>0</v>
      </c>
      <c r="I26" s="5" t="n">
        <f aca="false">IF('Revenue Build'!I24&gt;0,'Revenue Build'!I25/'Revenue Build'!I24,0)</f>
        <v>0</v>
      </c>
      <c r="J26" s="5" t="n">
        <f aca="false">IF('Revenue Build'!J24&gt;0,'Revenue Build'!J25/'Revenue Build'!J24,0)</f>
        <v>0</v>
      </c>
      <c r="K26" s="5" t="n">
        <f aca="false">IF('Revenue Build'!K24&gt;0,'Revenue Build'!K25/'Revenue Build'!K24,0)</f>
        <v>0</v>
      </c>
      <c r="L26" s="5" t="n">
        <f aca="false">IF('Revenue Build'!L24&gt;0,'Revenue Build'!L25/'Revenue Build'!L24,0)</f>
        <v>0</v>
      </c>
      <c r="M26" s="5" t="n">
        <f aca="false">IF('Revenue Build'!M24&gt;0,'Revenue Build'!M25/'Revenue Build'!M24,0)</f>
        <v>0</v>
      </c>
      <c r="N26" s="5" t="n">
        <f aca="false">IF('Revenue Build'!N24&gt;0,'Revenue Build'!N25/'Revenue Build'!N24,0)</f>
        <v>0</v>
      </c>
      <c r="O26" s="5" t="n">
        <f aca="false">IF('Revenue Build'!O24&gt;0,'Revenue Build'!O25/'Revenue Build'!O24,0)</f>
        <v>0</v>
      </c>
      <c r="P26" s="5" t="n">
        <f aca="false">IF('Revenue Build'!P24&gt;0,'Revenue Build'!P25/'Revenue Build'!P24,0)</f>
        <v>0</v>
      </c>
      <c r="Q26" s="5" t="n">
        <f aca="false">IF('Revenue Build'!Q24&gt;0,'Revenue Build'!Q25/'Revenue Build'!Q24,0)</f>
        <v>0</v>
      </c>
      <c r="R26" s="5" t="n">
        <f aca="false">IF('Revenue Build'!R24&gt;0,'Revenue Build'!R25/'Revenue Build'!R24,0)</f>
        <v>0.00756167575009229</v>
      </c>
      <c r="S26" s="5" t="n">
        <f aca="false">IF('Revenue Build'!S24&gt;0,'Revenue Build'!S25/'Revenue Build'!S24,0)</f>
        <v>0.0171552684307766</v>
      </c>
      <c r="T26" s="5" t="n">
        <f aca="false">IF('Revenue Build'!T24&gt;0,'Revenue Build'!T25/'Revenue Build'!T24,0)</f>
        <v>0.026916456003515</v>
      </c>
      <c r="U26" s="5" t="n">
        <f aca="false">IF('Revenue Build'!U24&gt;0,'Revenue Build'!U25/'Revenue Build'!U24,0)</f>
        <v>0.0319711306651447</v>
      </c>
      <c r="V26" s="5" t="n">
        <f aca="false">IF('Revenue Build'!V24&gt;0,'Revenue Build'!V25/'Revenue Build'!V24,0)</f>
        <v>0.0362028286371043</v>
      </c>
      <c r="W26" s="5" t="n">
        <f aca="false">IF('Revenue Build'!W24&gt;0,'Revenue Build'!W25/'Revenue Build'!W24,0)</f>
        <v>0.0402273355236836</v>
      </c>
      <c r="X26" s="5" t="n">
        <f aca="false">IF('Revenue Build'!X24&gt;0,'Revenue Build'!X25/'Revenue Build'!X24,0)</f>
        <v>0.0470520560866448</v>
      </c>
      <c r="Y26" s="5" t="n">
        <f aca="false">IF('Revenue Build'!Y24&gt;0,'Revenue Build'!Y25/'Revenue Build'!Y24,0)</f>
        <v>0.0592697704176004</v>
      </c>
      <c r="Z26" s="5" t="n">
        <f aca="false">IF('Revenue Build'!Z24&gt;0,'Revenue Build'!Z25/'Revenue Build'!Z24,0)</f>
        <v>0.0631410471459392</v>
      </c>
      <c r="AA26" s="5" t="n">
        <f aca="false">IF('Revenue Build'!AA24&gt;0,'Revenue Build'!AA25/'Revenue Build'!AA24,0)</f>
        <v>0.0524716128398408</v>
      </c>
      <c r="AB26" s="5" t="n">
        <f aca="false">IF('Revenue Build'!AB24&gt;0,'Revenue Build'!AB25/'Revenue Build'!AB24,0)</f>
        <v>0.0429068264664698</v>
      </c>
      <c r="AC26" s="5" t="n">
        <f aca="false">IF('Revenue Build'!AC24&gt;0,'Revenue Build'!AC25/'Revenue Build'!AC24,0)</f>
        <v>0.0855176467885222</v>
      </c>
      <c r="AD26" s="5" t="n">
        <f aca="false">IF('Revenue Build'!AD24&gt;0,'Revenue Build'!AD25/'Revenue Build'!AD24,0)</f>
        <v>0.109380442466261</v>
      </c>
      <c r="AE26" s="5" t="n">
        <f aca="false">IF('Revenue Build'!AE24&gt;0,'Revenue Build'!AE25/'Revenue Build'!AE24,0)</f>
        <v>0.131055279707413</v>
      </c>
      <c r="AG26" s="5" t="n">
        <f aca="false">IF(AG24&gt;0,AG25/AG24,0)</f>
        <v>0</v>
      </c>
      <c r="AH26" s="5" t="n">
        <f aca="false">IF(AH24&gt;0,AH25/AH24,0)</f>
        <v>0</v>
      </c>
      <c r="AI26" s="5" t="n">
        <f aca="false">IF(AI24&gt;0,AI25/AI24,0)</f>
        <v>0.0411143023613128</v>
      </c>
      <c r="AJ26" s="5" t="n">
        <f aca="false">IF(AJ24&gt;0,AJ25/AJ24,0)</f>
        <v>0.0855176467885222</v>
      </c>
      <c r="AK26" s="5" t="n">
        <f aca="false">IF(AK24&gt;0,AK25/AK24,0)</f>
        <v>0.109380442466261</v>
      </c>
      <c r="AL26" s="5" t="n">
        <f aca="false">IF(AL24&gt;0,AL25/AL24,0)</f>
        <v>0.131055279707413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518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8" customFormat="false" ht="15" hidden="false" customHeight="false" outlineLevel="0" collapsed="false">
      <c r="A8" s="0" t="s">
        <v>519</v>
      </c>
      <c r="B8" s="2" t="s">
        <v>50</v>
      </c>
      <c r="C8" s="28" t="n">
        <f aca="false">(bom_peb+asm_peb+pkg_peb)*(1+freight_duty)*Assumptions!C111*sc_cogs</f>
        <v>62.6503</v>
      </c>
      <c r="D8" s="28" t="n">
        <f aca="false">(bom_peb+asm_peb+pkg_peb)*(1+freight_duty)*Assumptions!D111*sc_cogs</f>
        <v>62.6503</v>
      </c>
      <c r="E8" s="28" t="n">
        <f aca="false">(bom_peb+asm_peb+pkg_peb)*(1+freight_duty)*Assumptions!E111*sc_cogs</f>
        <v>62.6503</v>
      </c>
      <c r="F8" s="28" t="n">
        <f aca="false">(bom_peb+asm_peb+pkg_peb)*(1+freight_duty)*Assumptions!F111*sc_cogs</f>
        <v>62.6503</v>
      </c>
      <c r="G8" s="28" t="n">
        <f aca="false">(bom_peb+asm_peb+pkg_peb)*(1+freight_duty)*Assumptions!G111*sc_cogs</f>
        <v>62.6503</v>
      </c>
      <c r="H8" s="28" t="n">
        <f aca="false">(bom_peb+asm_peb+pkg_peb)*(1+freight_duty)*Assumptions!H111*sc_cogs</f>
        <v>62.6503</v>
      </c>
      <c r="I8" s="28" t="n">
        <f aca="false">(bom_peb+asm_peb+pkg_peb)*(1+freight_duty)*Assumptions!I111*sc_cogs</f>
        <v>62.6503</v>
      </c>
      <c r="J8" s="28" t="n">
        <f aca="false">(bom_peb+asm_peb+pkg_peb)*(1+freight_duty)*Assumptions!J111*sc_cogs</f>
        <v>62.6503</v>
      </c>
      <c r="K8" s="28" t="n">
        <f aca="false">(bom_peb+asm_peb+pkg_peb)*(1+freight_duty)*Assumptions!K111*sc_cogs</f>
        <v>62.6503</v>
      </c>
      <c r="L8" s="28" t="n">
        <f aca="false">(bom_peb+asm_peb+pkg_peb)*(1+freight_duty)*Assumptions!L111*sc_cogs</f>
        <v>62.6503</v>
      </c>
      <c r="M8" s="28" t="n">
        <f aca="false">(bom_peb+asm_peb+pkg_peb)*(1+freight_duty)*Assumptions!M111*sc_cogs</f>
        <v>62.6503</v>
      </c>
      <c r="N8" s="28" t="n">
        <f aca="false">(bom_peb+asm_peb+pkg_peb)*(1+freight_duty)*Assumptions!N111*sc_cogs</f>
        <v>62.6503</v>
      </c>
      <c r="O8" s="28" t="n">
        <f aca="false">(bom_peb+asm_peb+pkg_peb)*(1+freight_duty)*Assumptions!O111*sc_cogs</f>
        <v>62.6503</v>
      </c>
      <c r="P8" s="28" t="n">
        <f aca="false">(bom_peb+asm_peb+pkg_peb)*(1+freight_duty)*Assumptions!P111*sc_cogs</f>
        <v>62.6503</v>
      </c>
      <c r="Q8" s="28" t="n">
        <f aca="false">(bom_peb+asm_peb+pkg_peb)*(1+freight_duty)*Assumptions!Q111*sc_cogs</f>
        <v>62.6503</v>
      </c>
      <c r="R8" s="28" t="n">
        <f aca="false">(bom_peb+asm_peb+pkg_peb)*(1+freight_duty)*Assumptions!R111*sc_cogs</f>
        <v>62.6503</v>
      </c>
      <c r="S8" s="28" t="n">
        <f aca="false">(bom_peb+asm_peb+pkg_peb)*(1+freight_duty)*Assumptions!S111*sc_cogs</f>
        <v>62.6503</v>
      </c>
      <c r="T8" s="28" t="n">
        <f aca="false">(bom_peb+asm_peb+pkg_peb)*(1+freight_duty)*Assumptions!T111*sc_cogs</f>
        <v>62.6503</v>
      </c>
      <c r="U8" s="28" t="n">
        <f aca="false">(bom_peb+asm_peb+pkg_peb)*(1+freight_duty)*Assumptions!U111*sc_cogs</f>
        <v>62.6503</v>
      </c>
      <c r="V8" s="28" t="n">
        <f aca="false">(bom_peb+asm_peb+pkg_peb)*(1+freight_duty)*Assumptions!V111*sc_cogs</f>
        <v>62.6503</v>
      </c>
      <c r="W8" s="28" t="n">
        <f aca="false">(bom_peb+asm_peb+pkg_peb)*(1+freight_duty)*Assumptions!W111*sc_cogs</f>
        <v>59.517785</v>
      </c>
      <c r="X8" s="28" t="n">
        <f aca="false">(bom_peb+asm_peb+pkg_peb)*(1+freight_duty)*Assumptions!X111*sc_cogs</f>
        <v>59.517785</v>
      </c>
      <c r="Y8" s="28" t="n">
        <f aca="false">(bom_peb+asm_peb+pkg_peb)*(1+freight_duty)*Assumptions!Y111*sc_cogs</f>
        <v>59.517785</v>
      </c>
      <c r="Z8" s="28" t="n">
        <f aca="false">(bom_peb+asm_peb+pkg_peb)*(1+freight_duty)*Assumptions!Z111*sc_cogs</f>
        <v>59.517785</v>
      </c>
      <c r="AA8" s="28" t="n">
        <f aca="false">(bom_peb+asm_peb+pkg_peb)*(1+freight_duty)*Assumptions!AA111*sc_cogs</f>
        <v>59.517785</v>
      </c>
      <c r="AB8" s="28" t="n">
        <f aca="false">(bom_peb+asm_peb+pkg_peb)*(1+freight_duty)*Assumptions!AB111*sc_cogs</f>
        <v>59.517785</v>
      </c>
      <c r="AC8" s="28" t="n">
        <f aca="false">(bom_peb+asm_peb+pkg_peb)*(1+freight_duty)*Assumptions!AC111*sc_cogs</f>
        <v>55.758767</v>
      </c>
      <c r="AD8" s="28" t="n">
        <f aca="false">(bom_peb+asm_peb+pkg_peb)*(1+freight_duty)*Assumptions!AD111*sc_cogs</f>
        <v>51.373246</v>
      </c>
      <c r="AE8" s="28" t="n">
        <f aca="false">(bom_peb+asm_peb+pkg_peb)*(1+freight_duty)*Assumptions!AE111*sc_cogs</f>
        <v>49.493737</v>
      </c>
    </row>
    <row r="9" customFormat="false" ht="15" hidden="false" customHeight="false" outlineLevel="0" collapsed="false">
      <c r="A9" s="0" t="s">
        <v>520</v>
      </c>
      <c r="B9" s="2" t="s">
        <v>50</v>
      </c>
      <c r="C9" s="28" t="n">
        <f aca="false">(bom_sq+asm_sq+pkg_sq)*(1+freight_duty)*Assumptions!C111*sc_cogs</f>
        <v>227.1591</v>
      </c>
      <c r="D9" s="28" t="n">
        <f aca="false">(bom_sq+asm_sq+pkg_sq)*(1+freight_duty)*Assumptions!D111*sc_cogs</f>
        <v>227.1591</v>
      </c>
      <c r="E9" s="28" t="n">
        <f aca="false">(bom_sq+asm_sq+pkg_sq)*(1+freight_duty)*Assumptions!E111*sc_cogs</f>
        <v>227.1591</v>
      </c>
      <c r="F9" s="28" t="n">
        <f aca="false">(bom_sq+asm_sq+pkg_sq)*(1+freight_duty)*Assumptions!F111*sc_cogs</f>
        <v>227.1591</v>
      </c>
      <c r="G9" s="28" t="n">
        <f aca="false">(bom_sq+asm_sq+pkg_sq)*(1+freight_duty)*Assumptions!G111*sc_cogs</f>
        <v>227.1591</v>
      </c>
      <c r="H9" s="28" t="n">
        <f aca="false">(bom_sq+asm_sq+pkg_sq)*(1+freight_duty)*Assumptions!H111*sc_cogs</f>
        <v>227.1591</v>
      </c>
      <c r="I9" s="28" t="n">
        <f aca="false">(bom_sq+asm_sq+pkg_sq)*(1+freight_duty)*Assumptions!I111*sc_cogs</f>
        <v>227.1591</v>
      </c>
      <c r="J9" s="28" t="n">
        <f aca="false">(bom_sq+asm_sq+pkg_sq)*(1+freight_duty)*Assumptions!J111*sc_cogs</f>
        <v>227.1591</v>
      </c>
      <c r="K9" s="28" t="n">
        <f aca="false">(bom_sq+asm_sq+pkg_sq)*(1+freight_duty)*Assumptions!K111*sc_cogs</f>
        <v>227.1591</v>
      </c>
      <c r="L9" s="28" t="n">
        <f aca="false">(bom_sq+asm_sq+pkg_sq)*(1+freight_duty)*Assumptions!L111*sc_cogs</f>
        <v>227.1591</v>
      </c>
      <c r="M9" s="28" t="n">
        <f aca="false">(bom_sq+asm_sq+pkg_sq)*(1+freight_duty)*Assumptions!M111*sc_cogs</f>
        <v>227.1591</v>
      </c>
      <c r="N9" s="28" t="n">
        <f aca="false">(bom_sq+asm_sq+pkg_sq)*(1+freight_duty)*Assumptions!N111*sc_cogs</f>
        <v>227.1591</v>
      </c>
      <c r="O9" s="28" t="n">
        <f aca="false">(bom_sq+asm_sq+pkg_sq)*(1+freight_duty)*Assumptions!O111*sc_cogs</f>
        <v>227.1591</v>
      </c>
      <c r="P9" s="28" t="n">
        <f aca="false">(bom_sq+asm_sq+pkg_sq)*(1+freight_duty)*Assumptions!P111*sc_cogs</f>
        <v>227.1591</v>
      </c>
      <c r="Q9" s="28" t="n">
        <f aca="false">(bom_sq+asm_sq+pkg_sq)*(1+freight_duty)*Assumptions!Q111*sc_cogs</f>
        <v>227.1591</v>
      </c>
      <c r="R9" s="28" t="n">
        <f aca="false">(bom_sq+asm_sq+pkg_sq)*(1+freight_duty)*Assumptions!R111*sc_cogs</f>
        <v>227.1591</v>
      </c>
      <c r="S9" s="28" t="n">
        <f aca="false">(bom_sq+asm_sq+pkg_sq)*(1+freight_duty)*Assumptions!S111*sc_cogs</f>
        <v>227.1591</v>
      </c>
      <c r="T9" s="28" t="n">
        <f aca="false">(bom_sq+asm_sq+pkg_sq)*(1+freight_duty)*Assumptions!T111*sc_cogs</f>
        <v>227.1591</v>
      </c>
      <c r="U9" s="28" t="n">
        <f aca="false">(bom_sq+asm_sq+pkg_sq)*(1+freight_duty)*Assumptions!U111*sc_cogs</f>
        <v>227.1591</v>
      </c>
      <c r="V9" s="28" t="n">
        <f aca="false">(bom_sq+asm_sq+pkg_sq)*(1+freight_duty)*Assumptions!V111*sc_cogs</f>
        <v>227.1591</v>
      </c>
      <c r="W9" s="28" t="n">
        <f aca="false">(bom_sq+asm_sq+pkg_sq)*(1+freight_duty)*Assumptions!W111*sc_cogs</f>
        <v>215.801145</v>
      </c>
      <c r="X9" s="28" t="n">
        <f aca="false">(bom_sq+asm_sq+pkg_sq)*(1+freight_duty)*Assumptions!X111*sc_cogs</f>
        <v>215.801145</v>
      </c>
      <c r="Y9" s="28" t="n">
        <f aca="false">(bom_sq+asm_sq+pkg_sq)*(1+freight_duty)*Assumptions!Y111*sc_cogs</f>
        <v>215.801145</v>
      </c>
      <c r="Z9" s="28" t="n">
        <f aca="false">(bom_sq+asm_sq+pkg_sq)*(1+freight_duty)*Assumptions!Z111*sc_cogs</f>
        <v>215.801145</v>
      </c>
      <c r="AA9" s="28" t="n">
        <f aca="false">(bom_sq+asm_sq+pkg_sq)*(1+freight_duty)*Assumptions!AA111*sc_cogs</f>
        <v>215.801145</v>
      </c>
      <c r="AB9" s="28" t="n">
        <f aca="false">(bom_sq+asm_sq+pkg_sq)*(1+freight_duty)*Assumptions!AB111*sc_cogs</f>
        <v>215.801145</v>
      </c>
      <c r="AC9" s="28" t="n">
        <f aca="false">(bom_sq+asm_sq+pkg_sq)*(1+freight_duty)*Assumptions!AC111*sc_cogs</f>
        <v>202.171599</v>
      </c>
      <c r="AD9" s="28" t="n">
        <f aca="false">(bom_sq+asm_sq+pkg_sq)*(1+freight_duty)*Assumptions!AD111*sc_cogs</f>
        <v>186.270462</v>
      </c>
      <c r="AE9" s="28" t="n">
        <f aca="false">(bom_sq+asm_sq+pkg_sq)*(1+freight_duty)*Assumptions!AE111*sc_cogs</f>
        <v>179.455689</v>
      </c>
    </row>
    <row r="10" customFormat="false" ht="15" hidden="false" customHeight="false" outlineLevel="0" collapsed="false">
      <c r="A10" s="0" t="s">
        <v>521</v>
      </c>
      <c r="B10" s="2" t="s">
        <v>50</v>
      </c>
      <c r="C10" s="28" t="n">
        <f aca="false">(bom_atl+asm_atl+pkg_atl)*(1+freight_duty)*Assumptions!C111*sc_cogs</f>
        <v>317.3925</v>
      </c>
      <c r="D10" s="28" t="n">
        <f aca="false">(bom_atl+asm_atl+pkg_atl)*(1+freight_duty)*Assumptions!D111*sc_cogs</f>
        <v>317.3925</v>
      </c>
      <c r="E10" s="28" t="n">
        <f aca="false">(bom_atl+asm_atl+pkg_atl)*(1+freight_duty)*Assumptions!E111*sc_cogs</f>
        <v>317.3925</v>
      </c>
      <c r="F10" s="28" t="n">
        <f aca="false">(bom_atl+asm_atl+pkg_atl)*(1+freight_duty)*Assumptions!F111*sc_cogs</f>
        <v>317.3925</v>
      </c>
      <c r="G10" s="28" t="n">
        <f aca="false">(bom_atl+asm_atl+pkg_atl)*(1+freight_duty)*Assumptions!G111*sc_cogs</f>
        <v>317.3925</v>
      </c>
      <c r="H10" s="28" t="n">
        <f aca="false">(bom_atl+asm_atl+pkg_atl)*(1+freight_duty)*Assumptions!H111*sc_cogs</f>
        <v>317.3925</v>
      </c>
      <c r="I10" s="28" t="n">
        <f aca="false">(bom_atl+asm_atl+pkg_atl)*(1+freight_duty)*Assumptions!I111*sc_cogs</f>
        <v>317.3925</v>
      </c>
      <c r="J10" s="28" t="n">
        <f aca="false">(bom_atl+asm_atl+pkg_atl)*(1+freight_duty)*Assumptions!J111*sc_cogs</f>
        <v>317.3925</v>
      </c>
      <c r="K10" s="28" t="n">
        <f aca="false">(bom_atl+asm_atl+pkg_atl)*(1+freight_duty)*Assumptions!K111*sc_cogs</f>
        <v>317.3925</v>
      </c>
      <c r="L10" s="28" t="n">
        <f aca="false">(bom_atl+asm_atl+pkg_atl)*(1+freight_duty)*Assumptions!L111*sc_cogs</f>
        <v>317.3925</v>
      </c>
      <c r="M10" s="28" t="n">
        <f aca="false">(bom_atl+asm_atl+pkg_atl)*(1+freight_duty)*Assumptions!M111*sc_cogs</f>
        <v>317.3925</v>
      </c>
      <c r="N10" s="28" t="n">
        <f aca="false">(bom_atl+asm_atl+pkg_atl)*(1+freight_duty)*Assumptions!N111*sc_cogs</f>
        <v>317.3925</v>
      </c>
      <c r="O10" s="28" t="n">
        <f aca="false">(bom_atl+asm_atl+pkg_atl)*(1+freight_duty)*Assumptions!O111*sc_cogs</f>
        <v>317.3925</v>
      </c>
      <c r="P10" s="28" t="n">
        <f aca="false">(bom_atl+asm_atl+pkg_atl)*(1+freight_duty)*Assumptions!P111*sc_cogs</f>
        <v>317.3925</v>
      </c>
      <c r="Q10" s="28" t="n">
        <f aca="false">(bom_atl+asm_atl+pkg_atl)*(1+freight_duty)*Assumptions!Q111*sc_cogs</f>
        <v>317.3925</v>
      </c>
      <c r="R10" s="28" t="n">
        <f aca="false">(bom_atl+asm_atl+pkg_atl)*(1+freight_duty)*Assumptions!R111*sc_cogs</f>
        <v>317.3925</v>
      </c>
      <c r="S10" s="28" t="n">
        <f aca="false">(bom_atl+asm_atl+pkg_atl)*(1+freight_duty)*Assumptions!S111*sc_cogs</f>
        <v>317.3925</v>
      </c>
      <c r="T10" s="28" t="n">
        <f aca="false">(bom_atl+asm_atl+pkg_atl)*(1+freight_duty)*Assumptions!T111*sc_cogs</f>
        <v>317.3925</v>
      </c>
      <c r="U10" s="28" t="n">
        <f aca="false">(bom_atl+asm_atl+pkg_atl)*(1+freight_duty)*Assumptions!U111*sc_cogs</f>
        <v>317.3925</v>
      </c>
      <c r="V10" s="28" t="n">
        <f aca="false">(bom_atl+asm_atl+pkg_atl)*(1+freight_duty)*Assumptions!V111*sc_cogs</f>
        <v>317.3925</v>
      </c>
      <c r="W10" s="28" t="n">
        <f aca="false">(bom_atl+asm_atl+pkg_atl)*(1+freight_duty)*Assumptions!W111*sc_cogs</f>
        <v>301.522875</v>
      </c>
      <c r="X10" s="28" t="n">
        <f aca="false">(bom_atl+asm_atl+pkg_atl)*(1+freight_duty)*Assumptions!X111*sc_cogs</f>
        <v>301.522875</v>
      </c>
      <c r="Y10" s="28" t="n">
        <f aca="false">(bom_atl+asm_atl+pkg_atl)*(1+freight_duty)*Assumptions!Y111*sc_cogs</f>
        <v>301.522875</v>
      </c>
      <c r="Z10" s="28" t="n">
        <f aca="false">(bom_atl+asm_atl+pkg_atl)*(1+freight_duty)*Assumptions!Z111*sc_cogs</f>
        <v>301.522875</v>
      </c>
      <c r="AA10" s="28" t="n">
        <f aca="false">(bom_atl+asm_atl+pkg_atl)*(1+freight_duty)*Assumptions!AA111*sc_cogs</f>
        <v>301.522875</v>
      </c>
      <c r="AB10" s="28" t="n">
        <f aca="false">(bom_atl+asm_atl+pkg_atl)*(1+freight_duty)*Assumptions!AB111*sc_cogs</f>
        <v>301.522875</v>
      </c>
      <c r="AC10" s="28" t="n">
        <f aca="false">(bom_atl+asm_atl+pkg_atl)*(1+freight_duty)*Assumptions!AC111*sc_cogs</f>
        <v>282.479325</v>
      </c>
      <c r="AD10" s="28" t="n">
        <f aca="false">(bom_atl+asm_atl+pkg_atl)*(1+freight_duty)*Assumptions!AD111*sc_cogs</f>
        <v>260.26185</v>
      </c>
      <c r="AE10" s="28" t="n">
        <f aca="false">(bom_atl+asm_atl+pkg_atl)*(1+freight_duty)*Assumptions!AE111*sc_cogs</f>
        <v>250.740075</v>
      </c>
    </row>
    <row r="11" customFormat="false" ht="15" hidden="false" customHeight="false" outlineLevel="0" collapsed="false">
      <c r="A11" s="0" t="s">
        <v>522</v>
      </c>
      <c r="B11" s="2"/>
      <c r="C11" s="4" t="n">
        <f aca="false">'Pricing &amp; Mix'!C39*'Hardware COGS'!C8+'Pricing &amp; Mix'!C40*'Hardware COGS'!C9+'Pricing &amp; Mix'!C41*'Hardware COGS'!C10</f>
        <v>0</v>
      </c>
      <c r="D11" s="4" t="n">
        <f aca="false">'Pricing &amp; Mix'!D39*'Hardware COGS'!D8+'Pricing &amp; Mix'!D40*'Hardware COGS'!D9+'Pricing &amp; Mix'!D41*'Hardware COGS'!D10</f>
        <v>0</v>
      </c>
      <c r="E11" s="4" t="n">
        <f aca="false">'Pricing &amp; Mix'!E39*'Hardware COGS'!E8+'Pricing &amp; Mix'!E40*'Hardware COGS'!E9+'Pricing &amp; Mix'!E41*'Hardware COGS'!E10</f>
        <v>0</v>
      </c>
      <c r="F11" s="4" t="n">
        <f aca="false">'Pricing &amp; Mix'!F39*'Hardware COGS'!F8+'Pricing &amp; Mix'!F40*'Hardware COGS'!F9+'Pricing &amp; Mix'!F41*'Hardware COGS'!F10</f>
        <v>0</v>
      </c>
      <c r="G11" s="4" t="n">
        <f aca="false">'Pricing &amp; Mix'!G39*'Hardware COGS'!G8+'Pricing &amp; Mix'!G40*'Hardware COGS'!G9+'Pricing &amp; Mix'!G41*'Hardware COGS'!G10</f>
        <v>0</v>
      </c>
      <c r="H11" s="4" t="n">
        <f aca="false">'Pricing &amp; Mix'!H39*'Hardware COGS'!H8+'Pricing &amp; Mix'!H40*'Hardware COGS'!H9+'Pricing &amp; Mix'!H41*'Hardware COGS'!H10</f>
        <v>0</v>
      </c>
      <c r="I11" s="4" t="n">
        <f aca="false">'Pricing &amp; Mix'!I39*'Hardware COGS'!I8+'Pricing &amp; Mix'!I40*'Hardware COGS'!I9+'Pricing &amp; Mix'!I41*'Hardware COGS'!I10</f>
        <v>0</v>
      </c>
      <c r="J11" s="4" t="n">
        <f aca="false">'Pricing &amp; Mix'!J39*'Hardware COGS'!J8+'Pricing &amp; Mix'!J40*'Hardware COGS'!J9+'Pricing &amp; Mix'!J41*'Hardware COGS'!J10</f>
        <v>0</v>
      </c>
      <c r="K11" s="4" t="n">
        <f aca="false">'Pricing &amp; Mix'!K39*'Hardware COGS'!K8+'Pricing &amp; Mix'!K40*'Hardware COGS'!K9+'Pricing &amp; Mix'!K41*'Hardware COGS'!K10</f>
        <v>0</v>
      </c>
      <c r="L11" s="4" t="n">
        <f aca="false">'Pricing &amp; Mix'!L39*'Hardware COGS'!L8+'Pricing &amp; Mix'!L40*'Hardware COGS'!L9+'Pricing &amp; Mix'!L41*'Hardware COGS'!L10</f>
        <v>0</v>
      </c>
      <c r="M11" s="4" t="n">
        <f aca="false">'Pricing &amp; Mix'!M39*'Hardware COGS'!M8+'Pricing &amp; Mix'!M40*'Hardware COGS'!M9+'Pricing &amp; Mix'!M41*'Hardware COGS'!M10</f>
        <v>0</v>
      </c>
      <c r="N11" s="4" t="n">
        <f aca="false">'Pricing &amp; Mix'!N39*'Hardware COGS'!N8+'Pricing &amp; Mix'!N40*'Hardware COGS'!N9+'Pricing &amp; Mix'!N41*'Hardware COGS'!N10</f>
        <v>0</v>
      </c>
      <c r="O11" s="4" t="n">
        <f aca="false">'Pricing &amp; Mix'!O39*'Hardware COGS'!O8+'Pricing &amp; Mix'!O40*'Hardware COGS'!O9+'Pricing &amp; Mix'!O41*'Hardware COGS'!O10</f>
        <v>297640.6875</v>
      </c>
      <c r="P11" s="4" t="n">
        <f aca="false">'Pricing &amp; Mix'!P39*'Hardware COGS'!P8+'Pricing &amp; Mix'!P40*'Hardware COGS'!P9+'Pricing &amp; Mix'!P41*'Hardware COGS'!P10</f>
        <v>220254.10875</v>
      </c>
      <c r="Q11" s="4" t="n">
        <f aca="false">'Pricing &amp; Mix'!Q39*'Hardware COGS'!Q8+'Pricing &amp; Mix'!Q40*'Hardware COGS'!Q9+'Pricing &amp; Mix'!Q41*'Hardware COGS'!Q10</f>
        <v>252348.37375</v>
      </c>
      <c r="R11" s="4" t="n">
        <f aca="false">'Pricing &amp; Mix'!R39*'Hardware COGS'!R8+'Pricing &amp; Mix'!R40*'Hardware COGS'!R9+'Pricing &amp; Mix'!R41*'Hardware COGS'!R10</f>
        <v>307980.9261</v>
      </c>
      <c r="S11" s="4" t="n">
        <f aca="false">'Pricing &amp; Mix'!S39*'Hardware COGS'!S8+'Pricing &amp; Mix'!S40*'Hardware COGS'!S9+'Pricing &amp; Mix'!S41*'Hardware COGS'!S10</f>
        <v>349971.7569</v>
      </c>
      <c r="T11" s="4" t="n">
        <f aca="false">'Pricing &amp; Mix'!T39*'Hardware COGS'!T8+'Pricing &amp; Mix'!T40*'Hardware COGS'!T9+'Pricing &amp; Mix'!T41*'Hardware COGS'!T10</f>
        <v>341663.5575</v>
      </c>
      <c r="U11" s="4" t="n">
        <f aca="false">'Pricing &amp; Mix'!U39*'Hardware COGS'!U8+'Pricing &amp; Mix'!U40*'Hardware COGS'!U9+'Pricing &amp; Mix'!U41*'Hardware COGS'!U10</f>
        <v>408329.6175</v>
      </c>
      <c r="V11" s="4" t="n">
        <f aca="false">'Pricing &amp; Mix'!V39*'Hardware COGS'!V8+'Pricing &amp; Mix'!V40*'Hardware COGS'!V9+'Pricing &amp; Mix'!V41*'Hardware COGS'!V10</f>
        <v>474995.6775</v>
      </c>
      <c r="W11" s="4" t="n">
        <f aca="false">'Pricing &amp; Mix'!W39*'Hardware COGS'!W8+'Pricing &amp; Mix'!W40*'Hardware COGS'!W9+'Pricing &amp; Mix'!W41*'Hardware COGS'!W10</f>
        <v>530411.839875</v>
      </c>
      <c r="X11" s="4" t="n">
        <f aca="false">'Pricing &amp; Mix'!X39*'Hardware COGS'!X8+'Pricing &amp; Mix'!X40*'Hardware COGS'!X9+'Pricing &amp; Mix'!X41*'Hardware COGS'!X10</f>
        <v>546245.029125</v>
      </c>
      <c r="Y11" s="4" t="n">
        <f aca="false">'Pricing &amp; Mix'!Y39*'Hardware COGS'!Y8+'Pricing &amp; Mix'!Y40*'Hardware COGS'!Y9+'Pricing &amp; Mix'!Y41*'Hardware COGS'!Y10</f>
        <v>514578.650625</v>
      </c>
      <c r="Z11" s="4" t="n">
        <f aca="false">'Pricing &amp; Mix'!Z39*'Hardware COGS'!Z8+'Pricing &amp; Mix'!Z40*'Hardware COGS'!Z9+'Pricing &amp; Mix'!Z41*'Hardware COGS'!Z10</f>
        <v>577911.407625</v>
      </c>
      <c r="AA11" s="4" t="n">
        <f aca="false">'Pricing &amp; Mix'!AA39*'Hardware COGS'!AA8+'Pricing &amp; Mix'!AA40*'Hardware COGS'!AA9+'Pricing &amp; Mix'!AA41*'Hardware COGS'!AA10</f>
        <v>831242.435625</v>
      </c>
      <c r="AB11" s="4" t="n">
        <f aca="false">'Pricing &amp; Mix'!AB39*'Hardware COGS'!AB8+'Pricing &amp; Mix'!AB40*'Hardware COGS'!AB9+'Pricing &amp; Mix'!AB41*'Hardware COGS'!AB10</f>
        <v>1171656.0045</v>
      </c>
      <c r="AC11" s="4" t="n">
        <f aca="false">'Pricing &amp; Mix'!AC39*'Hardware COGS'!AC8+'Pricing &amp; Mix'!AC40*'Hardware COGS'!AC9+'Pricing &amp; Mix'!AC41*'Hardware COGS'!AC10</f>
        <v>17799838.02</v>
      </c>
      <c r="AD11" s="4" t="n">
        <f aca="false">'Pricing &amp; Mix'!AD39*'Hardware COGS'!AD8+'Pricing &amp; Mix'!AD40*'Hardware COGS'!AD9+'Pricing &amp; Mix'!AD41*'Hardware COGS'!AD10</f>
        <v>34166355.75</v>
      </c>
      <c r="AE11" s="4" t="n">
        <f aca="false">'Pricing &amp; Mix'!AE39*'Hardware COGS'!AE8+'Pricing &amp; Mix'!AE40*'Hardware COGS'!AE9+'Pricing &amp; Mix'!AE41*'Hardware COGS'!AE10</f>
        <v>52666187.4</v>
      </c>
      <c r="AG11" s="4" t="n">
        <f aca="false">SUMIF($C$3:$AE$3,AG$3,$C11:$AE11)</f>
        <v>0</v>
      </c>
      <c r="AH11" s="4" t="n">
        <f aca="false">SUMIF($C$3:$AE$3,AH$3,$C11:$AE11)</f>
        <v>517894.79625</v>
      </c>
      <c r="AI11" s="4" t="n">
        <f aca="false">SUMIF($C$3:$AE$3,AI$3,$C11:$AE11)</f>
        <v>6307335.276625</v>
      </c>
      <c r="AJ11" s="4" t="n">
        <f aca="false">SUMIF($C$3:$AE$3,AJ$3,$C11:$AE11)</f>
        <v>17799838.02</v>
      </c>
      <c r="AK11" s="4" t="n">
        <f aca="false">SUMIF($C$3:$AE$3,AK$3,$C11:$AE11)</f>
        <v>34166355.75</v>
      </c>
      <c r="AL11" s="4" t="n">
        <f aca="false">SUMIF($C$3:$AE$3,AL$3,$C11:$AE11)</f>
        <v>52666187.4</v>
      </c>
    </row>
    <row r="12" customFormat="false" ht="15" hidden="false" customHeight="false" outlineLevel="0" collapsed="false">
      <c r="A12" s="0" t="s">
        <v>523</v>
      </c>
      <c r="B12" s="2"/>
      <c r="C12" s="4" t="n">
        <f aca="false">'Pricing &amp; Mix'!C43*dtc_ship+'Pricing &amp; Mix'!C44*retail_dist+'Pricing &amp; Mix'!C38*ks_fulfil_net</f>
        <v>0</v>
      </c>
      <c r="D12" s="4" t="n">
        <f aca="false">'Pricing &amp; Mix'!D43*dtc_ship+'Pricing &amp; Mix'!D44*retail_dist+'Pricing &amp; Mix'!D38*ks_fulfil_net</f>
        <v>0</v>
      </c>
      <c r="E12" s="4" t="n">
        <f aca="false">'Pricing &amp; Mix'!E43*dtc_ship+'Pricing &amp; Mix'!E44*retail_dist+'Pricing &amp; Mix'!E38*ks_fulfil_net</f>
        <v>0</v>
      </c>
      <c r="F12" s="4" t="n">
        <f aca="false">'Pricing &amp; Mix'!F43*dtc_ship+'Pricing &amp; Mix'!F44*retail_dist+'Pricing &amp; Mix'!F38*ks_fulfil_net</f>
        <v>0</v>
      </c>
      <c r="G12" s="4" t="n">
        <f aca="false">'Pricing &amp; Mix'!G43*dtc_ship+'Pricing &amp; Mix'!G44*retail_dist+'Pricing &amp; Mix'!G38*ks_fulfil_net</f>
        <v>0</v>
      </c>
      <c r="H12" s="4" t="n">
        <f aca="false">'Pricing &amp; Mix'!H43*dtc_ship+'Pricing &amp; Mix'!H44*retail_dist+'Pricing &amp; Mix'!H38*ks_fulfil_net</f>
        <v>0</v>
      </c>
      <c r="I12" s="4" t="n">
        <f aca="false">'Pricing &amp; Mix'!I43*dtc_ship+'Pricing &amp; Mix'!I44*retail_dist+'Pricing &amp; Mix'!I38*ks_fulfil_net</f>
        <v>0</v>
      </c>
      <c r="J12" s="4" t="n">
        <f aca="false">'Pricing &amp; Mix'!J43*dtc_ship+'Pricing &amp; Mix'!J44*retail_dist+'Pricing &amp; Mix'!J38*ks_fulfil_net</f>
        <v>0</v>
      </c>
      <c r="K12" s="4" t="n">
        <f aca="false">'Pricing &amp; Mix'!K43*dtc_ship+'Pricing &amp; Mix'!K44*retail_dist+'Pricing &amp; Mix'!K38*ks_fulfil_net</f>
        <v>0</v>
      </c>
      <c r="L12" s="4" t="n">
        <f aca="false">'Pricing &amp; Mix'!L43*dtc_ship+'Pricing &amp; Mix'!L44*retail_dist+'Pricing &amp; Mix'!L38*ks_fulfil_net</f>
        <v>0</v>
      </c>
      <c r="M12" s="4" t="n">
        <f aca="false">'Pricing &amp; Mix'!M43*dtc_ship+'Pricing &amp; Mix'!M44*retail_dist+'Pricing &amp; Mix'!M38*ks_fulfil_net</f>
        <v>0</v>
      </c>
      <c r="N12" s="4" t="n">
        <f aca="false">'Pricing &amp; Mix'!N43*dtc_ship+'Pricing &amp; Mix'!N44*retail_dist+'Pricing &amp; Mix'!N38*ks_fulfil_net</f>
        <v>0</v>
      </c>
      <c r="O12" s="4" t="n">
        <f aca="false">'Pricing &amp; Mix'!O43*dtc_ship+'Pricing &amp; Mix'!O44*retail_dist+'Pricing &amp; Mix'!O38*ks_fulfil_net</f>
        <v>12750</v>
      </c>
      <c r="P12" s="4" t="n">
        <f aca="false">'Pricing &amp; Mix'!P43*dtc_ship+'Pricing &amp; Mix'!P44*retail_dist+'Pricing &amp; Mix'!P38*ks_fulfil_net</f>
        <v>9435</v>
      </c>
      <c r="Q12" s="4" t="n">
        <f aca="false">'Pricing &amp; Mix'!Q43*dtc_ship+'Pricing &amp; Mix'!Q44*retail_dist+'Pricing &amp; Mix'!Q38*ks_fulfil_net</f>
        <v>16190</v>
      </c>
      <c r="R12" s="4" t="n">
        <f aca="false">'Pricing &amp; Mix'!R43*dtc_ship+'Pricing &amp; Mix'!R44*retail_dist+'Pricing &amp; Mix'!R38*ks_fulfil_net</f>
        <v>16155</v>
      </c>
      <c r="S12" s="4" t="n">
        <f aca="false">'Pricing &amp; Mix'!S43*dtc_ship+'Pricing &amp; Mix'!S44*retail_dist+'Pricing &amp; Mix'!S38*ks_fulfil_net</f>
        <v>19245</v>
      </c>
      <c r="T12" s="4" t="n">
        <f aca="false">'Pricing &amp; Mix'!T43*dtc_ship+'Pricing &amp; Mix'!T44*retail_dist+'Pricing &amp; Mix'!T38*ks_fulfil_net</f>
        <v>21115</v>
      </c>
      <c r="U12" s="4" t="n">
        <f aca="false">'Pricing &amp; Mix'!U43*dtc_ship+'Pricing &amp; Mix'!U44*retail_dist+'Pricing &amp; Mix'!U38*ks_fulfil_net</f>
        <v>25235</v>
      </c>
      <c r="V12" s="4" t="n">
        <f aca="false">'Pricing &amp; Mix'!V43*dtc_ship+'Pricing &amp; Mix'!V44*retail_dist+'Pricing &amp; Mix'!V38*ks_fulfil_net</f>
        <v>29355</v>
      </c>
      <c r="W12" s="4" t="n">
        <f aca="false">'Pricing &amp; Mix'!W43*dtc_ship+'Pricing &amp; Mix'!W44*retail_dist+'Pricing &amp; Mix'!W38*ks_fulfil_net</f>
        <v>30987.5</v>
      </c>
      <c r="X12" s="4" t="n">
        <f aca="false">'Pricing &amp; Mix'!X43*dtc_ship+'Pricing &amp; Mix'!X44*retail_dist+'Pricing &amp; Mix'!X38*ks_fulfil_net</f>
        <v>31912.5</v>
      </c>
      <c r="Y12" s="4" t="n">
        <f aca="false">'Pricing &amp; Mix'!Y43*dtc_ship+'Pricing &amp; Mix'!Y44*retail_dist+'Pricing &amp; Mix'!Y38*ks_fulfil_net</f>
        <v>30062.5</v>
      </c>
      <c r="Z12" s="4" t="n">
        <f aca="false">'Pricing &amp; Mix'!Z43*dtc_ship+'Pricing &amp; Mix'!Z44*retail_dist+'Pricing &amp; Mix'!Z38*ks_fulfil_net</f>
        <v>33762.5</v>
      </c>
      <c r="AA12" s="4" t="n">
        <f aca="false">'Pricing &amp; Mix'!AA43*dtc_ship+'Pricing &amp; Mix'!AA44*retail_dist+'Pricing &amp; Mix'!AA38*ks_fulfil_net</f>
        <v>48562.5</v>
      </c>
      <c r="AB12" s="4" t="n">
        <f aca="false">'Pricing &amp; Mix'!AB43*dtc_ship+'Pricing &amp; Mix'!AB44*retail_dist+'Pricing &amp; Mix'!AB38*ks_fulfil_net</f>
        <v>68450</v>
      </c>
      <c r="AC12" s="4" t="n">
        <f aca="false">'Pricing &amp; Mix'!AC43*dtc_ship+'Pricing &amp; Mix'!AC44*retail_dist+'Pricing &amp; Mix'!AC38*ks_fulfil_net</f>
        <v>1068000</v>
      </c>
      <c r="AD12" s="4" t="n">
        <f aca="false">'Pricing &amp; Mix'!AD43*dtc_ship+'Pricing &amp; Mix'!AD44*retail_dist+'Pricing &amp; Mix'!AD38*ks_fulfil_net</f>
        <v>2137500</v>
      </c>
      <c r="AE12" s="4" t="n">
        <f aca="false">'Pricing &amp; Mix'!AE43*dtc_ship+'Pricing &amp; Mix'!AE44*retail_dist+'Pricing &amp; Mix'!AE38*ks_fulfil_net</f>
        <v>3420000</v>
      </c>
      <c r="AG12" s="4" t="n">
        <f aca="false">SUMIF($C$3:$AE$3,AG$3,$C12:$AE12)</f>
        <v>0</v>
      </c>
      <c r="AH12" s="4" t="n">
        <f aca="false">SUMIF($C$3:$AE$3,AH$3,$C12:$AE12)</f>
        <v>22185</v>
      </c>
      <c r="AI12" s="4" t="n">
        <f aca="false">SUMIF($C$3:$AE$3,AI$3,$C12:$AE12)</f>
        <v>371032.5</v>
      </c>
      <c r="AJ12" s="4" t="n">
        <f aca="false">SUMIF($C$3:$AE$3,AJ$3,$C12:$AE12)</f>
        <v>1068000</v>
      </c>
      <c r="AK12" s="4" t="n">
        <f aca="false">SUMIF($C$3:$AE$3,AK$3,$C12:$AE12)</f>
        <v>2137500</v>
      </c>
      <c r="AL12" s="4" t="n">
        <f aca="false">SUMIF($C$3:$AE$3,AL$3,$C12:$AE12)</f>
        <v>3420000</v>
      </c>
    </row>
    <row r="13" customFormat="false" ht="15" hidden="false" customHeight="false" outlineLevel="0" collapsed="false">
      <c r="A13" s="0" t="s">
        <v>524</v>
      </c>
      <c r="B13" s="2"/>
      <c r="C13" s="4" t="n">
        <f aca="false">'Revenue Build'!C10*pay_pct+'Pricing &amp; Mix'!C43*pay_fixed</f>
        <v>0</v>
      </c>
      <c r="D13" s="4" t="n">
        <f aca="false">'Revenue Build'!D10*pay_pct+'Pricing &amp; Mix'!D43*pay_fixed</f>
        <v>0</v>
      </c>
      <c r="E13" s="4" t="n">
        <f aca="false">'Revenue Build'!E10*pay_pct+'Pricing &amp; Mix'!E43*pay_fixed</f>
        <v>0</v>
      </c>
      <c r="F13" s="4" t="n">
        <f aca="false">'Revenue Build'!F10*pay_pct+'Pricing &amp; Mix'!F43*pay_fixed</f>
        <v>0</v>
      </c>
      <c r="G13" s="4" t="n">
        <f aca="false">'Revenue Build'!G10*pay_pct+'Pricing &amp; Mix'!G43*pay_fixed</f>
        <v>0</v>
      </c>
      <c r="H13" s="4" t="n">
        <f aca="false">'Revenue Build'!H10*pay_pct+'Pricing &amp; Mix'!H43*pay_fixed</f>
        <v>0</v>
      </c>
      <c r="I13" s="4" t="n">
        <f aca="false">'Revenue Build'!I10*pay_pct+'Pricing &amp; Mix'!I43*pay_fixed</f>
        <v>0</v>
      </c>
      <c r="J13" s="4" t="n">
        <f aca="false">'Revenue Build'!J10*pay_pct+'Pricing &amp; Mix'!J43*pay_fixed</f>
        <v>0</v>
      </c>
      <c r="K13" s="4" t="n">
        <f aca="false">'Revenue Build'!K10*pay_pct+'Pricing &amp; Mix'!K43*pay_fixed</f>
        <v>0</v>
      </c>
      <c r="L13" s="4" t="n">
        <f aca="false">'Revenue Build'!L10*pay_pct+'Pricing &amp; Mix'!L43*pay_fixed</f>
        <v>0</v>
      </c>
      <c r="M13" s="4" t="n">
        <f aca="false">'Revenue Build'!M10*pay_pct+'Pricing &amp; Mix'!M43*pay_fixed</f>
        <v>0</v>
      </c>
      <c r="N13" s="4" t="n">
        <f aca="false">'Revenue Build'!N10*pay_pct+'Pricing &amp; Mix'!N43*pay_fixed</f>
        <v>0</v>
      </c>
      <c r="O13" s="4" t="n">
        <f aca="false">'Revenue Build'!O10*pay_pct+'Pricing &amp; Mix'!O43*pay_fixed</f>
        <v>0</v>
      </c>
      <c r="P13" s="4" t="n">
        <f aca="false">'Revenue Build'!P10*pay_pct+'Pricing &amp; Mix'!P43*pay_fixed</f>
        <v>0</v>
      </c>
      <c r="Q13" s="4" t="n">
        <f aca="false">'Revenue Build'!Q10*pay_pct+'Pricing &amp; Mix'!Q43*pay_fixed</f>
        <v>7069.01625</v>
      </c>
      <c r="R13" s="4" t="n">
        <f aca="false">'Revenue Build'!R10*pay_pct+'Pricing &amp; Mix'!R43*pay_fixed</f>
        <v>7634.53755</v>
      </c>
      <c r="S13" s="4" t="n">
        <f aca="false">'Revenue Build'!S10*pay_pct+'Pricing &amp; Mix'!S43*pay_fixed</f>
        <v>9331.10145</v>
      </c>
      <c r="T13" s="4" t="n">
        <f aca="false">'Revenue Build'!T10*pay_pct+'Pricing &amp; Mix'!T43*pay_fixed</f>
        <v>14459.98455</v>
      </c>
      <c r="U13" s="4" t="n">
        <f aca="false">'Revenue Build'!U10*pay_pct+'Pricing &amp; Mix'!U43*pay_fixed</f>
        <v>17281.44495</v>
      </c>
      <c r="V13" s="4" t="n">
        <f aca="false">'Revenue Build'!V10*pay_pct+'Pricing &amp; Mix'!V43*pay_fixed</f>
        <v>20102.90535</v>
      </c>
      <c r="W13" s="4" t="n">
        <f aca="false">'Revenue Build'!W10*pay_pct+'Pricing &amp; Mix'!W43*pay_fixed</f>
        <v>19691.442375</v>
      </c>
      <c r="X13" s="4" t="n">
        <f aca="false">'Revenue Build'!X10*pay_pct+'Pricing &amp; Mix'!X43*pay_fixed</f>
        <v>20279.246625</v>
      </c>
      <c r="Y13" s="4" t="n">
        <f aca="false">'Revenue Build'!Y10*pay_pct+'Pricing &amp; Mix'!Y43*pay_fixed</f>
        <v>19103.638125</v>
      </c>
      <c r="Z13" s="4" t="n">
        <f aca="false">'Revenue Build'!Z10*pay_pct+'Pricing &amp; Mix'!Z43*pay_fixed</f>
        <v>21454.855125</v>
      </c>
      <c r="AA13" s="4" t="n">
        <f aca="false">'Revenue Build'!AA10*pay_pct+'Pricing &amp; Mix'!AA43*pay_fixed</f>
        <v>30859.723125</v>
      </c>
      <c r="AB13" s="4" t="n">
        <f aca="false">'Revenue Build'!AB10*pay_pct+'Pricing &amp; Mix'!AB43*pay_fixed</f>
        <v>43497.5145</v>
      </c>
      <c r="AC13" s="4" t="n">
        <f aca="false">'Revenue Build'!AC10*pay_pct+'Pricing &amp; Mix'!AC43*pay_fixed</f>
        <v>658340.76</v>
      </c>
      <c r="AD13" s="4" t="n">
        <f aca="false">'Revenue Build'!AD10*pay_pct+'Pricing &amp; Mix'!AD43*pay_fixed</f>
        <v>1273575.875</v>
      </c>
      <c r="AE13" s="4" t="n">
        <f aca="false">'Revenue Build'!AE10*pay_pct+'Pricing &amp; Mix'!AE43*pay_fixed</f>
        <v>2037721.4</v>
      </c>
      <c r="AG13" s="4" t="n">
        <f aca="false">SUMIF($C$3:$AE$3,AG$3,$C13:$AE13)</f>
        <v>0</v>
      </c>
      <c r="AH13" s="4" t="n">
        <f aca="false">SUMIF($C$3:$AE$3,AH$3,$C13:$AE13)</f>
        <v>0</v>
      </c>
      <c r="AI13" s="4" t="n">
        <f aca="false">SUMIF($C$3:$AE$3,AI$3,$C13:$AE13)</f>
        <v>230765.409975</v>
      </c>
      <c r="AJ13" s="4" t="n">
        <f aca="false">SUMIF($C$3:$AE$3,AJ$3,$C13:$AE13)</f>
        <v>658340.76</v>
      </c>
      <c r="AK13" s="4" t="n">
        <f aca="false">SUMIF($C$3:$AE$3,AK$3,$C13:$AE13)</f>
        <v>1273575.875</v>
      </c>
      <c r="AL13" s="4" t="n">
        <f aca="false">SUMIF($C$3:$AE$3,AL$3,$C13:$AE13)</f>
        <v>2037721.4</v>
      </c>
    </row>
    <row r="14" customFormat="false" ht="15" hidden="false" customHeight="false" outlineLevel="0" collapsed="false">
      <c r="A14" s="0" t="s">
        <v>444</v>
      </c>
      <c r="B14" s="2"/>
      <c r="C14" s="4" t="n">
        <f aca="false">'Revenue Build'!C13*warranty_pct</f>
        <v>0</v>
      </c>
      <c r="D14" s="4" t="n">
        <f aca="false">'Revenue Build'!D13*warranty_pct</f>
        <v>0</v>
      </c>
      <c r="E14" s="4" t="n">
        <f aca="false">'Revenue Build'!E13*warranty_pct</f>
        <v>0</v>
      </c>
      <c r="F14" s="4" t="n">
        <f aca="false">'Revenue Build'!F13*warranty_pct</f>
        <v>0</v>
      </c>
      <c r="G14" s="4" t="n">
        <f aca="false">'Revenue Build'!G13*warranty_pct</f>
        <v>0</v>
      </c>
      <c r="H14" s="4" t="n">
        <f aca="false">'Revenue Build'!H13*warranty_pct</f>
        <v>0</v>
      </c>
      <c r="I14" s="4" t="n">
        <f aca="false">'Revenue Build'!I13*warranty_pct</f>
        <v>0</v>
      </c>
      <c r="J14" s="4" t="n">
        <f aca="false">'Revenue Build'!J13*warranty_pct</f>
        <v>0</v>
      </c>
      <c r="K14" s="4" t="n">
        <f aca="false">'Revenue Build'!K13*warranty_pct</f>
        <v>0</v>
      </c>
      <c r="L14" s="4" t="n">
        <f aca="false">'Revenue Build'!L13*warranty_pct</f>
        <v>0</v>
      </c>
      <c r="M14" s="4" t="n">
        <f aca="false">'Revenue Build'!M13*warranty_pct</f>
        <v>0</v>
      </c>
      <c r="N14" s="4" t="n">
        <f aca="false">'Revenue Build'!N13*warranty_pct</f>
        <v>0</v>
      </c>
      <c r="O14" s="4" t="n">
        <f aca="false">'Revenue Build'!O13*warranty_pct</f>
        <v>7248.5</v>
      </c>
      <c r="P14" s="4" t="n">
        <f aca="false">'Revenue Build'!P13*warranty_pct</f>
        <v>5363.89</v>
      </c>
      <c r="Q14" s="4" t="n">
        <f aca="false">'Revenue Build'!Q13*warranty_pct</f>
        <v>6867.26</v>
      </c>
      <c r="R14" s="4" t="n">
        <f aca="false">'Revenue Build'!R13*warranty_pct</f>
        <v>8781.762</v>
      </c>
      <c r="S14" s="4" t="n">
        <f aca="false">'Revenue Build'!S13*warranty_pct</f>
        <v>9977.598</v>
      </c>
      <c r="T14" s="4" t="n">
        <f aca="false">'Revenue Build'!T13*warranty_pct</f>
        <v>10293.542</v>
      </c>
      <c r="U14" s="4" t="n">
        <f aca="false">'Revenue Build'!U13*warranty_pct</f>
        <v>12302.038</v>
      </c>
      <c r="V14" s="4" t="n">
        <f aca="false">'Revenue Build'!V13*warranty_pct</f>
        <v>14310.534</v>
      </c>
      <c r="W14" s="4" t="n">
        <f aca="false">'Revenue Build'!W13*warranty_pct</f>
        <v>15931.93</v>
      </c>
      <c r="X14" s="4" t="n">
        <f aca="false">'Revenue Build'!X13*warranty_pct</f>
        <v>16407.51</v>
      </c>
      <c r="Y14" s="4" t="n">
        <f aca="false">'Revenue Build'!Y13*warranty_pct</f>
        <v>15456.35</v>
      </c>
      <c r="Z14" s="4" t="n">
        <f aca="false">'Revenue Build'!Z13*warranty_pct</f>
        <v>17358.67</v>
      </c>
      <c r="AA14" s="4" t="n">
        <f aca="false">'Revenue Build'!AA13*warranty_pct</f>
        <v>24967.95</v>
      </c>
      <c r="AB14" s="4" t="n">
        <f aca="false">'Revenue Build'!AB13*warranty_pct</f>
        <v>35192.92</v>
      </c>
      <c r="AC14" s="4" t="n">
        <f aca="false">'Revenue Build'!AC13*warranty_pct</f>
        <v>560078.4</v>
      </c>
      <c r="AD14" s="4" t="n">
        <f aca="false">'Revenue Build'!AD13*warranty_pct</f>
        <v>1144710</v>
      </c>
      <c r="AE14" s="4" t="n">
        <f aca="false">'Revenue Build'!AE13*warranty_pct</f>
        <v>1831536</v>
      </c>
      <c r="AG14" s="4" t="n">
        <f aca="false">SUMIF($C$3:$AE$3,AG$3,$C14:$AE14)</f>
        <v>0</v>
      </c>
      <c r="AH14" s="4" t="n">
        <f aca="false">SUMIF($C$3:$AE$3,AH$3,$C14:$AE14)</f>
        <v>12612.39</v>
      </c>
      <c r="AI14" s="4" t="n">
        <f aca="false">SUMIF($C$3:$AE$3,AI$3,$C14:$AE14)</f>
        <v>187848.064</v>
      </c>
      <c r="AJ14" s="4" t="n">
        <f aca="false">SUMIF($C$3:$AE$3,AJ$3,$C14:$AE14)</f>
        <v>560078.4</v>
      </c>
      <c r="AK14" s="4" t="n">
        <f aca="false">SUMIF($C$3:$AE$3,AK$3,$C14:$AE14)</f>
        <v>1144710</v>
      </c>
      <c r="AL14" s="4" t="n">
        <f aca="false">SUMIF($C$3:$AE$3,AL$3,$C14:$AE14)</f>
        <v>1831536</v>
      </c>
    </row>
    <row r="15" customFormat="false" ht="15" hidden="false" customHeight="false" outlineLevel="0" collapsed="false">
      <c r="A15" s="13" t="s">
        <v>525</v>
      </c>
      <c r="B15" s="2"/>
      <c r="C15" s="29" t="n">
        <f aca="false">'Hardware COGS'!C11+'Hardware COGS'!C12+'Hardware COGS'!C13+'Hardware COGS'!C14</f>
        <v>0</v>
      </c>
      <c r="D15" s="29" t="n">
        <f aca="false">'Hardware COGS'!D11+'Hardware COGS'!D12+'Hardware COGS'!D13+'Hardware COGS'!D14</f>
        <v>0</v>
      </c>
      <c r="E15" s="29" t="n">
        <f aca="false">'Hardware COGS'!E11+'Hardware COGS'!E12+'Hardware COGS'!E13+'Hardware COGS'!E14</f>
        <v>0</v>
      </c>
      <c r="F15" s="29" t="n">
        <f aca="false">'Hardware COGS'!F11+'Hardware COGS'!F12+'Hardware COGS'!F13+'Hardware COGS'!F14</f>
        <v>0</v>
      </c>
      <c r="G15" s="29" t="n">
        <f aca="false">'Hardware COGS'!G11+'Hardware COGS'!G12+'Hardware COGS'!G13+'Hardware COGS'!G14</f>
        <v>0</v>
      </c>
      <c r="H15" s="29" t="n">
        <f aca="false">'Hardware COGS'!H11+'Hardware COGS'!H12+'Hardware COGS'!H13+'Hardware COGS'!H14</f>
        <v>0</v>
      </c>
      <c r="I15" s="29" t="n">
        <f aca="false">'Hardware COGS'!I11+'Hardware COGS'!I12+'Hardware COGS'!I13+'Hardware COGS'!I14</f>
        <v>0</v>
      </c>
      <c r="J15" s="29" t="n">
        <f aca="false">'Hardware COGS'!J11+'Hardware COGS'!J12+'Hardware COGS'!J13+'Hardware COGS'!J14</f>
        <v>0</v>
      </c>
      <c r="K15" s="29" t="n">
        <f aca="false">'Hardware COGS'!K11+'Hardware COGS'!K12+'Hardware COGS'!K13+'Hardware COGS'!K14</f>
        <v>0</v>
      </c>
      <c r="L15" s="29" t="n">
        <f aca="false">'Hardware COGS'!L11+'Hardware COGS'!L12+'Hardware COGS'!L13+'Hardware COGS'!L14</f>
        <v>0</v>
      </c>
      <c r="M15" s="29" t="n">
        <f aca="false">'Hardware COGS'!M11+'Hardware COGS'!M12+'Hardware COGS'!M13+'Hardware COGS'!M14</f>
        <v>0</v>
      </c>
      <c r="N15" s="29" t="n">
        <f aca="false">'Hardware COGS'!N11+'Hardware COGS'!N12+'Hardware COGS'!N13+'Hardware COGS'!N14</f>
        <v>0</v>
      </c>
      <c r="O15" s="29" t="n">
        <f aca="false">'Hardware COGS'!O11+'Hardware COGS'!O12+'Hardware COGS'!O13+'Hardware COGS'!O14</f>
        <v>317639.1875</v>
      </c>
      <c r="P15" s="29" t="n">
        <f aca="false">'Hardware COGS'!P11+'Hardware COGS'!P12+'Hardware COGS'!P13+'Hardware COGS'!P14</f>
        <v>235052.99875</v>
      </c>
      <c r="Q15" s="29" t="n">
        <f aca="false">'Hardware COGS'!Q11+'Hardware COGS'!Q12+'Hardware COGS'!Q13+'Hardware COGS'!Q14</f>
        <v>282474.65</v>
      </c>
      <c r="R15" s="29" t="n">
        <f aca="false">'Hardware COGS'!R11+'Hardware COGS'!R12+'Hardware COGS'!R13+'Hardware COGS'!R14</f>
        <v>340552.22565</v>
      </c>
      <c r="S15" s="29" t="n">
        <f aca="false">'Hardware COGS'!S11+'Hardware COGS'!S12+'Hardware COGS'!S13+'Hardware COGS'!S14</f>
        <v>388525.45635</v>
      </c>
      <c r="T15" s="29" t="n">
        <f aca="false">'Hardware COGS'!T11+'Hardware COGS'!T12+'Hardware COGS'!T13+'Hardware COGS'!T14</f>
        <v>387532.08405</v>
      </c>
      <c r="U15" s="29" t="n">
        <f aca="false">'Hardware COGS'!U11+'Hardware COGS'!U12+'Hardware COGS'!U13+'Hardware COGS'!U14</f>
        <v>463148.10045</v>
      </c>
      <c r="V15" s="29" t="n">
        <f aca="false">'Hardware COGS'!V11+'Hardware COGS'!V12+'Hardware COGS'!V13+'Hardware COGS'!V14</f>
        <v>538764.11685</v>
      </c>
      <c r="W15" s="29" t="n">
        <f aca="false">'Hardware COGS'!W11+'Hardware COGS'!W12+'Hardware COGS'!W13+'Hardware COGS'!W14</f>
        <v>597022.71225</v>
      </c>
      <c r="X15" s="29" t="n">
        <f aca="false">'Hardware COGS'!X11+'Hardware COGS'!X12+'Hardware COGS'!X13+'Hardware COGS'!X14</f>
        <v>614844.28575</v>
      </c>
      <c r="Y15" s="29" t="n">
        <f aca="false">'Hardware COGS'!Y11+'Hardware COGS'!Y12+'Hardware COGS'!Y13+'Hardware COGS'!Y14</f>
        <v>579201.13875</v>
      </c>
      <c r="Z15" s="29" t="n">
        <f aca="false">'Hardware COGS'!Z11+'Hardware COGS'!Z12+'Hardware COGS'!Z13+'Hardware COGS'!Z14</f>
        <v>650487.43275</v>
      </c>
      <c r="AA15" s="29" t="n">
        <f aca="false">'Hardware COGS'!AA11+'Hardware COGS'!AA12+'Hardware COGS'!AA13+'Hardware COGS'!AA14</f>
        <v>935632.60875</v>
      </c>
      <c r="AB15" s="29" t="n">
        <f aca="false">'Hardware COGS'!AB11+'Hardware COGS'!AB12+'Hardware COGS'!AB13+'Hardware COGS'!AB14</f>
        <v>1318796.439</v>
      </c>
      <c r="AC15" s="29" t="n">
        <f aca="false">'Hardware COGS'!AC11+'Hardware COGS'!AC12+'Hardware COGS'!AC13+'Hardware COGS'!AC14</f>
        <v>20086257.18</v>
      </c>
      <c r="AD15" s="29" t="n">
        <f aca="false">'Hardware COGS'!AD11+'Hardware COGS'!AD12+'Hardware COGS'!AD13+'Hardware COGS'!AD14</f>
        <v>38722141.625</v>
      </c>
      <c r="AE15" s="29" t="n">
        <f aca="false">'Hardware COGS'!AE11+'Hardware COGS'!AE12+'Hardware COGS'!AE13+'Hardware COGS'!AE14</f>
        <v>59955444.8</v>
      </c>
      <c r="AG15" s="29" t="n">
        <f aca="false">SUMIF($C$3:$AE$3,AG$3,$C15:$AE15)</f>
        <v>0</v>
      </c>
      <c r="AH15" s="29" t="n">
        <f aca="false">SUMIF($C$3:$AE$3,AH$3,$C15:$AE15)</f>
        <v>552692.18625</v>
      </c>
      <c r="AI15" s="29" t="n">
        <f aca="false">SUMIF($C$3:$AE$3,AI$3,$C15:$AE15)</f>
        <v>7096981.2506</v>
      </c>
      <c r="AJ15" s="29" t="n">
        <f aca="false">SUMIF($C$3:$AE$3,AJ$3,$C15:$AE15)</f>
        <v>20086257.18</v>
      </c>
      <c r="AK15" s="29" t="n">
        <f aca="false">SUMIF($C$3:$AE$3,AK$3,$C15:$AE15)</f>
        <v>38722141.625</v>
      </c>
      <c r="AL15" s="29" t="n">
        <f aca="false">SUMIF($C$3:$AE$3,AL$3,$C15:$AE15)</f>
        <v>59955444.8</v>
      </c>
    </row>
    <row r="16" customFormat="false" ht="15" hidden="false" customHeight="false" outlineLevel="0" collapsed="false">
      <c r="A16" s="0" t="s">
        <v>526</v>
      </c>
      <c r="B16" s="2"/>
      <c r="C16" s="4" t="n">
        <f aca="false">'Revenue Build'!C20*acc_cogs_pct</f>
        <v>0</v>
      </c>
      <c r="D16" s="4" t="n">
        <f aca="false">'Revenue Build'!D20*acc_cogs_pct</f>
        <v>0</v>
      </c>
      <c r="E16" s="4" t="n">
        <f aca="false">'Revenue Build'!E20*acc_cogs_pct</f>
        <v>0</v>
      </c>
      <c r="F16" s="4" t="n">
        <f aca="false">'Revenue Build'!F20*acc_cogs_pct</f>
        <v>0</v>
      </c>
      <c r="G16" s="4" t="n">
        <f aca="false">'Revenue Build'!G20*acc_cogs_pct</f>
        <v>0</v>
      </c>
      <c r="H16" s="4" t="n">
        <f aca="false">'Revenue Build'!H20*acc_cogs_pct</f>
        <v>0</v>
      </c>
      <c r="I16" s="4" t="n">
        <f aca="false">'Revenue Build'!I20*acc_cogs_pct</f>
        <v>0</v>
      </c>
      <c r="J16" s="4" t="n">
        <f aca="false">'Revenue Build'!J20*acc_cogs_pct</f>
        <v>0</v>
      </c>
      <c r="K16" s="4" t="n">
        <f aca="false">'Revenue Build'!K20*acc_cogs_pct</f>
        <v>0</v>
      </c>
      <c r="L16" s="4" t="n">
        <f aca="false">'Revenue Build'!L20*acc_cogs_pct</f>
        <v>0</v>
      </c>
      <c r="M16" s="4" t="n">
        <f aca="false">'Revenue Build'!M20*acc_cogs_pct</f>
        <v>0</v>
      </c>
      <c r="N16" s="4" t="n">
        <f aca="false">'Revenue Build'!N20*acc_cogs_pct</f>
        <v>0</v>
      </c>
      <c r="O16" s="4" t="n">
        <f aca="false">'Revenue Build'!O20*acc_cogs_pct</f>
        <v>10901.25</v>
      </c>
      <c r="P16" s="4" t="n">
        <f aca="false">'Revenue Build'!P20*acc_cogs_pct</f>
        <v>8066.925</v>
      </c>
      <c r="Q16" s="4" t="n">
        <f aca="false">'Revenue Build'!Q20*acc_cogs_pct</f>
        <v>9246.825</v>
      </c>
      <c r="R16" s="4" t="n">
        <f aca="false">'Revenue Build'!R20*acc_cogs_pct</f>
        <v>8849.25</v>
      </c>
      <c r="S16" s="4" t="n">
        <f aca="false">'Revenue Build'!S20*acc_cogs_pct</f>
        <v>10388.25</v>
      </c>
      <c r="T16" s="4" t="n">
        <f aca="false">'Revenue Build'!T20*acc_cogs_pct</f>
        <v>10516.5</v>
      </c>
      <c r="U16" s="4" t="n">
        <f aca="false">'Revenue Build'!U20*acc_cogs_pct</f>
        <v>12568.5</v>
      </c>
      <c r="V16" s="4" t="n">
        <f aca="false">'Revenue Build'!V20*acc_cogs_pct</f>
        <v>14620.5</v>
      </c>
      <c r="W16" s="4" t="n">
        <f aca="false">'Revenue Build'!W20*acc_cogs_pct</f>
        <v>17185.5</v>
      </c>
      <c r="X16" s="4" t="n">
        <f aca="false">'Revenue Build'!X20*acc_cogs_pct</f>
        <v>17698.5</v>
      </c>
      <c r="Y16" s="4" t="n">
        <f aca="false">'Revenue Build'!Y20*acc_cogs_pct</f>
        <v>16672.5</v>
      </c>
      <c r="Z16" s="4" t="n">
        <f aca="false">'Revenue Build'!Z20*acc_cogs_pct</f>
        <v>18724.5</v>
      </c>
      <c r="AA16" s="4" t="n">
        <f aca="false">'Revenue Build'!AA20*acc_cogs_pct</f>
        <v>26932.5</v>
      </c>
      <c r="AB16" s="4" t="n">
        <f aca="false">'Revenue Build'!AB20*acc_cogs_pct</f>
        <v>37962</v>
      </c>
      <c r="AC16" s="4" t="n">
        <f aca="false">'Revenue Build'!AC20*acc_cogs_pct</f>
        <v>615600</v>
      </c>
      <c r="AD16" s="4" t="n">
        <f aca="false">'Revenue Build'!AD20*acc_cogs_pct</f>
        <v>1282500</v>
      </c>
      <c r="AE16" s="4" t="n">
        <f aca="false">'Revenue Build'!AE20*acc_cogs_pct</f>
        <v>2052000</v>
      </c>
      <c r="AG16" s="4" t="n">
        <f aca="false">SUMIF($C$3:$AE$3,AG$3,$C16:$AE16)</f>
        <v>0</v>
      </c>
      <c r="AH16" s="4" t="n">
        <f aca="false">SUMIF($C$3:$AE$3,AH$3,$C16:$AE16)</f>
        <v>18968.175</v>
      </c>
      <c r="AI16" s="4" t="n">
        <f aca="false">SUMIF($C$3:$AE$3,AI$3,$C16:$AE16)</f>
        <v>201365.325</v>
      </c>
      <c r="AJ16" s="4" t="n">
        <f aca="false">SUMIF($C$3:$AE$3,AJ$3,$C16:$AE16)</f>
        <v>615600</v>
      </c>
      <c r="AK16" s="4" t="n">
        <f aca="false">SUMIF($C$3:$AE$3,AK$3,$C16:$AE16)</f>
        <v>1282500</v>
      </c>
      <c r="AL16" s="4" t="n">
        <f aca="false">SUMIF($C$3:$AE$3,AL$3,$C16:$AE16)</f>
        <v>2052000</v>
      </c>
    </row>
    <row r="17" customFormat="false" ht="15" hidden="false" customHeight="false" outlineLevel="0" collapsed="false">
      <c r="A17" s="0" t="s">
        <v>17</v>
      </c>
      <c r="B17" s="2" t="s">
        <v>58</v>
      </c>
      <c r="C17" s="5" t="n">
        <f aca="false">IF('Revenue Build'!C15&gt;0,1-'Hardware COGS'!C15/'Revenue Build'!C15,0)</f>
        <v>0</v>
      </c>
      <c r="D17" s="5" t="n">
        <f aca="false">IF('Revenue Build'!D15&gt;0,1-'Hardware COGS'!D15/'Revenue Build'!D15,0)</f>
        <v>0</v>
      </c>
      <c r="E17" s="5" t="n">
        <f aca="false">IF('Revenue Build'!E15&gt;0,1-'Hardware COGS'!E15/'Revenue Build'!E15,0)</f>
        <v>0</v>
      </c>
      <c r="F17" s="5" t="n">
        <f aca="false">IF('Revenue Build'!F15&gt;0,1-'Hardware COGS'!F15/'Revenue Build'!F15,0)</f>
        <v>0</v>
      </c>
      <c r="G17" s="5" t="n">
        <f aca="false">IF('Revenue Build'!G15&gt;0,1-'Hardware COGS'!G15/'Revenue Build'!G15,0)</f>
        <v>0</v>
      </c>
      <c r="H17" s="5" t="n">
        <f aca="false">IF('Revenue Build'!H15&gt;0,1-'Hardware COGS'!H15/'Revenue Build'!H15,0)</f>
        <v>0</v>
      </c>
      <c r="I17" s="5" t="n">
        <f aca="false">IF('Revenue Build'!I15&gt;0,1-'Hardware COGS'!I15/'Revenue Build'!I15,0)</f>
        <v>0</v>
      </c>
      <c r="J17" s="5" t="n">
        <f aca="false">IF('Revenue Build'!J15&gt;0,1-'Hardware COGS'!J15/'Revenue Build'!J15,0)</f>
        <v>0</v>
      </c>
      <c r="K17" s="5" t="n">
        <f aca="false">IF('Revenue Build'!K15&gt;0,1-'Hardware COGS'!K15/'Revenue Build'!K15,0)</f>
        <v>0</v>
      </c>
      <c r="L17" s="5" t="n">
        <f aca="false">IF('Revenue Build'!L15&gt;0,1-'Hardware COGS'!L15/'Revenue Build'!L15,0)</f>
        <v>0</v>
      </c>
      <c r="M17" s="5" t="n">
        <f aca="false">IF('Revenue Build'!M15&gt;0,1-'Hardware COGS'!M15/'Revenue Build'!M15,0)</f>
        <v>0</v>
      </c>
      <c r="N17" s="5" t="n">
        <f aca="false">IF('Revenue Build'!N15&gt;0,1-'Hardware COGS'!N15/'Revenue Build'!N15,0)</f>
        <v>0</v>
      </c>
      <c r="O17" s="5" t="n">
        <f aca="false">IF('Revenue Build'!O15&gt;0,1-'Hardware COGS'!O15/'Revenue Build'!O15,0)</f>
        <v>0.0870548288726402</v>
      </c>
      <c r="P17" s="5" t="n">
        <f aca="false">IF('Revenue Build'!P15&gt;0,1-'Hardware COGS'!P15/'Revenue Build'!P15,0)</f>
        <v>0.0870548288726403</v>
      </c>
      <c r="Q17" s="5" t="n">
        <f aca="false">IF('Revenue Build'!Q15&gt;0,1-'Hardware COGS'!Q15/'Revenue Build'!Q15,0)</f>
        <v>0.143051443855822</v>
      </c>
      <c r="R17" s="5" t="n">
        <f aca="false">IF('Revenue Build'!R15&gt;0,1-'Hardware COGS'!R15/'Revenue Build'!R15,0)</f>
        <v>0.192094020041194</v>
      </c>
      <c r="S17" s="5" t="n">
        <f aca="false">IF('Revenue Build'!S15&gt;0,1-'Hardware COGS'!S15/'Revenue Build'!S15,0)</f>
        <v>0.188754614023836</v>
      </c>
      <c r="T17" s="5" t="n">
        <f aca="false">IF('Revenue Build'!T15&gt;0,1-'Hardware COGS'!T15/'Revenue Build'!T15,0)</f>
        <v>0.215665017505636</v>
      </c>
      <c r="U17" s="5" t="n">
        <f aca="false">IF('Revenue Build'!U15&gt;0,1-'Hardware COGS'!U15/'Revenue Build'!U15,0)</f>
        <v>0.215665017505636</v>
      </c>
      <c r="V17" s="5" t="n">
        <f aca="false">IF('Revenue Build'!V15&gt;0,1-'Hardware COGS'!V15/'Revenue Build'!V15,0)</f>
        <v>0.215665017505636</v>
      </c>
      <c r="W17" s="5" t="n">
        <f aca="false">IF('Revenue Build'!W15&gt;0,1-'Hardware COGS'!W15/'Revenue Build'!W15,0)</f>
        <v>0.219305308780857</v>
      </c>
      <c r="X17" s="5" t="n">
        <f aca="false">IF('Revenue Build'!X15&gt;0,1-'Hardware COGS'!X15/'Revenue Build'!X15,0)</f>
        <v>0.219305308780857</v>
      </c>
      <c r="Y17" s="5" t="n">
        <f aca="false">IF('Revenue Build'!Y15&gt;0,1-'Hardware COGS'!Y15/'Revenue Build'!Y15,0)</f>
        <v>0.219305308780857</v>
      </c>
      <c r="Z17" s="5" t="n">
        <f aca="false">IF('Revenue Build'!Z15&gt;0,1-'Hardware COGS'!Z15/'Revenue Build'!Z15,0)</f>
        <v>0.219305308780857</v>
      </c>
      <c r="AA17" s="5" t="n">
        <f aca="false">IF('Revenue Build'!AA15&gt;0,1-'Hardware COGS'!AA15/'Revenue Build'!AA15,0)</f>
        <v>0.219305308780857</v>
      </c>
      <c r="AB17" s="5" t="n">
        <f aca="false">IF('Revenue Build'!AB15&gt;0,1-'Hardware COGS'!AB15/'Revenue Build'!AB15,0)</f>
        <v>0.219305308780857</v>
      </c>
      <c r="AC17" s="5" t="n">
        <f aca="false">IF('Revenue Build'!AC15&gt;0,1-'Hardware COGS'!AC15/'Revenue Build'!AC15,0)</f>
        <v>0.252848009760776</v>
      </c>
      <c r="AD17" s="5" t="n">
        <f aca="false">IF('Revenue Build'!AD15&gt;0,1-'Hardware COGS'!AD15/'Revenue Build'!AD15,0)</f>
        <v>0.295270169864711</v>
      </c>
      <c r="AE17" s="5" t="n">
        <f aca="false">IF('Revenue Build'!AE15&gt;0,1-'Hardware COGS'!AE15/'Revenue Build'!AE15,0)</f>
        <v>0.318019538427491</v>
      </c>
      <c r="AG17" s="5" t="n">
        <f aca="false">IF('Revenue Build'!AG15&gt;0,1-AG15/'Revenue Build'!AG15,0)</f>
        <v>0</v>
      </c>
      <c r="AH17" s="5" t="n">
        <f aca="false">IF('Revenue Build'!AH15&gt;0,1-AH15/'Revenue Build'!AH15,0)</f>
        <v>0.0870548288726403</v>
      </c>
      <c r="AI17" s="5" t="n">
        <f aca="false">IF('Revenue Build'!AI15&gt;0,1-AI15/'Revenue Build'!AI15,0)</f>
        <v>0.212907639792515</v>
      </c>
      <c r="AJ17" s="5" t="n">
        <f aca="false">IF('Revenue Build'!AJ15&gt;0,1-AJ15/'Revenue Build'!AJ15,0)</f>
        <v>0.252848009760776</v>
      </c>
      <c r="AK17" s="5" t="n">
        <f aca="false">IF('Revenue Build'!AK15&gt;0,1-AK15/'Revenue Build'!AK15,0)</f>
        <v>0.295270169864711</v>
      </c>
      <c r="AL17" s="5" t="n">
        <f aca="false">IF('Revenue Build'!AL15&gt;0,1-AL15/'Revenue Build'!AL15,0)</f>
        <v>0.318019538427491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527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8" customFormat="false" ht="15" hidden="false" customHeight="false" outlineLevel="0" collapsed="false">
      <c r="A8" s="0" t="s">
        <v>528</v>
      </c>
      <c r="B8" s="2"/>
      <c r="C8" s="36" t="n">
        <f aca="false">1</f>
        <v>1</v>
      </c>
      <c r="D8" s="36" t="n">
        <f aca="false">1</f>
        <v>1</v>
      </c>
      <c r="E8" s="36" t="n">
        <f aca="false">1</f>
        <v>1</v>
      </c>
      <c r="F8" s="36" t="n">
        <f aca="false">1</f>
        <v>1</v>
      </c>
      <c r="G8" s="36" t="n">
        <f aca="false">1</f>
        <v>1</v>
      </c>
      <c r="H8" s="36" t="n">
        <f aca="false">1</f>
        <v>1</v>
      </c>
      <c r="I8" s="36" t="n">
        <f aca="false">1</f>
        <v>1</v>
      </c>
      <c r="J8" s="36" t="n">
        <f aca="false">1</f>
        <v>1</v>
      </c>
      <c r="K8" s="36" t="n">
        <f aca="false">1</f>
        <v>1</v>
      </c>
      <c r="L8" s="36" t="n">
        <f aca="false">1</f>
        <v>1</v>
      </c>
      <c r="M8" s="36" t="n">
        <f aca="false">1</f>
        <v>1</v>
      </c>
      <c r="N8" s="36" t="n">
        <f aca="false">1</f>
        <v>1</v>
      </c>
      <c r="O8" s="36" t="n">
        <f aca="false">1</f>
        <v>1</v>
      </c>
      <c r="P8" s="36" t="n">
        <f aca="false">1</f>
        <v>1</v>
      </c>
      <c r="Q8" s="36" t="n">
        <f aca="false">1</f>
        <v>1</v>
      </c>
      <c r="R8" s="36" t="n">
        <f aca="false">1</f>
        <v>1</v>
      </c>
      <c r="S8" s="36" t="n">
        <f aca="false">1</f>
        <v>1</v>
      </c>
      <c r="T8" s="36" t="n">
        <f aca="false">1</f>
        <v>1</v>
      </c>
      <c r="U8" s="36" t="n">
        <f aca="false">1</f>
        <v>1</v>
      </c>
      <c r="V8" s="36" t="n">
        <f aca="false">1</f>
        <v>1</v>
      </c>
      <c r="W8" s="36" t="n">
        <f aca="false">1</f>
        <v>1</v>
      </c>
      <c r="X8" s="36" t="n">
        <f aca="false">1</f>
        <v>1</v>
      </c>
      <c r="Y8" s="36" t="n">
        <f aca="false">1</f>
        <v>1</v>
      </c>
      <c r="Z8" s="36" t="n">
        <f aca="false">1</f>
        <v>1</v>
      </c>
      <c r="AA8" s="36" t="n">
        <f aca="false">1</f>
        <v>1</v>
      </c>
      <c r="AB8" s="36" t="n">
        <f aca="false">1</f>
        <v>1</v>
      </c>
      <c r="AC8" s="36" t="n">
        <f aca="false">(1-ai_defl)^(2029-2028)</f>
        <v>0.8</v>
      </c>
      <c r="AD8" s="36" t="n">
        <f aca="false">(1-ai_defl)^(2030-2028)</f>
        <v>0.64</v>
      </c>
      <c r="AE8" s="36" t="n">
        <f aca="false">(1-ai_defl)^(2031-2028)</f>
        <v>0.512</v>
      </c>
    </row>
    <row r="9" customFormat="false" ht="15" hidden="false" customHeight="false" outlineLevel="0" collapsed="false">
      <c r="A9" s="0" t="s">
        <v>529</v>
      </c>
      <c r="B9" s="2"/>
      <c r="C9" s="36" t="n">
        <f aca="false">1</f>
        <v>1</v>
      </c>
      <c r="D9" s="36" t="n">
        <f aca="false">1</f>
        <v>1</v>
      </c>
      <c r="E9" s="36" t="n">
        <f aca="false">1</f>
        <v>1</v>
      </c>
      <c r="F9" s="36" t="n">
        <f aca="false">1</f>
        <v>1</v>
      </c>
      <c r="G9" s="36" t="n">
        <f aca="false">1</f>
        <v>1</v>
      </c>
      <c r="H9" s="36" t="n">
        <f aca="false">1</f>
        <v>1</v>
      </c>
      <c r="I9" s="36" t="n">
        <f aca="false">1</f>
        <v>1</v>
      </c>
      <c r="J9" s="36" t="n">
        <f aca="false">1</f>
        <v>1</v>
      </c>
      <c r="K9" s="36" t="n">
        <f aca="false">1</f>
        <v>1</v>
      </c>
      <c r="L9" s="36" t="n">
        <f aca="false">1</f>
        <v>1</v>
      </c>
      <c r="M9" s="36" t="n">
        <f aca="false">1</f>
        <v>1</v>
      </c>
      <c r="N9" s="36" t="n">
        <f aca="false">1</f>
        <v>1</v>
      </c>
      <c r="O9" s="36" t="n">
        <f aca="false">1</f>
        <v>1</v>
      </c>
      <c r="P9" s="36" t="n">
        <f aca="false">1</f>
        <v>1</v>
      </c>
      <c r="Q9" s="36" t="n">
        <f aca="false">1</f>
        <v>1</v>
      </c>
      <c r="R9" s="36" t="n">
        <f aca="false">1</f>
        <v>1</v>
      </c>
      <c r="S9" s="36" t="n">
        <f aca="false">1</f>
        <v>1</v>
      </c>
      <c r="T9" s="36" t="n">
        <f aca="false">1</f>
        <v>1</v>
      </c>
      <c r="U9" s="36" t="n">
        <f aca="false">1</f>
        <v>1</v>
      </c>
      <c r="V9" s="36" t="n">
        <f aca="false">1</f>
        <v>1</v>
      </c>
      <c r="W9" s="36" t="n">
        <f aca="false">1</f>
        <v>1</v>
      </c>
      <c r="X9" s="36" t="n">
        <f aca="false">1</f>
        <v>1</v>
      </c>
      <c r="Y9" s="36" t="n">
        <f aca="false">1</f>
        <v>1</v>
      </c>
      <c r="Z9" s="36" t="n">
        <f aca="false">1</f>
        <v>1</v>
      </c>
      <c r="AA9" s="36" t="n">
        <f aca="false">1</f>
        <v>1</v>
      </c>
      <c r="AB9" s="36" t="n">
        <f aca="false">1</f>
        <v>1</v>
      </c>
      <c r="AC9" s="36" t="n">
        <f aca="false">(1-data_defl)^(2029-2028)</f>
        <v>0.92</v>
      </c>
      <c r="AD9" s="36" t="n">
        <f aca="false">(1-data_defl)^(2030-2028)</f>
        <v>0.8464</v>
      </c>
      <c r="AE9" s="36" t="n">
        <f aca="false">(1-data_defl)^(2031-2028)</f>
        <v>0.778688</v>
      </c>
    </row>
    <row r="10" customFormat="false" ht="15" hidden="false" customHeight="false" outlineLevel="0" collapsed="false">
      <c r="A10" s="0" t="s">
        <v>530</v>
      </c>
      <c r="B10" s="2" t="s">
        <v>50</v>
      </c>
      <c r="C10" s="28" t="n">
        <f aca="false">(llm_cost+stt_cost+tts_cost)*'Cloud &amp; AI COGS'!C8+infra_cost+data_gb_used*data_cost_gb*'Cloud &amp; AI COGS'!C9*'Subscription Cohorts'!C32</f>
        <v>1.9264</v>
      </c>
      <c r="D10" s="28" t="n">
        <f aca="false">(llm_cost+stt_cost+tts_cost)*'Cloud &amp; AI COGS'!D8+infra_cost+data_gb_used*data_cost_gb*'Cloud &amp; AI COGS'!D9*'Subscription Cohorts'!D32</f>
        <v>1.9264</v>
      </c>
      <c r="E10" s="28" t="n">
        <f aca="false">(llm_cost+stt_cost+tts_cost)*'Cloud &amp; AI COGS'!E8+infra_cost+data_gb_used*data_cost_gb*'Cloud &amp; AI COGS'!E9*'Subscription Cohorts'!E32</f>
        <v>1.9264</v>
      </c>
      <c r="F10" s="28" t="n">
        <f aca="false">(llm_cost+stt_cost+tts_cost)*'Cloud &amp; AI COGS'!F8+infra_cost+data_gb_used*data_cost_gb*'Cloud &amp; AI COGS'!F9*'Subscription Cohorts'!F32</f>
        <v>1.9264</v>
      </c>
      <c r="G10" s="28" t="n">
        <f aca="false">(llm_cost+stt_cost+tts_cost)*'Cloud &amp; AI COGS'!G8+infra_cost+data_gb_used*data_cost_gb*'Cloud &amp; AI COGS'!G9*'Subscription Cohorts'!G32</f>
        <v>1.9264</v>
      </c>
      <c r="H10" s="28" t="n">
        <f aca="false">(llm_cost+stt_cost+tts_cost)*'Cloud &amp; AI COGS'!H8+infra_cost+data_gb_used*data_cost_gb*'Cloud &amp; AI COGS'!H9*'Subscription Cohorts'!H32</f>
        <v>1.9264</v>
      </c>
      <c r="I10" s="28" t="n">
        <f aca="false">(llm_cost+stt_cost+tts_cost)*'Cloud &amp; AI COGS'!I8+infra_cost+data_gb_used*data_cost_gb*'Cloud &amp; AI COGS'!I9*'Subscription Cohorts'!I32</f>
        <v>1.9264</v>
      </c>
      <c r="J10" s="28" t="n">
        <f aca="false">(llm_cost+stt_cost+tts_cost)*'Cloud &amp; AI COGS'!J8+infra_cost+data_gb_used*data_cost_gb*'Cloud &amp; AI COGS'!J9*'Subscription Cohorts'!J32</f>
        <v>1.9264</v>
      </c>
      <c r="K10" s="28" t="n">
        <f aca="false">(llm_cost+stt_cost+tts_cost)*'Cloud &amp; AI COGS'!K8+infra_cost+data_gb_used*data_cost_gb*'Cloud &amp; AI COGS'!K9*'Subscription Cohorts'!K32</f>
        <v>1.9264</v>
      </c>
      <c r="L10" s="28" t="n">
        <f aca="false">(llm_cost+stt_cost+tts_cost)*'Cloud &amp; AI COGS'!L8+infra_cost+data_gb_used*data_cost_gb*'Cloud &amp; AI COGS'!L9*'Subscription Cohorts'!L32</f>
        <v>1.9264</v>
      </c>
      <c r="M10" s="28" t="n">
        <f aca="false">(llm_cost+stt_cost+tts_cost)*'Cloud &amp; AI COGS'!M8+infra_cost+data_gb_used*data_cost_gb*'Cloud &amp; AI COGS'!M9*'Subscription Cohorts'!M32</f>
        <v>1.9264</v>
      </c>
      <c r="N10" s="28" t="n">
        <f aca="false">(llm_cost+stt_cost+tts_cost)*'Cloud &amp; AI COGS'!N8+infra_cost+data_gb_used*data_cost_gb*'Cloud &amp; AI COGS'!N9*'Subscription Cohorts'!N32</f>
        <v>1.9264</v>
      </c>
      <c r="O10" s="28" t="n">
        <f aca="false">(llm_cost+stt_cost+tts_cost)*'Cloud &amp; AI COGS'!O8+infra_cost+data_gb_used*data_cost_gb*'Cloud &amp; AI COGS'!O9*'Subscription Cohorts'!O32</f>
        <v>1.9264</v>
      </c>
      <c r="P10" s="28" t="n">
        <f aca="false">(llm_cost+stt_cost+tts_cost)*'Cloud &amp; AI COGS'!P8+infra_cost+data_gb_used*data_cost_gb*'Cloud &amp; AI COGS'!P9*'Subscription Cohorts'!P32</f>
        <v>1.9264</v>
      </c>
      <c r="Q10" s="28" t="n">
        <f aca="false">(llm_cost+stt_cost+tts_cost)*'Cloud &amp; AI COGS'!Q8+infra_cost+data_gb_used*data_cost_gb*'Cloud &amp; AI COGS'!Q9*'Subscription Cohorts'!Q32</f>
        <v>1.9264</v>
      </c>
      <c r="R10" s="28" t="n">
        <f aca="false">(llm_cost+stt_cost+tts_cost)*'Cloud &amp; AI COGS'!R8+infra_cost+data_gb_used*data_cost_gb*'Cloud &amp; AI COGS'!R9*'Subscription Cohorts'!R32</f>
        <v>1.9264</v>
      </c>
      <c r="S10" s="28" t="n">
        <f aca="false">(llm_cost+stt_cost+tts_cost)*'Cloud &amp; AI COGS'!S8+infra_cost+data_gb_used*data_cost_gb*'Cloud &amp; AI COGS'!S9*'Subscription Cohorts'!S32</f>
        <v>1.9264</v>
      </c>
      <c r="T10" s="28" t="n">
        <f aca="false">(llm_cost+stt_cost+tts_cost)*'Cloud &amp; AI COGS'!T8+infra_cost+data_gb_used*data_cost_gb*'Cloud &amp; AI COGS'!T9*'Subscription Cohorts'!T32</f>
        <v>2.016</v>
      </c>
      <c r="U10" s="28" t="n">
        <f aca="false">(llm_cost+stt_cost+tts_cost)*'Cloud &amp; AI COGS'!U8+infra_cost+data_gb_used*data_cost_gb*'Cloud &amp; AI COGS'!U9*'Subscription Cohorts'!U32</f>
        <v>2.016</v>
      </c>
      <c r="V10" s="28" t="n">
        <f aca="false">(llm_cost+stt_cost+tts_cost)*'Cloud &amp; AI COGS'!V8+infra_cost+data_gb_used*data_cost_gb*'Cloud &amp; AI COGS'!V9*'Subscription Cohorts'!V32</f>
        <v>2.016</v>
      </c>
      <c r="W10" s="28" t="n">
        <f aca="false">(llm_cost+stt_cost+tts_cost)*'Cloud &amp; AI COGS'!W8+infra_cost+data_gb_used*data_cost_gb*'Cloud &amp; AI COGS'!W9*'Subscription Cohorts'!W32</f>
        <v>2.016</v>
      </c>
      <c r="X10" s="28" t="n">
        <f aca="false">(llm_cost+stt_cost+tts_cost)*'Cloud &amp; AI COGS'!X8+infra_cost+data_gb_used*data_cost_gb*'Cloud &amp; AI COGS'!X9*'Subscription Cohorts'!X32</f>
        <v>2.016</v>
      </c>
      <c r="Y10" s="28" t="n">
        <f aca="false">(llm_cost+stt_cost+tts_cost)*'Cloud &amp; AI COGS'!Y8+infra_cost+data_gb_used*data_cost_gb*'Cloud &amp; AI COGS'!Y9*'Subscription Cohorts'!Y32</f>
        <v>2.016</v>
      </c>
      <c r="Z10" s="28" t="n">
        <f aca="false">(llm_cost+stt_cost+tts_cost)*'Cloud &amp; AI COGS'!Z8+infra_cost+data_gb_used*data_cost_gb*'Cloud &amp; AI COGS'!Z9*'Subscription Cohorts'!Z32</f>
        <v>2.016</v>
      </c>
      <c r="AA10" s="28" t="n">
        <f aca="false">(llm_cost+stt_cost+tts_cost)*'Cloud &amp; AI COGS'!AA8+infra_cost+data_gb_used*data_cost_gb*'Cloud &amp; AI COGS'!AA9*'Subscription Cohorts'!AA32</f>
        <v>2.016</v>
      </c>
      <c r="AB10" s="28" t="n">
        <f aca="false">(llm_cost+stt_cost+tts_cost)*'Cloud &amp; AI COGS'!AB8+infra_cost+data_gb_used*data_cost_gb*'Cloud &amp; AI COGS'!AB9*'Subscription Cohorts'!AB32</f>
        <v>2.016</v>
      </c>
      <c r="AC10" s="28" t="n">
        <f aca="false">(llm_cost+stt_cost+tts_cost)*'Cloud &amp; AI COGS'!AC8+infra_cost+data_gb_used*data_cost_gb*'Cloud &amp; AI COGS'!AC9*'Subscription Cohorts'!AC32</f>
        <v>1.73672</v>
      </c>
      <c r="AD10" s="28" t="n">
        <f aca="false">(llm_cost+stt_cost+tts_cost)*'Cloud &amp; AI COGS'!AD8+infra_cost+data_gb_used*data_cost_gb*'Cloud &amp; AI COGS'!AD9*'Subscription Cohorts'!AD32</f>
        <v>1.5073824</v>
      </c>
      <c r="AE10" s="28" t="n">
        <f aca="false">(llm_cost+stt_cost+tts_cost)*'Cloud &amp; AI COGS'!AE8+infra_cost+data_gb_used*data_cost_gb*'Cloud &amp; AI COGS'!AE9*'Subscription Cohorts'!AE32</f>
        <v>1.318471808</v>
      </c>
    </row>
    <row r="11" customFormat="false" ht="15" hidden="false" customHeight="false" outlineLevel="0" collapsed="false">
      <c r="A11" s="0" t="s">
        <v>531</v>
      </c>
      <c r="B11" s="2" t="s">
        <v>50</v>
      </c>
      <c r="C11" s="28" t="n">
        <f aca="false">trip_data_gb*data_cost_gb*'Cloud &amp; AI COGS'!C9+trip_ai*'Cloud &amp; AI COGS'!C8+sub_pay_fee*trip_price*sc_price</f>
        <v>7.36</v>
      </c>
      <c r="D11" s="28" t="n">
        <f aca="false">trip_data_gb*data_cost_gb*'Cloud &amp; AI COGS'!D9+trip_ai*'Cloud &amp; AI COGS'!D8+sub_pay_fee*trip_price*sc_price</f>
        <v>7.36</v>
      </c>
      <c r="E11" s="28" t="n">
        <f aca="false">trip_data_gb*data_cost_gb*'Cloud &amp; AI COGS'!E9+trip_ai*'Cloud &amp; AI COGS'!E8+sub_pay_fee*trip_price*sc_price</f>
        <v>7.36</v>
      </c>
      <c r="F11" s="28" t="n">
        <f aca="false">trip_data_gb*data_cost_gb*'Cloud &amp; AI COGS'!F9+trip_ai*'Cloud &amp; AI COGS'!F8+sub_pay_fee*trip_price*sc_price</f>
        <v>7.36</v>
      </c>
      <c r="G11" s="28" t="n">
        <f aca="false">trip_data_gb*data_cost_gb*'Cloud &amp; AI COGS'!G9+trip_ai*'Cloud &amp; AI COGS'!G8+sub_pay_fee*trip_price*sc_price</f>
        <v>7.36</v>
      </c>
      <c r="H11" s="28" t="n">
        <f aca="false">trip_data_gb*data_cost_gb*'Cloud &amp; AI COGS'!H9+trip_ai*'Cloud &amp; AI COGS'!H8+sub_pay_fee*trip_price*sc_price</f>
        <v>7.36</v>
      </c>
      <c r="I11" s="28" t="n">
        <f aca="false">trip_data_gb*data_cost_gb*'Cloud &amp; AI COGS'!I9+trip_ai*'Cloud &amp; AI COGS'!I8+sub_pay_fee*trip_price*sc_price</f>
        <v>7.36</v>
      </c>
      <c r="J11" s="28" t="n">
        <f aca="false">trip_data_gb*data_cost_gb*'Cloud &amp; AI COGS'!J9+trip_ai*'Cloud &amp; AI COGS'!J8+sub_pay_fee*trip_price*sc_price</f>
        <v>7.36</v>
      </c>
      <c r="K11" s="28" t="n">
        <f aca="false">trip_data_gb*data_cost_gb*'Cloud &amp; AI COGS'!K9+trip_ai*'Cloud &amp; AI COGS'!K8+sub_pay_fee*trip_price*sc_price</f>
        <v>7.36</v>
      </c>
      <c r="L11" s="28" t="n">
        <f aca="false">trip_data_gb*data_cost_gb*'Cloud &amp; AI COGS'!L9+trip_ai*'Cloud &amp; AI COGS'!L8+sub_pay_fee*trip_price*sc_price</f>
        <v>7.36</v>
      </c>
      <c r="M11" s="28" t="n">
        <f aca="false">trip_data_gb*data_cost_gb*'Cloud &amp; AI COGS'!M9+trip_ai*'Cloud &amp; AI COGS'!M8+sub_pay_fee*trip_price*sc_price</f>
        <v>7.36</v>
      </c>
      <c r="N11" s="28" t="n">
        <f aca="false">trip_data_gb*data_cost_gb*'Cloud &amp; AI COGS'!N9+trip_ai*'Cloud &amp; AI COGS'!N8+sub_pay_fee*trip_price*sc_price</f>
        <v>7.36</v>
      </c>
      <c r="O11" s="28" t="n">
        <f aca="false">trip_data_gb*data_cost_gb*'Cloud &amp; AI COGS'!O9+trip_ai*'Cloud &amp; AI COGS'!O8+sub_pay_fee*trip_price*sc_price</f>
        <v>7.36</v>
      </c>
      <c r="P11" s="28" t="n">
        <f aca="false">trip_data_gb*data_cost_gb*'Cloud &amp; AI COGS'!P9+trip_ai*'Cloud &amp; AI COGS'!P8+sub_pay_fee*trip_price*sc_price</f>
        <v>7.36</v>
      </c>
      <c r="Q11" s="28" t="n">
        <f aca="false">trip_data_gb*data_cost_gb*'Cloud &amp; AI COGS'!Q9+trip_ai*'Cloud &amp; AI COGS'!Q8+sub_pay_fee*trip_price*sc_price</f>
        <v>7.36</v>
      </c>
      <c r="R11" s="28" t="n">
        <f aca="false">trip_data_gb*data_cost_gb*'Cloud &amp; AI COGS'!R9+trip_ai*'Cloud &amp; AI COGS'!R8+sub_pay_fee*trip_price*sc_price</f>
        <v>7.36</v>
      </c>
      <c r="S11" s="28" t="n">
        <f aca="false">trip_data_gb*data_cost_gb*'Cloud &amp; AI COGS'!S9+trip_ai*'Cloud &amp; AI COGS'!S8+sub_pay_fee*trip_price*sc_price</f>
        <v>7.36</v>
      </c>
      <c r="T11" s="28" t="n">
        <f aca="false">trip_data_gb*data_cost_gb*'Cloud &amp; AI COGS'!T9+trip_ai*'Cloud &amp; AI COGS'!T8+sub_pay_fee*trip_price*sc_price</f>
        <v>7.36</v>
      </c>
      <c r="U11" s="28" t="n">
        <f aca="false">trip_data_gb*data_cost_gb*'Cloud &amp; AI COGS'!U9+trip_ai*'Cloud &amp; AI COGS'!U8+sub_pay_fee*trip_price*sc_price</f>
        <v>7.36</v>
      </c>
      <c r="V11" s="28" t="n">
        <f aca="false">trip_data_gb*data_cost_gb*'Cloud &amp; AI COGS'!V9+trip_ai*'Cloud &amp; AI COGS'!V8+sub_pay_fee*trip_price*sc_price</f>
        <v>7.36</v>
      </c>
      <c r="W11" s="28" t="n">
        <f aca="false">trip_data_gb*data_cost_gb*'Cloud &amp; AI COGS'!W9+trip_ai*'Cloud &amp; AI COGS'!W8+sub_pay_fee*trip_price*sc_price</f>
        <v>7.36</v>
      </c>
      <c r="X11" s="28" t="n">
        <f aca="false">trip_data_gb*data_cost_gb*'Cloud &amp; AI COGS'!X9+trip_ai*'Cloud &amp; AI COGS'!X8+sub_pay_fee*trip_price*sc_price</f>
        <v>7.36</v>
      </c>
      <c r="Y11" s="28" t="n">
        <f aca="false">trip_data_gb*data_cost_gb*'Cloud &amp; AI COGS'!Y9+trip_ai*'Cloud &amp; AI COGS'!Y8+sub_pay_fee*trip_price*sc_price</f>
        <v>7.36</v>
      </c>
      <c r="Z11" s="28" t="n">
        <f aca="false">trip_data_gb*data_cost_gb*'Cloud &amp; AI COGS'!Z9+trip_ai*'Cloud &amp; AI COGS'!Z8+sub_pay_fee*trip_price*sc_price</f>
        <v>7.36</v>
      </c>
      <c r="AA11" s="28" t="n">
        <f aca="false">trip_data_gb*data_cost_gb*'Cloud &amp; AI COGS'!AA9+trip_ai*'Cloud &amp; AI COGS'!AA8+sub_pay_fee*trip_price*sc_price</f>
        <v>7.36</v>
      </c>
      <c r="AB11" s="28" t="n">
        <f aca="false">trip_data_gb*data_cost_gb*'Cloud &amp; AI COGS'!AB9+trip_ai*'Cloud &amp; AI COGS'!AB8+sub_pay_fee*trip_price*sc_price</f>
        <v>7.36</v>
      </c>
      <c r="AC11" s="28" t="n">
        <f aca="false">trip_data_gb*data_cost_gb*'Cloud &amp; AI COGS'!AC9+trip_ai*'Cloud &amp; AI COGS'!AC8+sub_pay_fee*trip_price*sc_price</f>
        <v>6.88</v>
      </c>
      <c r="AD11" s="28" t="n">
        <f aca="false">trip_data_gb*data_cost_gb*'Cloud &amp; AI COGS'!AD9+trip_ai*'Cloud &amp; AI COGS'!AD8+sub_pay_fee*trip_price*sc_price</f>
        <v>6.4576</v>
      </c>
      <c r="AE11" s="28" t="n">
        <f aca="false">trip_data_gb*data_cost_gb*'Cloud &amp; AI COGS'!AE9+trip_ai*'Cloud &amp; AI COGS'!AE8+sub_pay_fee*trip_price*sc_price</f>
        <v>6.084352</v>
      </c>
    </row>
    <row r="12" customFormat="false" ht="15" hidden="false" customHeight="false" outlineLevel="0" collapsed="false">
      <c r="A12" s="0" t="s">
        <v>532</v>
      </c>
      <c r="B12" s="2"/>
      <c r="C12" s="4" t="n">
        <f aca="false">'Subscription Cohorts'!C21*'Cloud &amp; AI COGS'!C10</f>
        <v>0</v>
      </c>
      <c r="D12" s="4" t="n">
        <f aca="false">'Subscription Cohorts'!D21*'Cloud &amp; AI COGS'!D10</f>
        <v>0</v>
      </c>
      <c r="E12" s="4" t="n">
        <f aca="false">'Subscription Cohorts'!E21*'Cloud &amp; AI COGS'!E10</f>
        <v>0</v>
      </c>
      <c r="F12" s="4" t="n">
        <f aca="false">'Subscription Cohorts'!F21*'Cloud &amp; AI COGS'!F10</f>
        <v>0</v>
      </c>
      <c r="G12" s="4" t="n">
        <f aca="false">'Subscription Cohorts'!G21*'Cloud &amp; AI COGS'!G10</f>
        <v>0</v>
      </c>
      <c r="H12" s="4" t="n">
        <f aca="false">'Subscription Cohorts'!H21*'Cloud &amp; AI COGS'!H10</f>
        <v>0</v>
      </c>
      <c r="I12" s="4" t="n">
        <f aca="false">'Subscription Cohorts'!I21*'Cloud &amp; AI COGS'!I10</f>
        <v>0</v>
      </c>
      <c r="J12" s="4" t="n">
        <f aca="false">'Subscription Cohorts'!J21*'Cloud &amp; AI COGS'!J10</f>
        <v>0</v>
      </c>
      <c r="K12" s="4" t="n">
        <f aca="false">'Subscription Cohorts'!K21*'Cloud &amp; AI COGS'!K10</f>
        <v>0</v>
      </c>
      <c r="L12" s="4" t="n">
        <f aca="false">'Subscription Cohorts'!L21*'Cloud &amp; AI COGS'!L10</f>
        <v>0</v>
      </c>
      <c r="M12" s="4" t="n">
        <f aca="false">'Subscription Cohorts'!M21*'Cloud &amp; AI COGS'!M10</f>
        <v>0</v>
      </c>
      <c r="N12" s="4" t="n">
        <f aca="false">'Subscription Cohorts'!N21*'Cloud &amp; AI COGS'!N10</f>
        <v>0</v>
      </c>
      <c r="O12" s="4" t="n">
        <f aca="false">'Subscription Cohorts'!O21*'Cloud &amp; AI COGS'!O10</f>
        <v>0</v>
      </c>
      <c r="P12" s="4" t="n">
        <f aca="false">'Subscription Cohorts'!P21*'Cloud &amp; AI COGS'!P10</f>
        <v>0</v>
      </c>
      <c r="Q12" s="4" t="n">
        <f aca="false">'Subscription Cohorts'!Q21*'Cloud &amp; AI COGS'!Q10</f>
        <v>0</v>
      </c>
      <c r="R12" s="4" t="n">
        <f aca="false">'Subscription Cohorts'!R21*'Cloud &amp; AI COGS'!R10</f>
        <v>688.688</v>
      </c>
      <c r="S12" s="4" t="n">
        <f aca="false">'Subscription Cohorts'!S21*'Cloud &amp; AI COGS'!S10</f>
        <v>1845.68384</v>
      </c>
      <c r="T12" s="4" t="n">
        <f aca="false">'Subscription Cohorts'!T21*'Cloud &amp; AI COGS'!T10</f>
        <v>2960.221824</v>
      </c>
      <c r="U12" s="4" t="n">
        <f aca="false">'Subscription Cohorts'!U21*'Cloud &amp; AI COGS'!U10</f>
        <v>4059.53283456</v>
      </c>
      <c r="V12" s="4" t="n">
        <f aca="false">'Subscription Cohorts'!V21*'Cloud &amp; AI COGS'!V10</f>
        <v>5249.0344644864</v>
      </c>
      <c r="W12" s="4" t="n">
        <f aca="false">'Subscription Cohorts'!W21*'Cloud &amp; AI COGS'!W10</f>
        <v>6462.96127661722</v>
      </c>
      <c r="X12" s="4" t="n">
        <f aca="false">'Subscription Cohorts'!X21*'Cloud &amp; AI COGS'!X10</f>
        <v>7746.69960002018</v>
      </c>
      <c r="Y12" s="4" t="n">
        <f aca="false">'Subscription Cohorts'!Y21*'Cloud &amp; AI COGS'!Y10</f>
        <v>9250.57202401897</v>
      </c>
      <c r="Z12" s="4" t="n">
        <f aca="false">'Subscription Cohorts'!Z21*'Cloud &amp; AI COGS'!Z10</f>
        <v>10998.5153025778</v>
      </c>
      <c r="AA12" s="4" t="n">
        <f aca="false">'Subscription Cohorts'!AA21*'Cloud &amp; AI COGS'!AA10</f>
        <v>12864.4507844232</v>
      </c>
      <c r="AB12" s="4" t="n">
        <f aca="false">'Subscription Cohorts'!AB21*'Cloud &amp; AI COGS'!AB10</f>
        <v>14581.2853373578</v>
      </c>
      <c r="AC12" s="4" t="n">
        <f aca="false">'Subscription Cohorts'!AC21*'Cloud &amp; AI COGS'!AC10</f>
        <v>414400.54913669</v>
      </c>
      <c r="AD12" s="4" t="n">
        <f aca="false">'Subscription Cohorts'!AD21*'Cloud &amp; AI COGS'!AD10</f>
        <v>956691.966525111</v>
      </c>
      <c r="AE12" s="4" t="n">
        <f aca="false">'Subscription Cohorts'!AE21*'Cloud &amp; AI COGS'!AE10</f>
        <v>1628948.76281783</v>
      </c>
      <c r="AG12" s="4" t="n">
        <f aca="false">SUMIF($C$3:$AE$3,AG$3,$C12:$AE12)</f>
        <v>0</v>
      </c>
      <c r="AH12" s="4" t="n">
        <f aca="false">SUMIF($C$3:$AE$3,AH$3,$C12:$AE12)</f>
        <v>0</v>
      </c>
      <c r="AI12" s="4" t="n">
        <f aca="false">SUMIF($C$3:$AE$3,AI$3,$C12:$AE12)</f>
        <v>76707.6452880615</v>
      </c>
      <c r="AJ12" s="4" t="n">
        <f aca="false">SUMIF($C$3:$AE$3,AJ$3,$C12:$AE12)</f>
        <v>414400.54913669</v>
      </c>
      <c r="AK12" s="4" t="n">
        <f aca="false">SUMIF($C$3:$AE$3,AK$3,$C12:$AE12)</f>
        <v>956691.966525111</v>
      </c>
      <c r="AL12" s="4" t="n">
        <f aca="false">SUMIF($C$3:$AE$3,AL$3,$C12:$AE12)</f>
        <v>1628948.76281783</v>
      </c>
    </row>
    <row r="13" customFormat="false" ht="15" hidden="false" customHeight="false" outlineLevel="0" collapsed="false">
      <c r="A13" s="0" t="s">
        <v>533</v>
      </c>
      <c r="B13" s="2"/>
      <c r="C13" s="4" t="n">
        <f aca="false">'Subscription Cohorts'!C23*sub_pay_fee</f>
        <v>0</v>
      </c>
      <c r="D13" s="4" t="n">
        <f aca="false">'Subscription Cohorts'!D23*sub_pay_fee</f>
        <v>0</v>
      </c>
      <c r="E13" s="4" t="n">
        <f aca="false">'Subscription Cohorts'!E23*sub_pay_fee</f>
        <v>0</v>
      </c>
      <c r="F13" s="4" t="n">
        <f aca="false">'Subscription Cohorts'!F23*sub_pay_fee</f>
        <v>0</v>
      </c>
      <c r="G13" s="4" t="n">
        <f aca="false">'Subscription Cohorts'!G23*sub_pay_fee</f>
        <v>0</v>
      </c>
      <c r="H13" s="4" t="n">
        <f aca="false">'Subscription Cohorts'!H23*sub_pay_fee</f>
        <v>0</v>
      </c>
      <c r="I13" s="4" t="n">
        <f aca="false">'Subscription Cohorts'!I23*sub_pay_fee</f>
        <v>0</v>
      </c>
      <c r="J13" s="4" t="n">
        <f aca="false">'Subscription Cohorts'!J23*sub_pay_fee</f>
        <v>0</v>
      </c>
      <c r="K13" s="4" t="n">
        <f aca="false">'Subscription Cohorts'!K23*sub_pay_fee</f>
        <v>0</v>
      </c>
      <c r="L13" s="4" t="n">
        <f aca="false">'Subscription Cohorts'!L23*sub_pay_fee</f>
        <v>0</v>
      </c>
      <c r="M13" s="4" t="n">
        <f aca="false">'Subscription Cohorts'!M23*sub_pay_fee</f>
        <v>0</v>
      </c>
      <c r="N13" s="4" t="n">
        <f aca="false">'Subscription Cohorts'!N23*sub_pay_fee</f>
        <v>0</v>
      </c>
      <c r="O13" s="4" t="n">
        <f aca="false">'Subscription Cohorts'!O23*sub_pay_fee</f>
        <v>0</v>
      </c>
      <c r="P13" s="4" t="n">
        <f aca="false">'Subscription Cohorts'!P23*sub_pay_fee</f>
        <v>0</v>
      </c>
      <c r="Q13" s="4" t="n">
        <f aca="false">'Subscription Cohorts'!Q23*sub_pay_fee</f>
        <v>0</v>
      </c>
      <c r="R13" s="4" t="n">
        <f aca="false">'Subscription Cohorts'!R23*sub_pay_fee</f>
        <v>245.71404</v>
      </c>
      <c r="S13" s="4" t="n">
        <f aca="false">'Subscription Cohorts'!S23*sub_pay_fee</f>
        <v>658.5136272</v>
      </c>
      <c r="T13" s="4" t="n">
        <f aca="false">'Subscription Cohorts'!T23*sub_pay_fee</f>
        <v>1009.224197568</v>
      </c>
      <c r="U13" s="4" t="n">
        <f aca="false">'Subscription Cohorts'!U23*sub_pay_fee</f>
        <v>1384.01072995392</v>
      </c>
      <c r="V13" s="4" t="n">
        <f aca="false">'Subscription Cohorts'!V23*sub_pay_fee</f>
        <v>1789.54582135668</v>
      </c>
      <c r="W13" s="4" t="n">
        <f aca="false">'Subscription Cohorts'!W23*sub_pay_fee</f>
        <v>2203.40815523528</v>
      </c>
      <c r="X13" s="4" t="n">
        <f aca="false">'Subscription Cohorts'!X23*sub_pay_fee</f>
        <v>2641.07122792117</v>
      </c>
      <c r="Y13" s="4" t="n">
        <f aca="false">'Subscription Cohorts'!Y23*sub_pay_fee</f>
        <v>3153.7843050459</v>
      </c>
      <c r="Z13" s="4" t="n">
        <f aca="false">'Subscription Cohorts'!Z23*sub_pay_fee</f>
        <v>3749.70810994314</v>
      </c>
      <c r="AA13" s="4" t="n">
        <f aca="false">'Subscription Cohorts'!AA23*sub_pay_fee</f>
        <v>4385.85882814655</v>
      </c>
      <c r="AB13" s="4" t="n">
        <f aca="false">'Subscription Cohorts'!AB23*sub_pay_fee</f>
        <v>4971.17677965776</v>
      </c>
      <c r="AC13" s="4" t="n">
        <f aca="false">'Subscription Cohorts'!AC23*sub_pay_fee</f>
        <v>164000.22469266</v>
      </c>
      <c r="AD13" s="4" t="n">
        <f aca="false">'Subscription Cohorts'!AD23*sub_pay_fee</f>
        <v>436217.026878055</v>
      </c>
      <c r="AE13" s="4" t="n">
        <f aca="false">'Subscription Cohorts'!AE23*sub_pay_fee</f>
        <v>849161.904923982</v>
      </c>
      <c r="AG13" s="4" t="n">
        <f aca="false">SUMIF($C$3:$AE$3,AG$3,$C13:$AE13)</f>
        <v>0</v>
      </c>
      <c r="AH13" s="4" t="n">
        <f aca="false">SUMIF($C$3:$AE$3,AH$3,$C13:$AE13)</f>
        <v>0</v>
      </c>
      <c r="AI13" s="4" t="n">
        <f aca="false">SUMIF($C$3:$AE$3,AI$3,$C13:$AE13)</f>
        <v>26192.0158220284</v>
      </c>
      <c r="AJ13" s="4" t="n">
        <f aca="false">SUMIF($C$3:$AE$3,AJ$3,$C13:$AE13)</f>
        <v>164000.22469266</v>
      </c>
      <c r="AK13" s="4" t="n">
        <f aca="false">SUMIF($C$3:$AE$3,AK$3,$C13:$AE13)</f>
        <v>436217.026878055</v>
      </c>
      <c r="AL13" s="4" t="n">
        <f aca="false">SUMIF($C$3:$AE$3,AL$3,$C13:$AE13)</f>
        <v>849161.904923982</v>
      </c>
    </row>
    <row r="14" customFormat="false" ht="15" hidden="false" customHeight="false" outlineLevel="0" collapsed="false">
      <c r="A14" s="0" t="s">
        <v>534</v>
      </c>
      <c r="B14" s="2"/>
      <c r="C14" s="4" t="n">
        <f aca="false">'Subscription Cohorts'!C27*'Cloud &amp; AI COGS'!C10</f>
        <v>0</v>
      </c>
      <c r="D14" s="4" t="n">
        <f aca="false">'Subscription Cohorts'!D27*'Cloud &amp; AI COGS'!D10</f>
        <v>0</v>
      </c>
      <c r="E14" s="4" t="n">
        <f aca="false">'Subscription Cohorts'!E27*'Cloud &amp; AI COGS'!E10</f>
        <v>0</v>
      </c>
      <c r="F14" s="4" t="n">
        <f aca="false">'Subscription Cohorts'!F27*'Cloud &amp; AI COGS'!F10</f>
        <v>0</v>
      </c>
      <c r="G14" s="4" t="n">
        <f aca="false">'Subscription Cohorts'!G27*'Cloud &amp; AI COGS'!G10</f>
        <v>0</v>
      </c>
      <c r="H14" s="4" t="n">
        <f aca="false">'Subscription Cohorts'!H27*'Cloud &amp; AI COGS'!H10</f>
        <v>0</v>
      </c>
      <c r="I14" s="4" t="n">
        <f aca="false">'Subscription Cohorts'!I27*'Cloud &amp; AI COGS'!I10</f>
        <v>0</v>
      </c>
      <c r="J14" s="4" t="n">
        <f aca="false">'Subscription Cohorts'!J27*'Cloud &amp; AI COGS'!J10</f>
        <v>0</v>
      </c>
      <c r="K14" s="4" t="n">
        <f aca="false">'Subscription Cohorts'!K27*'Cloud &amp; AI COGS'!K10</f>
        <v>0</v>
      </c>
      <c r="L14" s="4" t="n">
        <f aca="false">'Subscription Cohorts'!L27*'Cloud &amp; AI COGS'!L10</f>
        <v>0</v>
      </c>
      <c r="M14" s="4" t="n">
        <f aca="false">'Subscription Cohorts'!M27*'Cloud &amp; AI COGS'!M10</f>
        <v>0</v>
      </c>
      <c r="N14" s="4" t="n">
        <f aca="false">'Subscription Cohorts'!N27*'Cloud &amp; AI COGS'!N10</f>
        <v>0</v>
      </c>
      <c r="O14" s="4" t="n">
        <f aca="false">'Subscription Cohorts'!O27*'Cloud &amp; AI COGS'!O10</f>
        <v>4093.6</v>
      </c>
      <c r="P14" s="4" t="n">
        <f aca="false">'Subscription Cohorts'!P27*'Cloud &amp; AI COGS'!P10</f>
        <v>7122.864</v>
      </c>
      <c r="Q14" s="4" t="n">
        <f aca="false">'Subscription Cohorts'!Q27*'Cloud &amp; AI COGS'!Q10</f>
        <v>10595.2</v>
      </c>
      <c r="R14" s="4" t="n">
        <f aca="false">'Subscription Cohorts'!R27*'Cloud &amp; AI COGS'!R10</f>
        <v>9824.64</v>
      </c>
      <c r="S14" s="4" t="n">
        <f aca="false">'Subscription Cohorts'!S27*'Cloud &amp; AI COGS'!S10</f>
        <v>10696.336</v>
      </c>
      <c r="T14" s="4" t="n">
        <f aca="false">'Subscription Cohorts'!T27*'Cloud &amp; AI COGS'!T10</f>
        <v>11692.8</v>
      </c>
      <c r="U14" s="4" t="n">
        <f aca="false">'Subscription Cohorts'!U27*'Cloud &amp; AI COGS'!U10</f>
        <v>13154.4</v>
      </c>
      <c r="V14" s="4" t="n">
        <f aca="false">'Subscription Cohorts'!V27*'Cloud &amp; AI COGS'!V10</f>
        <v>14817.6</v>
      </c>
      <c r="W14" s="4" t="n">
        <f aca="false">'Subscription Cohorts'!W27*'Cloud &amp; AI COGS'!W10</f>
        <v>17438.4</v>
      </c>
      <c r="X14" s="4" t="n">
        <f aca="false">'Subscription Cohorts'!X27*'Cloud &amp; AI COGS'!X10</f>
        <v>19454.4</v>
      </c>
      <c r="Y14" s="4" t="n">
        <f aca="false">'Subscription Cohorts'!Y27*'Cloud &amp; AI COGS'!Y10</f>
        <v>20260.8</v>
      </c>
      <c r="Z14" s="4" t="n">
        <f aca="false">'Subscription Cohorts'!Z27*'Cloud &amp; AI COGS'!Z10</f>
        <v>20865.6</v>
      </c>
      <c r="AA14" s="4" t="n">
        <f aca="false">'Subscription Cohorts'!AA27*'Cloud &amp; AI COGS'!AA10</f>
        <v>24494.4</v>
      </c>
      <c r="AB14" s="4" t="n">
        <f aca="false">'Subscription Cohorts'!AB27*'Cloud &amp; AI COGS'!AB10</f>
        <v>32860.8</v>
      </c>
      <c r="AC14" s="4" t="n">
        <f aca="false">'Subscription Cohorts'!AC27*'Cloud &amp; AI COGS'!AC10</f>
        <v>625219.2</v>
      </c>
      <c r="AD14" s="4" t="n">
        <f aca="false">'Subscription Cohorts'!AD27*'Cloud &amp; AI COGS'!AD10</f>
        <v>1130536.8</v>
      </c>
      <c r="AE14" s="4" t="n">
        <f aca="false">'Subscription Cohorts'!AE27*'Cloud &amp; AI COGS'!AE10</f>
        <v>1582166.1696</v>
      </c>
      <c r="AG14" s="4" t="n">
        <f aca="false">SUMIF($C$3:$AE$3,AG$3,$C14:$AE14)</f>
        <v>0</v>
      </c>
      <c r="AH14" s="4" t="n">
        <f aca="false">SUMIF($C$3:$AE$3,AH$3,$C14:$AE14)</f>
        <v>11216.464</v>
      </c>
      <c r="AI14" s="4" t="n">
        <f aca="false">SUMIF($C$3:$AE$3,AI$3,$C14:$AE14)</f>
        <v>206155.376</v>
      </c>
      <c r="AJ14" s="4" t="n">
        <f aca="false">SUMIF($C$3:$AE$3,AJ$3,$C14:$AE14)</f>
        <v>625219.2</v>
      </c>
      <c r="AK14" s="4" t="n">
        <f aca="false">SUMIF($C$3:$AE$3,AK$3,$C14:$AE14)</f>
        <v>1130536.8</v>
      </c>
      <c r="AL14" s="4" t="n">
        <f aca="false">SUMIF($C$3:$AE$3,AL$3,$C14:$AE14)</f>
        <v>1582166.1696</v>
      </c>
    </row>
    <row r="15" customFormat="false" ht="15" hidden="false" customHeight="false" outlineLevel="0" collapsed="false">
      <c r="A15" s="0" t="s">
        <v>535</v>
      </c>
      <c r="B15" s="2"/>
      <c r="C15" s="4" t="n">
        <f aca="false">'Subscription Cohorts'!C33*free_cost</f>
        <v>0</v>
      </c>
      <c r="D15" s="4" t="n">
        <f aca="false">'Subscription Cohorts'!D33*free_cost</f>
        <v>0</v>
      </c>
      <c r="E15" s="4" t="n">
        <f aca="false">'Subscription Cohorts'!E33*free_cost</f>
        <v>0</v>
      </c>
      <c r="F15" s="4" t="n">
        <f aca="false">'Subscription Cohorts'!F33*free_cost</f>
        <v>0</v>
      </c>
      <c r="G15" s="4" t="n">
        <f aca="false">'Subscription Cohorts'!G33*free_cost</f>
        <v>0</v>
      </c>
      <c r="H15" s="4" t="n">
        <f aca="false">'Subscription Cohorts'!H33*free_cost</f>
        <v>0</v>
      </c>
      <c r="I15" s="4" t="n">
        <f aca="false">'Subscription Cohorts'!I33*free_cost</f>
        <v>0</v>
      </c>
      <c r="J15" s="4" t="n">
        <f aca="false">'Subscription Cohorts'!J33*free_cost</f>
        <v>0</v>
      </c>
      <c r="K15" s="4" t="n">
        <f aca="false">'Subscription Cohorts'!K33*free_cost</f>
        <v>0</v>
      </c>
      <c r="L15" s="4" t="n">
        <f aca="false">'Subscription Cohorts'!L33*free_cost</f>
        <v>0</v>
      </c>
      <c r="M15" s="4" t="n">
        <f aca="false">'Subscription Cohorts'!M33*free_cost</f>
        <v>0</v>
      </c>
      <c r="N15" s="4" t="n">
        <f aca="false">'Subscription Cohorts'!N33*free_cost</f>
        <v>0</v>
      </c>
      <c r="O15" s="4" t="n">
        <f aca="false">'Subscription Cohorts'!O33*free_cost</f>
        <v>0</v>
      </c>
      <c r="P15" s="4" t="n">
        <f aca="false">'Subscription Cohorts'!P33*free_cost</f>
        <v>0</v>
      </c>
      <c r="Q15" s="4" t="n">
        <f aca="false">'Subscription Cohorts'!Q33*free_cost</f>
        <v>0</v>
      </c>
      <c r="R15" s="4" t="n">
        <f aca="false">'Subscription Cohorts'!R33*free_cost</f>
        <v>88.26672</v>
      </c>
      <c r="S15" s="4" t="n">
        <f aca="false">'Subscription Cohorts'!S33*free_cost</f>
        <v>172.0313856</v>
      </c>
      <c r="T15" s="4" t="n">
        <f aca="false">'Subscription Cohorts'!T33*free_cost</f>
        <v>306.533637888</v>
      </c>
      <c r="U15" s="4" t="n">
        <f aca="false">'Subscription Cohorts'!U33*free_cost</f>
        <v>400.52371233024</v>
      </c>
      <c r="V15" s="4" t="n">
        <f aca="false">'Subscription Cohorts'!V33*free_cost</f>
        <v>520.216792451635</v>
      </c>
      <c r="W15" s="4" t="n">
        <f aca="false">'Subscription Cohorts'!W33*free_cost</f>
        <v>629.666057708522</v>
      </c>
      <c r="X15" s="4" t="n">
        <f aca="false">'Subscription Cohorts'!X33*free_cost</f>
        <v>800.205739593917</v>
      </c>
      <c r="Y15" s="4" t="n">
        <f aca="false">'Subscription Cohorts'!Y33*free_cost</f>
        <v>1016.30314765923</v>
      </c>
      <c r="Z15" s="4" t="n">
        <f aca="false">'Subscription Cohorts'!Z33*free_cost</f>
        <v>1234.8002561918</v>
      </c>
      <c r="AA15" s="4" t="n">
        <f aca="false">'Subscription Cohorts'!AA33*free_cost</f>
        <v>1379.10319226458</v>
      </c>
      <c r="AB15" s="4" t="n">
        <f aca="false">'Subscription Cohorts'!AB33*free_cost</f>
        <v>1465.85377314411</v>
      </c>
      <c r="AC15" s="4" t="n">
        <f aca="false">'Subscription Cohorts'!AC33*free_cost</f>
        <v>55943.4950232167</v>
      </c>
      <c r="AD15" s="4" t="n">
        <f aca="false">'Subscription Cohorts'!AD33*free_cost</f>
        <v>173072.517515271</v>
      </c>
      <c r="AE15" s="4" t="n">
        <f aca="false">'Subscription Cohorts'!AE33*free_cost</f>
        <v>393746.338482763</v>
      </c>
      <c r="AG15" s="4" t="n">
        <f aca="false">SUMIF($C$3:$AE$3,AG$3,$C15:$AE15)</f>
        <v>0</v>
      </c>
      <c r="AH15" s="4" t="n">
        <f aca="false">SUMIF($C$3:$AE$3,AH$3,$C15:$AE15)</f>
        <v>0</v>
      </c>
      <c r="AI15" s="4" t="n">
        <f aca="false">SUMIF($C$3:$AE$3,AI$3,$C15:$AE15)</f>
        <v>8013.50441483204</v>
      </c>
      <c r="AJ15" s="4" t="n">
        <f aca="false">SUMIF($C$3:$AE$3,AJ$3,$C15:$AE15)</f>
        <v>55943.4950232167</v>
      </c>
      <c r="AK15" s="4" t="n">
        <f aca="false">SUMIF($C$3:$AE$3,AK$3,$C15:$AE15)</f>
        <v>173072.517515271</v>
      </c>
      <c r="AL15" s="4" t="n">
        <f aca="false">SUMIF($C$3:$AE$3,AL$3,$C15:$AE15)</f>
        <v>393746.338482763</v>
      </c>
    </row>
    <row r="16" customFormat="false" ht="15" hidden="false" customHeight="false" outlineLevel="0" collapsed="false">
      <c r="A16" s="0" t="s">
        <v>536</v>
      </c>
      <c r="B16" s="2"/>
      <c r="C16" s="4" t="n">
        <f aca="false">'Subscription Cohorts'!C34*'Cloud &amp; AI COGS'!C11</f>
        <v>0</v>
      </c>
      <c r="D16" s="4" t="n">
        <f aca="false">'Subscription Cohorts'!D34*'Cloud &amp; AI COGS'!D11</f>
        <v>0</v>
      </c>
      <c r="E16" s="4" t="n">
        <f aca="false">'Subscription Cohorts'!E34*'Cloud &amp; AI COGS'!E11</f>
        <v>0</v>
      </c>
      <c r="F16" s="4" t="n">
        <f aca="false">'Subscription Cohorts'!F34*'Cloud &amp; AI COGS'!F11</f>
        <v>0</v>
      </c>
      <c r="G16" s="4" t="n">
        <f aca="false">'Subscription Cohorts'!G34*'Cloud &amp; AI COGS'!G11</f>
        <v>0</v>
      </c>
      <c r="H16" s="4" t="n">
        <f aca="false">'Subscription Cohorts'!H34*'Cloud &amp; AI COGS'!H11</f>
        <v>0</v>
      </c>
      <c r="I16" s="4" t="n">
        <f aca="false">'Subscription Cohorts'!I34*'Cloud &amp; AI COGS'!I11</f>
        <v>0</v>
      </c>
      <c r="J16" s="4" t="n">
        <f aca="false">'Subscription Cohorts'!J34*'Cloud &amp; AI COGS'!J11</f>
        <v>0</v>
      </c>
      <c r="K16" s="4" t="n">
        <f aca="false">'Subscription Cohorts'!K34*'Cloud &amp; AI COGS'!K11</f>
        <v>0</v>
      </c>
      <c r="L16" s="4" t="n">
        <f aca="false">'Subscription Cohorts'!L34*'Cloud &amp; AI COGS'!L11</f>
        <v>0</v>
      </c>
      <c r="M16" s="4" t="n">
        <f aca="false">'Subscription Cohorts'!M34*'Cloud &amp; AI COGS'!M11</f>
        <v>0</v>
      </c>
      <c r="N16" s="4" t="n">
        <f aca="false">'Subscription Cohorts'!N34*'Cloud &amp; AI COGS'!N11</f>
        <v>0</v>
      </c>
      <c r="O16" s="4" t="n">
        <f aca="false">'Subscription Cohorts'!O34*'Cloud &amp; AI COGS'!O11</f>
        <v>0</v>
      </c>
      <c r="P16" s="4" t="n">
        <f aca="false">'Subscription Cohorts'!P34*'Cloud &amp; AI COGS'!P11</f>
        <v>0</v>
      </c>
      <c r="Q16" s="4" t="n">
        <f aca="false">'Subscription Cohorts'!Q34*'Cloud &amp; AI COGS'!Q11</f>
        <v>0</v>
      </c>
      <c r="R16" s="4" t="n">
        <f aca="false">'Subscription Cohorts'!R34*'Cloud &amp; AI COGS'!R11</f>
        <v>76.3330594559999</v>
      </c>
      <c r="S16" s="4" t="n">
        <f aca="false">'Subscription Cohorts'!S34*'Cloud &amp; AI COGS'!S11</f>
        <v>148.77274226688</v>
      </c>
      <c r="T16" s="4" t="n">
        <f aca="false">'Subscription Cohorts'!T34*'Cloud &amp; AI COGS'!T11</f>
        <v>310.212041542656</v>
      </c>
      <c r="U16" s="4" t="n">
        <f aca="false">'Subscription Cohorts'!U34*'Cloud &amp; AI COGS'!U11</f>
        <v>405.329996878203</v>
      </c>
      <c r="V16" s="4" t="n">
        <f aca="false">'Subscription Cohorts'!V34*'Cloud &amp; AI COGS'!V11</f>
        <v>526.459393961055</v>
      </c>
      <c r="W16" s="4" t="n">
        <f aca="false">'Subscription Cohorts'!W34*'Cloud &amp; AI COGS'!W11</f>
        <v>637.222050401025</v>
      </c>
      <c r="X16" s="4" t="n">
        <f aca="false">'Subscription Cohorts'!X34*'Cloud &amp; AI COGS'!X11</f>
        <v>809.808208469044</v>
      </c>
      <c r="Y16" s="4" t="n">
        <f aca="false">'Subscription Cohorts'!Y34*'Cloud &amp; AI COGS'!Y11</f>
        <v>1028.49878543114</v>
      </c>
      <c r="Z16" s="4" t="n">
        <f aca="false">'Subscription Cohorts'!Z34*'Cloud &amp; AI COGS'!Z11</f>
        <v>1249.61785926611</v>
      </c>
      <c r="AA16" s="4" t="n">
        <f aca="false">'Subscription Cohorts'!AA34*'Cloud &amp; AI COGS'!AA11</f>
        <v>1395.65243057176</v>
      </c>
      <c r="AB16" s="4" t="n">
        <f aca="false">'Subscription Cohorts'!AB34*'Cloud &amp; AI COGS'!AB11</f>
        <v>1483.44401842184</v>
      </c>
      <c r="AC16" s="4" t="n">
        <f aca="false">'Subscription Cohorts'!AC34*'Cloud &amp; AI COGS'!AC11</f>
        <v>52922.546291963</v>
      </c>
      <c r="AD16" s="4" t="n">
        <f aca="false">'Subscription Cohorts'!AD34*'Cloud &amp; AI COGS'!AD11</f>
        <v>153674.54975216</v>
      </c>
      <c r="AE16" s="4" t="n">
        <f aca="false">'Subscription Cohorts'!AE34*'Cloud &amp; AI COGS'!AE11</f>
        <v>329407.556780538</v>
      </c>
      <c r="AG16" s="4" t="n">
        <f aca="false">SUMIF($C$3:$AE$3,AG$3,$C16:$AE16)</f>
        <v>0</v>
      </c>
      <c r="AH16" s="4" t="n">
        <f aca="false">SUMIF($C$3:$AE$3,AH$3,$C16:$AE16)</f>
        <v>0</v>
      </c>
      <c r="AI16" s="4" t="n">
        <f aca="false">SUMIF($C$3:$AE$3,AI$3,$C16:$AE16)</f>
        <v>8071.3505866657</v>
      </c>
      <c r="AJ16" s="4" t="n">
        <f aca="false">SUMIF($C$3:$AE$3,AJ$3,$C16:$AE16)</f>
        <v>52922.546291963</v>
      </c>
      <c r="AK16" s="4" t="n">
        <f aca="false">SUMIF($C$3:$AE$3,AK$3,$C16:$AE16)</f>
        <v>153674.54975216</v>
      </c>
      <c r="AL16" s="4" t="n">
        <f aca="false">SUMIF($C$3:$AE$3,AL$3,$C16:$AE16)</f>
        <v>329407.556780538</v>
      </c>
    </row>
    <row r="17" customFormat="false" ht="15" hidden="false" customHeight="false" outlineLevel="0" collapsed="false">
      <c r="A17" s="0" t="s">
        <v>537</v>
      </c>
      <c r="B17" s="2"/>
      <c r="C17" s="4" t="n">
        <f aca="false">'Revenue Build'!C22*fleet_cloud*Timeline!C4</f>
        <v>0</v>
      </c>
      <c r="D17" s="4" t="n">
        <f aca="false">'Revenue Build'!D22*fleet_cloud*Timeline!D4</f>
        <v>0</v>
      </c>
      <c r="E17" s="4" t="n">
        <f aca="false">'Revenue Build'!E22*fleet_cloud*Timeline!E4</f>
        <v>0</v>
      </c>
      <c r="F17" s="4" t="n">
        <f aca="false">'Revenue Build'!F22*fleet_cloud*Timeline!F4</f>
        <v>0</v>
      </c>
      <c r="G17" s="4" t="n">
        <f aca="false">'Revenue Build'!G22*fleet_cloud*Timeline!G4</f>
        <v>0</v>
      </c>
      <c r="H17" s="4" t="n">
        <f aca="false">'Revenue Build'!H22*fleet_cloud*Timeline!H4</f>
        <v>0</v>
      </c>
      <c r="I17" s="4" t="n">
        <f aca="false">'Revenue Build'!I22*fleet_cloud*Timeline!I4</f>
        <v>0</v>
      </c>
      <c r="J17" s="4" t="n">
        <f aca="false">'Revenue Build'!J22*fleet_cloud*Timeline!J4</f>
        <v>0</v>
      </c>
      <c r="K17" s="4" t="n">
        <f aca="false">'Revenue Build'!K22*fleet_cloud*Timeline!K4</f>
        <v>0</v>
      </c>
      <c r="L17" s="4" t="n">
        <f aca="false">'Revenue Build'!L22*fleet_cloud*Timeline!L4</f>
        <v>0</v>
      </c>
      <c r="M17" s="4" t="n">
        <f aca="false">'Revenue Build'!M22*fleet_cloud*Timeline!M4</f>
        <v>0</v>
      </c>
      <c r="N17" s="4" t="n">
        <f aca="false">'Revenue Build'!N22*fleet_cloud*Timeline!N4</f>
        <v>0</v>
      </c>
      <c r="O17" s="4" t="n">
        <f aca="false">'Revenue Build'!O22*fleet_cloud*Timeline!O4</f>
        <v>0</v>
      </c>
      <c r="P17" s="4" t="n">
        <f aca="false">'Revenue Build'!P22*fleet_cloud*Timeline!P4</f>
        <v>0</v>
      </c>
      <c r="Q17" s="4" t="n">
        <f aca="false">'Revenue Build'!Q22*fleet_cloud*Timeline!Q4</f>
        <v>0</v>
      </c>
      <c r="R17" s="4" t="n">
        <f aca="false">'Revenue Build'!R22*fleet_cloud*Timeline!R4</f>
        <v>0</v>
      </c>
      <c r="S17" s="4" t="n">
        <f aca="false">'Revenue Build'!S22*fleet_cloud*Timeline!S4</f>
        <v>0</v>
      </c>
      <c r="T17" s="4" t="n">
        <f aca="false">'Revenue Build'!T22*fleet_cloud*Timeline!T4</f>
        <v>75</v>
      </c>
      <c r="U17" s="4" t="n">
        <f aca="false">'Revenue Build'!U22*fleet_cloud*Timeline!U4</f>
        <v>225</v>
      </c>
      <c r="V17" s="4" t="n">
        <f aca="false">'Revenue Build'!V22*fleet_cloud*Timeline!V4</f>
        <v>375</v>
      </c>
      <c r="W17" s="4" t="n">
        <f aca="false">'Revenue Build'!W22*fleet_cloud*Timeline!W4</f>
        <v>525</v>
      </c>
      <c r="X17" s="4" t="n">
        <f aca="false">'Revenue Build'!X22*fleet_cloud*Timeline!X4</f>
        <v>675</v>
      </c>
      <c r="Y17" s="4" t="n">
        <f aca="false">'Revenue Build'!Y22*fleet_cloud*Timeline!Y4</f>
        <v>825</v>
      </c>
      <c r="Z17" s="4" t="n">
        <f aca="false">'Revenue Build'!Z22*fleet_cloud*Timeline!Z4</f>
        <v>1050</v>
      </c>
      <c r="AA17" s="4" t="n">
        <f aca="false">'Revenue Build'!AA22*fleet_cloud*Timeline!AA4</f>
        <v>1350</v>
      </c>
      <c r="AB17" s="4" t="n">
        <f aca="false">'Revenue Build'!AB22*fleet_cloud*Timeline!AB4</f>
        <v>1650</v>
      </c>
      <c r="AC17" s="4" t="n">
        <f aca="false">'Revenue Build'!AC22*fleet_cloud*Timeline!AC4</f>
        <v>55800</v>
      </c>
      <c r="AD17" s="4" t="n">
        <f aca="false">'Revenue Build'!AD22*fleet_cloud*Timeline!AD4</f>
        <v>153000</v>
      </c>
      <c r="AE17" s="4" t="n">
        <f aca="false">'Revenue Build'!AE22*fleet_cloud*Timeline!AE4</f>
        <v>306000</v>
      </c>
      <c r="AG17" s="4" t="n">
        <f aca="false">SUMIF($C$3:$AE$3,AG$3,$C17:$AE17)</f>
        <v>0</v>
      </c>
      <c r="AH17" s="4" t="n">
        <f aca="false">SUMIF($C$3:$AE$3,AH$3,$C17:$AE17)</f>
        <v>0</v>
      </c>
      <c r="AI17" s="4" t="n">
        <f aca="false">SUMIF($C$3:$AE$3,AI$3,$C17:$AE17)</f>
        <v>6750</v>
      </c>
      <c r="AJ17" s="4" t="n">
        <f aca="false">SUMIF($C$3:$AE$3,AJ$3,$C17:$AE17)</f>
        <v>55800</v>
      </c>
      <c r="AK17" s="4" t="n">
        <f aca="false">SUMIF($C$3:$AE$3,AK$3,$C17:$AE17)</f>
        <v>153000</v>
      </c>
      <c r="AL17" s="4" t="n">
        <f aca="false">SUMIF($C$3:$AE$3,AL$3,$C17:$AE17)</f>
        <v>306000</v>
      </c>
    </row>
    <row r="18" customFormat="false" ht="15" hidden="false" customHeight="false" outlineLevel="0" collapsed="false">
      <c r="A18" s="13" t="s">
        <v>538</v>
      </c>
      <c r="B18" s="2"/>
      <c r="C18" s="29" t="n">
        <f aca="false">'Cloud &amp; AI COGS'!C12+'Cloud &amp; AI COGS'!C13+'Cloud &amp; AI COGS'!C14+'Cloud &amp; AI COGS'!C15+'Cloud &amp; AI COGS'!C16+'Cloud &amp; AI COGS'!C17</f>
        <v>0</v>
      </c>
      <c r="D18" s="29" t="n">
        <f aca="false">'Cloud &amp; AI COGS'!D12+'Cloud &amp; AI COGS'!D13+'Cloud &amp; AI COGS'!D14+'Cloud &amp; AI COGS'!D15+'Cloud &amp; AI COGS'!D16+'Cloud &amp; AI COGS'!D17</f>
        <v>0</v>
      </c>
      <c r="E18" s="29" t="n">
        <f aca="false">'Cloud &amp; AI COGS'!E12+'Cloud &amp; AI COGS'!E13+'Cloud &amp; AI COGS'!E14+'Cloud &amp; AI COGS'!E15+'Cloud &amp; AI COGS'!E16+'Cloud &amp; AI COGS'!E17</f>
        <v>0</v>
      </c>
      <c r="F18" s="29" t="n">
        <f aca="false">'Cloud &amp; AI COGS'!F12+'Cloud &amp; AI COGS'!F13+'Cloud &amp; AI COGS'!F14+'Cloud &amp; AI COGS'!F15+'Cloud &amp; AI COGS'!F16+'Cloud &amp; AI COGS'!F17</f>
        <v>0</v>
      </c>
      <c r="G18" s="29" t="n">
        <f aca="false">'Cloud &amp; AI COGS'!G12+'Cloud &amp; AI COGS'!G13+'Cloud &amp; AI COGS'!G14+'Cloud &amp; AI COGS'!G15+'Cloud &amp; AI COGS'!G16+'Cloud &amp; AI COGS'!G17</f>
        <v>0</v>
      </c>
      <c r="H18" s="29" t="n">
        <f aca="false">'Cloud &amp; AI COGS'!H12+'Cloud &amp; AI COGS'!H13+'Cloud &amp; AI COGS'!H14+'Cloud &amp; AI COGS'!H15+'Cloud &amp; AI COGS'!H16+'Cloud &amp; AI COGS'!H17</f>
        <v>0</v>
      </c>
      <c r="I18" s="29" t="n">
        <f aca="false">'Cloud &amp; AI COGS'!I12+'Cloud &amp; AI COGS'!I13+'Cloud &amp; AI COGS'!I14+'Cloud &amp; AI COGS'!I15+'Cloud &amp; AI COGS'!I16+'Cloud &amp; AI COGS'!I17</f>
        <v>0</v>
      </c>
      <c r="J18" s="29" t="n">
        <f aca="false">'Cloud &amp; AI COGS'!J12+'Cloud &amp; AI COGS'!J13+'Cloud &amp; AI COGS'!J14+'Cloud &amp; AI COGS'!J15+'Cloud &amp; AI COGS'!J16+'Cloud &amp; AI COGS'!J17</f>
        <v>0</v>
      </c>
      <c r="K18" s="29" t="n">
        <f aca="false">'Cloud &amp; AI COGS'!K12+'Cloud &amp; AI COGS'!K13+'Cloud &amp; AI COGS'!K14+'Cloud &amp; AI COGS'!K15+'Cloud &amp; AI COGS'!K16+'Cloud &amp; AI COGS'!K17</f>
        <v>0</v>
      </c>
      <c r="L18" s="29" t="n">
        <f aca="false">'Cloud &amp; AI COGS'!L12+'Cloud &amp; AI COGS'!L13+'Cloud &amp; AI COGS'!L14+'Cloud &amp; AI COGS'!L15+'Cloud &amp; AI COGS'!L16+'Cloud &amp; AI COGS'!L17</f>
        <v>0</v>
      </c>
      <c r="M18" s="29" t="n">
        <f aca="false">'Cloud &amp; AI COGS'!M12+'Cloud &amp; AI COGS'!M13+'Cloud &amp; AI COGS'!M14+'Cloud &amp; AI COGS'!M15+'Cloud &amp; AI COGS'!M16+'Cloud &amp; AI COGS'!M17</f>
        <v>0</v>
      </c>
      <c r="N18" s="29" t="n">
        <f aca="false">'Cloud &amp; AI COGS'!N12+'Cloud &amp; AI COGS'!N13+'Cloud &amp; AI COGS'!N14+'Cloud &amp; AI COGS'!N15+'Cloud &amp; AI COGS'!N16+'Cloud &amp; AI COGS'!N17</f>
        <v>0</v>
      </c>
      <c r="O18" s="29" t="n">
        <f aca="false">'Cloud &amp; AI COGS'!O12+'Cloud &amp; AI COGS'!O13+'Cloud &amp; AI COGS'!O14+'Cloud &amp; AI COGS'!O15+'Cloud &amp; AI COGS'!O16+'Cloud &amp; AI COGS'!O17</f>
        <v>4093.6</v>
      </c>
      <c r="P18" s="29" t="n">
        <f aca="false">'Cloud &amp; AI COGS'!P12+'Cloud &amp; AI COGS'!P13+'Cloud &amp; AI COGS'!P14+'Cloud &amp; AI COGS'!P15+'Cloud &amp; AI COGS'!P16+'Cloud &amp; AI COGS'!P17</f>
        <v>7122.864</v>
      </c>
      <c r="Q18" s="29" t="n">
        <f aca="false">'Cloud &amp; AI COGS'!Q12+'Cloud &amp; AI COGS'!Q13+'Cloud &amp; AI COGS'!Q14+'Cloud &amp; AI COGS'!Q15+'Cloud &amp; AI COGS'!Q16+'Cloud &amp; AI COGS'!Q17</f>
        <v>10595.2</v>
      </c>
      <c r="R18" s="29" t="n">
        <f aca="false">'Cloud &amp; AI COGS'!R12+'Cloud &amp; AI COGS'!R13+'Cloud &amp; AI COGS'!R14+'Cloud &amp; AI COGS'!R15+'Cloud &amp; AI COGS'!R16+'Cloud &amp; AI COGS'!R17</f>
        <v>10923.641819456</v>
      </c>
      <c r="S18" s="29" t="n">
        <f aca="false">'Cloud &amp; AI COGS'!S12+'Cloud &amp; AI COGS'!S13+'Cloud &amp; AI COGS'!S14+'Cloud &amp; AI COGS'!S15+'Cloud &amp; AI COGS'!S16+'Cloud &amp; AI COGS'!S17</f>
        <v>13521.3375950669</v>
      </c>
      <c r="T18" s="29" t="n">
        <f aca="false">'Cloud &amp; AI COGS'!T12+'Cloud &amp; AI COGS'!T13+'Cloud &amp; AI COGS'!T14+'Cloud &amp; AI COGS'!T15+'Cloud &amp; AI COGS'!T16+'Cloud &amp; AI COGS'!T17</f>
        <v>16353.9917009987</v>
      </c>
      <c r="U18" s="29" t="n">
        <f aca="false">'Cloud &amp; AI COGS'!U12+'Cloud &amp; AI COGS'!U13+'Cloud &amp; AI COGS'!U14+'Cloud &amp; AI COGS'!U15+'Cloud &amp; AI COGS'!U16+'Cloud &amp; AI COGS'!U17</f>
        <v>19628.7972737224</v>
      </c>
      <c r="V18" s="29" t="n">
        <f aca="false">'Cloud &amp; AI COGS'!V12+'Cloud &amp; AI COGS'!V13+'Cloud &amp; AI COGS'!V14+'Cloud &amp; AI COGS'!V15+'Cloud &amp; AI COGS'!V16+'Cloud &amp; AI COGS'!V17</f>
        <v>23277.8564722558</v>
      </c>
      <c r="W18" s="29" t="n">
        <f aca="false">'Cloud &amp; AI COGS'!W12+'Cloud &amp; AI COGS'!W13+'Cloud &amp; AI COGS'!W14+'Cloud &amp; AI COGS'!W15+'Cloud &amp; AI COGS'!W16+'Cloud &amp; AI COGS'!W17</f>
        <v>27896.6575399621</v>
      </c>
      <c r="X18" s="29" t="n">
        <f aca="false">'Cloud &amp; AI COGS'!X12+'Cloud &amp; AI COGS'!X13+'Cloud &amp; AI COGS'!X14+'Cloud &amp; AI COGS'!X15+'Cloud &amp; AI COGS'!X16+'Cloud &amp; AI COGS'!X17</f>
        <v>32127.1847760043</v>
      </c>
      <c r="Y18" s="29" t="n">
        <f aca="false">'Cloud &amp; AI COGS'!Y12+'Cloud &amp; AI COGS'!Y13+'Cloud &amp; AI COGS'!Y14+'Cloud &amp; AI COGS'!Y15+'Cloud &amp; AI COGS'!Y16+'Cloud &amp; AI COGS'!Y17</f>
        <v>35534.9582621552</v>
      </c>
      <c r="Z18" s="29" t="n">
        <f aca="false">'Cloud &amp; AI COGS'!Z12+'Cloud &amp; AI COGS'!Z13+'Cloud &amp; AI COGS'!Z14+'Cloud &amp; AI COGS'!Z15+'Cloud &amp; AI COGS'!Z16+'Cloud &amp; AI COGS'!Z17</f>
        <v>39148.2415279789</v>
      </c>
      <c r="AA18" s="29" t="n">
        <f aca="false">'Cloud &amp; AI COGS'!AA12+'Cloud &amp; AI COGS'!AA13+'Cloud &amp; AI COGS'!AA14+'Cloud &amp; AI COGS'!AA15+'Cloud &amp; AI COGS'!AA16+'Cloud &amp; AI COGS'!AA17</f>
        <v>45869.465235406</v>
      </c>
      <c r="AB18" s="29" t="n">
        <f aca="false">'Cloud &amp; AI COGS'!AB12+'Cloud &amp; AI COGS'!AB13+'Cloud &amp; AI COGS'!AB14+'Cloud &amp; AI COGS'!AB15+'Cloud &amp; AI COGS'!AB16+'Cloud &amp; AI COGS'!AB17</f>
        <v>57012.5599085815</v>
      </c>
      <c r="AC18" s="29" t="n">
        <f aca="false">'Cloud &amp; AI COGS'!AC12+'Cloud &amp; AI COGS'!AC13+'Cloud &amp; AI COGS'!AC14+'Cloud &amp; AI COGS'!AC15+'Cloud &amp; AI COGS'!AC16+'Cloud &amp; AI COGS'!AC17</f>
        <v>1368286.01514453</v>
      </c>
      <c r="AD18" s="29" t="n">
        <f aca="false">'Cloud &amp; AI COGS'!AD12+'Cloud &amp; AI COGS'!AD13+'Cloud &amp; AI COGS'!AD14+'Cloud &amp; AI COGS'!AD15+'Cloud &amp; AI COGS'!AD16+'Cloud &amp; AI COGS'!AD17</f>
        <v>3003192.8606706</v>
      </c>
      <c r="AE18" s="29" t="n">
        <f aca="false">'Cloud &amp; AI COGS'!AE12+'Cloud &amp; AI COGS'!AE13+'Cloud &amp; AI COGS'!AE14+'Cloud &amp; AI COGS'!AE15+'Cloud &amp; AI COGS'!AE16+'Cloud &amp; AI COGS'!AE17</f>
        <v>5089430.73260511</v>
      </c>
      <c r="AG18" s="29" t="n">
        <f aca="false">SUMIF($C$3:$AE$3,AG$3,$C18:$AE18)</f>
        <v>0</v>
      </c>
      <c r="AH18" s="29" t="n">
        <f aca="false">SUMIF($C$3:$AE$3,AH$3,$C18:$AE18)</f>
        <v>11216.464</v>
      </c>
      <c r="AI18" s="29" t="n">
        <f aca="false">SUMIF($C$3:$AE$3,AI$3,$C18:$AE18)</f>
        <v>331889.892111588</v>
      </c>
      <c r="AJ18" s="29" t="n">
        <f aca="false">SUMIF($C$3:$AE$3,AJ$3,$C18:$AE18)</f>
        <v>1368286.01514453</v>
      </c>
      <c r="AK18" s="29" t="n">
        <f aca="false">SUMIF($C$3:$AE$3,AK$3,$C18:$AE18)</f>
        <v>3003192.8606706</v>
      </c>
      <c r="AL18" s="29" t="n">
        <f aca="false">SUMIF($C$3:$AE$3,AL$3,$C18:$AE18)</f>
        <v>5089430.73260511</v>
      </c>
    </row>
    <row r="19" customFormat="false" ht="15" hidden="false" customHeight="false" outlineLevel="0" collapsed="false">
      <c r="A19" s="0" t="s">
        <v>539</v>
      </c>
      <c r="B19" s="2" t="s">
        <v>50</v>
      </c>
      <c r="C19" s="28" t="n">
        <f aca="false">IF('Subscription Cohorts'!C31&gt;0,'Cloud &amp; AI COGS'!C18/'Subscription Cohorts'!C31,0)</f>
        <v>0</v>
      </c>
      <c r="D19" s="28" t="n">
        <f aca="false">IF('Subscription Cohorts'!D31&gt;0,'Cloud &amp; AI COGS'!D18/'Subscription Cohorts'!D31,0)</f>
        <v>0</v>
      </c>
      <c r="E19" s="28" t="n">
        <f aca="false">IF('Subscription Cohorts'!E31&gt;0,'Cloud &amp; AI COGS'!E18/'Subscription Cohorts'!E31,0)</f>
        <v>0</v>
      </c>
      <c r="F19" s="28" t="n">
        <f aca="false">IF('Subscription Cohorts'!F31&gt;0,'Cloud &amp; AI COGS'!F18/'Subscription Cohorts'!F31,0)</f>
        <v>0</v>
      </c>
      <c r="G19" s="28" t="n">
        <f aca="false">IF('Subscription Cohorts'!G31&gt;0,'Cloud &amp; AI COGS'!G18/'Subscription Cohorts'!G31,0)</f>
        <v>0</v>
      </c>
      <c r="H19" s="28" t="n">
        <f aca="false">IF('Subscription Cohorts'!H31&gt;0,'Cloud &amp; AI COGS'!H18/'Subscription Cohorts'!H31,0)</f>
        <v>0</v>
      </c>
      <c r="I19" s="28" t="n">
        <f aca="false">IF('Subscription Cohorts'!I31&gt;0,'Cloud &amp; AI COGS'!I18/'Subscription Cohorts'!I31,0)</f>
        <v>0</v>
      </c>
      <c r="J19" s="28" t="n">
        <f aca="false">IF('Subscription Cohorts'!J31&gt;0,'Cloud &amp; AI COGS'!J18/'Subscription Cohorts'!J31,0)</f>
        <v>0</v>
      </c>
      <c r="K19" s="28" t="n">
        <f aca="false">IF('Subscription Cohorts'!K31&gt;0,'Cloud &amp; AI COGS'!K18/'Subscription Cohorts'!K31,0)</f>
        <v>0</v>
      </c>
      <c r="L19" s="28" t="n">
        <f aca="false">IF('Subscription Cohorts'!L31&gt;0,'Cloud &amp; AI COGS'!L18/'Subscription Cohorts'!L31,0)</f>
        <v>0</v>
      </c>
      <c r="M19" s="28" t="n">
        <f aca="false">IF('Subscription Cohorts'!M31&gt;0,'Cloud &amp; AI COGS'!M18/'Subscription Cohorts'!M31,0)</f>
        <v>0</v>
      </c>
      <c r="N19" s="28" t="n">
        <f aca="false">IF('Subscription Cohorts'!N31&gt;0,'Cloud &amp; AI COGS'!N18/'Subscription Cohorts'!N31,0)</f>
        <v>0</v>
      </c>
      <c r="O19" s="28" t="n">
        <f aca="false">IF('Subscription Cohorts'!O31&gt;0,'Cloud &amp; AI COGS'!O18/'Subscription Cohorts'!O31,0)</f>
        <v>3.8528</v>
      </c>
      <c r="P19" s="28" t="n">
        <f aca="false">IF('Subscription Cohorts'!P31&gt;0,'Cloud &amp; AI COGS'!P18/'Subscription Cohorts'!P31,0)</f>
        <v>2.46465882352941</v>
      </c>
      <c r="Q19" s="28" t="n">
        <f aca="false">IF('Subscription Cohorts'!Q31&gt;0,'Cloud &amp; AI COGS'!Q18/'Subscription Cohorts'!Q31,0)</f>
        <v>2.34422638670708</v>
      </c>
      <c r="R19" s="28" t="n">
        <f aca="false">IF('Subscription Cohorts'!R31&gt;0,'Cloud &amp; AI COGS'!R18/'Subscription Cohorts'!R31,0)</f>
        <v>1.76385322843133</v>
      </c>
      <c r="S19" s="28" t="n">
        <f aca="false">IF('Subscription Cohorts'!S31&gt;0,'Cloud &amp; AI COGS'!S18/'Subscription Cohorts'!S31,0)</f>
        <v>1.70204001781322</v>
      </c>
      <c r="T19" s="28" t="n">
        <f aca="false">IF('Subscription Cohorts'!T31&gt;0,'Cloud &amp; AI COGS'!T18/'Subscription Cohorts'!T31,0)</f>
        <v>1.66489935826933</v>
      </c>
      <c r="U19" s="28" t="n">
        <f aca="false">IF('Subscription Cohorts'!U31&gt;0,'Cloud &amp; AI COGS'!U18/'Subscription Cohorts'!U31,0)</f>
        <v>1.65276279345279</v>
      </c>
      <c r="V19" s="28" t="n">
        <f aca="false">IF('Subscription Cohorts'!V31&gt;0,'Cloud &amp; AI COGS'!V18/'Subscription Cohorts'!V31,0)</f>
        <v>1.6290949134481</v>
      </c>
      <c r="W19" s="28" t="n">
        <f aca="false">IF('Subscription Cohorts'!W31&gt;0,'Cloud &amp; AI COGS'!W18/'Subscription Cohorts'!W31,0)</f>
        <v>1.63109244974933</v>
      </c>
      <c r="X19" s="28" t="n">
        <f aca="false">IF('Subscription Cohorts'!X31&gt;0,'Cloud &amp; AI COGS'!X18/'Subscription Cohorts'!X31,0)</f>
        <v>1.59353209488304</v>
      </c>
      <c r="Y19" s="28" t="n">
        <f aca="false">IF('Subscription Cohorts'!Y31&gt;0,'Cloud &amp; AI COGS'!Y18/'Subscription Cohorts'!Y31,0)</f>
        <v>1.5377926046587</v>
      </c>
      <c r="Z19" s="28" t="n">
        <f aca="false">IF('Subscription Cohorts'!Z31&gt;0,'Cloud &amp; AI COGS'!Z18/'Subscription Cohorts'!Z31,0)</f>
        <v>1.50018467476857</v>
      </c>
      <c r="AA19" s="28" t="n">
        <f aca="false">IF('Subscription Cohorts'!AA31&gt;0,'Cloud &amp; AI COGS'!AA18/'Subscription Cohorts'!AA31,0)</f>
        <v>1.52777510046237</v>
      </c>
      <c r="AB19" s="28" t="n">
        <f aca="false">IF('Subscription Cohorts'!AB31&gt;0,'Cloud &amp; AI COGS'!AB18/'Subscription Cohorts'!AB31,0)</f>
        <v>1.59483594699144</v>
      </c>
      <c r="AC19" s="28" t="n">
        <f aca="false">IF('Subscription Cohorts'!AC31&gt;0,'Cloud &amp; AI COGS'!AC18/'Subscription Cohorts'!AC31,0)</f>
        <v>1.2850086853587</v>
      </c>
      <c r="AD19" s="28" t="n">
        <f aca="false">IF('Subscription Cohorts'!AD31&gt;0,'Cloud &amp; AI COGS'!AD18/'Subscription Cohorts'!AD31,0)</f>
        <v>1.06234681588571</v>
      </c>
      <c r="AE19" s="28" t="n">
        <f aca="false">IF('Subscription Cohorts'!AE31&gt;0,'Cloud &amp; AI COGS'!AE18/'Subscription Cohorts'!AE31,0)</f>
        <v>0.890273937614644</v>
      </c>
    </row>
    <row r="20" customFormat="false" ht="15" hidden="false" customHeight="false" outlineLevel="0" collapsed="false">
      <c r="A20" s="0" t="s">
        <v>540</v>
      </c>
      <c r="B20" s="2" t="s">
        <v>58</v>
      </c>
      <c r="C20" s="5" t="n">
        <f aca="false">IF(('Subscription Cohorts'!C23+'Subscription Cohorts'!C35)&gt;0,1-('Cloud &amp; AI COGS'!C12+'Cloud &amp; AI COGS'!C13+'Cloud &amp; AI COGS'!C16)/('Subscription Cohorts'!C23+'Subscription Cohorts'!C35),0)</f>
        <v>0</v>
      </c>
      <c r="D20" s="5" t="n">
        <f aca="false">IF(('Subscription Cohorts'!D23+'Subscription Cohorts'!D35)&gt;0,1-('Cloud &amp; AI COGS'!D12+'Cloud &amp; AI COGS'!D13+'Cloud &amp; AI COGS'!D16)/('Subscription Cohorts'!D23+'Subscription Cohorts'!D35),0)</f>
        <v>0</v>
      </c>
      <c r="E20" s="5" t="n">
        <f aca="false">IF(('Subscription Cohorts'!E23+'Subscription Cohorts'!E35)&gt;0,1-('Cloud &amp; AI COGS'!E12+'Cloud &amp; AI COGS'!E13+'Cloud &amp; AI COGS'!E16)/('Subscription Cohorts'!E23+'Subscription Cohorts'!E35),0)</f>
        <v>0</v>
      </c>
      <c r="F20" s="5" t="n">
        <f aca="false">IF(('Subscription Cohorts'!F23+'Subscription Cohorts'!F35)&gt;0,1-('Cloud &amp; AI COGS'!F12+'Cloud &amp; AI COGS'!F13+'Cloud &amp; AI COGS'!F16)/('Subscription Cohorts'!F23+'Subscription Cohorts'!F35),0)</f>
        <v>0</v>
      </c>
      <c r="G20" s="5" t="n">
        <f aca="false">IF(('Subscription Cohorts'!G23+'Subscription Cohorts'!G35)&gt;0,1-('Cloud &amp; AI COGS'!G12+'Cloud &amp; AI COGS'!G13+'Cloud &amp; AI COGS'!G16)/('Subscription Cohorts'!G23+'Subscription Cohorts'!G35),0)</f>
        <v>0</v>
      </c>
      <c r="H20" s="5" t="n">
        <f aca="false">IF(('Subscription Cohorts'!H23+'Subscription Cohorts'!H35)&gt;0,1-('Cloud &amp; AI COGS'!H12+'Cloud &amp; AI COGS'!H13+'Cloud &amp; AI COGS'!H16)/('Subscription Cohorts'!H23+'Subscription Cohorts'!H35),0)</f>
        <v>0</v>
      </c>
      <c r="I20" s="5" t="n">
        <f aca="false">IF(('Subscription Cohorts'!I23+'Subscription Cohorts'!I35)&gt;0,1-('Cloud &amp; AI COGS'!I12+'Cloud &amp; AI COGS'!I13+'Cloud &amp; AI COGS'!I16)/('Subscription Cohorts'!I23+'Subscription Cohorts'!I35),0)</f>
        <v>0</v>
      </c>
      <c r="J20" s="5" t="n">
        <f aca="false">IF(('Subscription Cohorts'!J23+'Subscription Cohorts'!J35)&gt;0,1-('Cloud &amp; AI COGS'!J12+'Cloud &amp; AI COGS'!J13+'Cloud &amp; AI COGS'!J16)/('Subscription Cohorts'!J23+'Subscription Cohorts'!J35),0)</f>
        <v>0</v>
      </c>
      <c r="K20" s="5" t="n">
        <f aca="false">IF(('Subscription Cohorts'!K23+'Subscription Cohorts'!K35)&gt;0,1-('Cloud &amp; AI COGS'!K12+'Cloud &amp; AI COGS'!K13+'Cloud &amp; AI COGS'!K16)/('Subscription Cohorts'!K23+'Subscription Cohorts'!K35),0)</f>
        <v>0</v>
      </c>
      <c r="L20" s="5" t="n">
        <f aca="false">IF(('Subscription Cohorts'!L23+'Subscription Cohorts'!L35)&gt;0,1-('Cloud &amp; AI COGS'!L12+'Cloud &amp; AI COGS'!L13+'Cloud &amp; AI COGS'!L16)/('Subscription Cohorts'!L23+'Subscription Cohorts'!L35),0)</f>
        <v>0</v>
      </c>
      <c r="M20" s="5" t="n">
        <f aca="false">IF(('Subscription Cohorts'!M23+'Subscription Cohorts'!M35)&gt;0,1-('Cloud &amp; AI COGS'!M12+'Cloud &amp; AI COGS'!M13+'Cloud &amp; AI COGS'!M16)/('Subscription Cohorts'!M23+'Subscription Cohorts'!M35),0)</f>
        <v>0</v>
      </c>
      <c r="N20" s="5" t="n">
        <f aca="false">IF(('Subscription Cohorts'!N23+'Subscription Cohorts'!N35)&gt;0,1-('Cloud &amp; AI COGS'!N12+'Cloud &amp; AI COGS'!N13+'Cloud &amp; AI COGS'!N16)/('Subscription Cohorts'!N23+'Subscription Cohorts'!N35),0)</f>
        <v>0</v>
      </c>
      <c r="O20" s="5" t="n">
        <f aca="false">IF(('Subscription Cohorts'!O23+'Subscription Cohorts'!O35)&gt;0,1-('Cloud &amp; AI COGS'!O12+'Cloud &amp; AI COGS'!O13+'Cloud &amp; AI COGS'!O16)/('Subscription Cohorts'!O23+'Subscription Cohorts'!O35),0)</f>
        <v>0</v>
      </c>
      <c r="P20" s="5" t="n">
        <f aca="false">IF(('Subscription Cohorts'!P23+'Subscription Cohorts'!P35)&gt;0,1-('Cloud &amp; AI COGS'!P12+'Cloud &amp; AI COGS'!P13+'Cloud &amp; AI COGS'!P16)/('Subscription Cohorts'!P23+'Subscription Cohorts'!P35),0)</f>
        <v>0</v>
      </c>
      <c r="Q20" s="5" t="n">
        <f aca="false">IF(('Subscription Cohorts'!Q23+'Subscription Cohorts'!Q35)&gt;0,1-('Cloud &amp; AI COGS'!Q12+'Cloud &amp; AI COGS'!Q13+'Cloud &amp; AI COGS'!Q16)/('Subscription Cohorts'!Q23+'Subscription Cohorts'!Q35),0)</f>
        <v>0</v>
      </c>
      <c r="R20" s="5" t="n">
        <f aca="false">IF(('Subscription Cohorts'!R23+'Subscription Cohorts'!R35)&gt;0,1-('Cloud &amp; AI COGS'!R12+'Cloud &amp; AI COGS'!R13+'Cloud &amp; AI COGS'!R16)/('Subscription Cohorts'!R23+'Subscription Cohorts'!R35),0)</f>
        <v>0.703013952776909</v>
      </c>
      <c r="S20" s="5" t="n">
        <f aca="false">IF(('Subscription Cohorts'!S23+'Subscription Cohorts'!S35)&gt;0,1-('Cloud &amp; AI COGS'!S12+'Cloud &amp; AI COGS'!S13+'Cloud &amp; AI COGS'!S16)/('Subscription Cohorts'!S23+'Subscription Cohorts'!S35),0)</f>
        <v>0.701183486115843</v>
      </c>
      <c r="T20" s="5" t="n">
        <f aca="false">IF(('Subscription Cohorts'!T23+'Subscription Cohorts'!T35)&gt;0,1-('Cloud &amp; AI COGS'!T12+'Cloud &amp; AI COGS'!T13+'Cloud &amp; AI COGS'!T16)/('Subscription Cohorts'!T23+'Subscription Cohorts'!T35),0)</f>
        <v>0.693523160033548</v>
      </c>
      <c r="U20" s="5" t="n">
        <f aca="false">IF(('Subscription Cohorts'!U23+'Subscription Cohorts'!U35)&gt;0,1-('Cloud &amp; AI COGS'!U12+'Cloud &amp; AI COGS'!U13+'Cloud &amp; AI COGS'!U16)/('Subscription Cohorts'!U23+'Subscription Cohorts'!U35),0)</f>
        <v>0.693172855399842</v>
      </c>
      <c r="V20" s="5" t="n">
        <f aca="false">IF(('Subscription Cohorts'!V23+'Subscription Cohorts'!V35)&gt;0,1-('Cloud &amp; AI COGS'!V12+'Cloud &amp; AI COGS'!V13+'Cloud &amp; AI COGS'!V16)/('Subscription Cohorts'!V23+'Subscription Cohorts'!V35),0)</f>
        <v>0.693204850199661</v>
      </c>
      <c r="W20" s="5" t="n">
        <f aca="false">IF(('Subscription Cohorts'!W23+'Subscription Cohorts'!W35)&gt;0,1-('Cloud &amp; AI COGS'!W12+'Cloud &amp; AI COGS'!W13+'Cloud &amp; AI COGS'!W16)/('Subscription Cohorts'!W23+'Subscription Cohorts'!W35),0)</f>
        <v>0.693083799462383</v>
      </c>
      <c r="X20" s="5" t="n">
        <f aca="false">IF(('Subscription Cohorts'!X23+'Subscription Cohorts'!X35)&gt;0,1-('Cloud &amp; AI COGS'!X12+'Cloud &amp; AI COGS'!X13+'Cloud &amp; AI COGS'!X16)/('Subscription Cohorts'!X23+'Subscription Cohorts'!X35),0)</f>
        <v>0.693504997112328</v>
      </c>
      <c r="Y20" s="5" t="n">
        <f aca="false">IF(('Subscription Cohorts'!Y23+'Subscription Cohorts'!Y35)&gt;0,1-('Cloud &amp; AI COGS'!Y12+'Cloud &amp; AI COGS'!Y13+'Cloud &amp; AI COGS'!Y16)/('Subscription Cohorts'!Y23+'Subscription Cohorts'!Y35),0)</f>
        <v>0.693970848211848</v>
      </c>
      <c r="Z20" s="5" t="n">
        <f aca="false">IF(('Subscription Cohorts'!Z23+'Subscription Cohorts'!Z35)&gt;0,1-('Cloud &amp; AI COGS'!Z12+'Cloud &amp; AI COGS'!Z13+'Cloud &amp; AI COGS'!Z16)/('Subscription Cohorts'!Z23+'Subscription Cohorts'!Z35),0)</f>
        <v>0.694140089620096</v>
      </c>
      <c r="AA20" s="5" t="n">
        <f aca="false">IF(('Subscription Cohorts'!AA23+'Subscription Cohorts'!AA35)&gt;0,1-('Cloud &amp; AI COGS'!AA12+'Cloud &amp; AI COGS'!AA13+'Cloud &amp; AI COGS'!AA16)/('Subscription Cohorts'!AA23+'Subscription Cohorts'!AA35),0)</f>
        <v>0.693782768807383</v>
      </c>
      <c r="AB20" s="5" t="n">
        <f aca="false">IF(('Subscription Cohorts'!AB23+'Subscription Cohorts'!AB35)&gt;0,1-('Cloud &amp; AI COGS'!AB12+'Cloud &amp; AI COGS'!AB13+'Cloud &amp; AI COGS'!AB16)/('Subscription Cohorts'!AB23+'Subscription Cohorts'!AB35),0)</f>
        <v>0.693307044716686</v>
      </c>
      <c r="AC20" s="5" t="n">
        <f aca="false">IF(('Subscription Cohorts'!AC23+'Subscription Cohorts'!AC35)&gt;0,1-('Cloud &amp; AI COGS'!AC12+'Cloud &amp; AI COGS'!AC13+'Cloud &amp; AI COGS'!AC16)/('Subscription Cohorts'!AC23+'Subscription Cohorts'!AC35),0)</f>
        <v>0.725051861167898</v>
      </c>
      <c r="AD20" s="5" t="n">
        <f aca="false">IF(('Subscription Cohorts'!AD23+'Subscription Cohorts'!AD35)&gt;0,1-('Cloud &amp; AI COGS'!AD12+'Cloud &amp; AI COGS'!AD13+'Cloud &amp; AI COGS'!AD16)/('Subscription Cohorts'!AD23+'Subscription Cohorts'!AD35),0)</f>
        <v>0.75112233260731</v>
      </c>
      <c r="AE20" s="5" t="n">
        <f aca="false">IF(('Subscription Cohorts'!AE23+'Subscription Cohorts'!AE35)&gt;0,1-('Cloud &amp; AI COGS'!AE12+'Cloud &amp; AI COGS'!AE13+'Cloud &amp; AI COGS'!AE16)/('Subscription Cohorts'!AE23+'Subscription Cohorts'!AE35),0)</f>
        <v>0.772615495791452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6" t="s">
        <v>541</v>
      </c>
    </row>
    <row r="3" customFormat="false" ht="15" hidden="false" customHeight="false" outlineLevel="0" collapsed="false">
      <c r="A3" s="3" t="s">
        <v>542</v>
      </c>
      <c r="B3" s="3" t="s">
        <v>543</v>
      </c>
      <c r="C3" s="3" t="s">
        <v>544</v>
      </c>
      <c r="D3" s="3" t="s">
        <v>545</v>
      </c>
      <c r="E3" s="3" t="s">
        <v>546</v>
      </c>
      <c r="F3" s="3" t="s">
        <v>547</v>
      </c>
    </row>
    <row r="4" customFormat="false" ht="15" hidden="false" customHeight="false" outlineLevel="0" collapsed="false">
      <c r="A4" s="0" t="s">
        <v>548</v>
      </c>
      <c r="B4" s="37" t="s">
        <v>549</v>
      </c>
      <c r="C4" s="38" t="n">
        <v>1</v>
      </c>
      <c r="D4" s="39" t="n">
        <v>46327</v>
      </c>
      <c r="E4" s="10" t="n">
        <v>90000</v>
      </c>
      <c r="F4" s="2" t="s">
        <v>550</v>
      </c>
    </row>
    <row r="5" customFormat="false" ht="15" hidden="false" customHeight="false" outlineLevel="0" collapsed="false">
      <c r="A5" s="0" t="s">
        <v>551</v>
      </c>
      <c r="B5" s="37" t="s">
        <v>552</v>
      </c>
      <c r="C5" s="38" t="n">
        <v>1</v>
      </c>
      <c r="D5" s="39" t="n">
        <v>46327</v>
      </c>
      <c r="E5" s="10" t="n">
        <v>150000</v>
      </c>
      <c r="F5" s="2"/>
    </row>
    <row r="6" customFormat="false" ht="15" hidden="false" customHeight="false" outlineLevel="0" collapsed="false">
      <c r="A6" s="0" t="s">
        <v>553</v>
      </c>
      <c r="B6" s="37" t="s">
        <v>552</v>
      </c>
      <c r="C6" s="38" t="n">
        <v>1</v>
      </c>
      <c r="D6" s="39" t="n">
        <v>46357</v>
      </c>
      <c r="E6" s="10" t="n">
        <v>160000</v>
      </c>
      <c r="F6" s="2"/>
    </row>
    <row r="7" customFormat="false" ht="15" hidden="false" customHeight="false" outlineLevel="0" collapsed="false">
      <c r="A7" s="0" t="s">
        <v>554</v>
      </c>
      <c r="B7" s="37" t="s">
        <v>552</v>
      </c>
      <c r="C7" s="38" t="n">
        <v>1</v>
      </c>
      <c r="D7" s="39" t="n">
        <v>46388</v>
      </c>
      <c r="E7" s="10" t="n">
        <v>140000</v>
      </c>
      <c r="F7" s="2"/>
    </row>
    <row r="8" customFormat="false" ht="15" hidden="false" customHeight="false" outlineLevel="0" collapsed="false">
      <c r="A8" s="0" t="s">
        <v>555</v>
      </c>
      <c r="B8" s="37" t="s">
        <v>552</v>
      </c>
      <c r="C8" s="38" t="n">
        <v>1</v>
      </c>
      <c r="D8" s="39" t="n">
        <v>46388</v>
      </c>
      <c r="E8" s="10" t="n">
        <v>165000</v>
      </c>
      <c r="F8" s="2"/>
    </row>
    <row r="9" customFormat="false" ht="15" hidden="false" customHeight="false" outlineLevel="0" collapsed="false">
      <c r="A9" s="0" t="s">
        <v>556</v>
      </c>
      <c r="B9" s="37" t="s">
        <v>557</v>
      </c>
      <c r="C9" s="38" t="n">
        <v>1</v>
      </c>
      <c r="D9" s="39" t="n">
        <v>46419</v>
      </c>
      <c r="E9" s="10" t="n">
        <v>95000</v>
      </c>
      <c r="F9" s="2"/>
    </row>
    <row r="10" customFormat="false" ht="15" hidden="false" customHeight="false" outlineLevel="0" collapsed="false">
      <c r="A10" s="0" t="s">
        <v>558</v>
      </c>
      <c r="B10" s="37" t="s">
        <v>552</v>
      </c>
      <c r="C10" s="38" t="n">
        <v>1</v>
      </c>
      <c r="D10" s="39" t="n">
        <v>46447</v>
      </c>
      <c r="E10" s="10" t="n">
        <v>75000</v>
      </c>
      <c r="F10" s="2" t="s">
        <v>559</v>
      </c>
    </row>
    <row r="11" customFormat="false" ht="15" hidden="false" customHeight="false" outlineLevel="0" collapsed="false">
      <c r="A11" s="0" t="s">
        <v>560</v>
      </c>
      <c r="B11" s="37" t="s">
        <v>561</v>
      </c>
      <c r="C11" s="38" t="n">
        <v>1</v>
      </c>
      <c r="D11" s="39" t="n">
        <v>46600</v>
      </c>
      <c r="E11" s="10" t="n">
        <v>160000</v>
      </c>
      <c r="F11" s="2" t="s">
        <v>562</v>
      </c>
    </row>
    <row r="12" customFormat="false" ht="15" hidden="false" customHeight="false" outlineLevel="0" collapsed="false">
      <c r="A12" s="0" t="s">
        <v>563</v>
      </c>
      <c r="B12" s="37" t="s">
        <v>552</v>
      </c>
      <c r="C12" s="38" t="n">
        <v>1</v>
      </c>
      <c r="D12" s="39" t="n">
        <v>46600</v>
      </c>
      <c r="E12" s="10" t="n">
        <v>140000</v>
      </c>
      <c r="F12" s="2"/>
    </row>
    <row r="13" customFormat="false" ht="15" hidden="false" customHeight="false" outlineLevel="0" collapsed="false">
      <c r="A13" s="0" t="s">
        <v>564</v>
      </c>
      <c r="B13" s="37" t="s">
        <v>552</v>
      </c>
      <c r="C13" s="38" t="n">
        <v>1</v>
      </c>
      <c r="D13" s="39" t="n">
        <v>46631</v>
      </c>
      <c r="E13" s="10" t="n">
        <v>160000</v>
      </c>
      <c r="F13" s="2"/>
    </row>
    <row r="14" customFormat="false" ht="15" hidden="false" customHeight="false" outlineLevel="0" collapsed="false">
      <c r="A14" s="0" t="s">
        <v>565</v>
      </c>
      <c r="B14" s="37" t="s">
        <v>552</v>
      </c>
      <c r="C14" s="38" t="n">
        <v>1</v>
      </c>
      <c r="D14" s="39" t="n">
        <v>46631</v>
      </c>
      <c r="E14" s="10" t="n">
        <v>125000</v>
      </c>
      <c r="F14" s="2"/>
    </row>
    <row r="15" customFormat="false" ht="15" hidden="false" customHeight="false" outlineLevel="0" collapsed="false">
      <c r="A15" s="0" t="s">
        <v>566</v>
      </c>
      <c r="B15" s="37" t="s">
        <v>561</v>
      </c>
      <c r="C15" s="38" t="n">
        <v>1</v>
      </c>
      <c r="D15" s="39" t="n">
        <v>46661</v>
      </c>
      <c r="E15" s="10" t="n">
        <v>65000</v>
      </c>
      <c r="F15" s="2"/>
    </row>
    <row r="16" customFormat="false" ht="15" hidden="false" customHeight="false" outlineLevel="0" collapsed="false">
      <c r="A16" s="0" t="s">
        <v>567</v>
      </c>
      <c r="B16" s="37" t="s">
        <v>557</v>
      </c>
      <c r="C16" s="38" t="n">
        <v>1</v>
      </c>
      <c r="D16" s="39" t="n">
        <v>46661</v>
      </c>
      <c r="E16" s="10" t="n">
        <v>120000</v>
      </c>
      <c r="F16" s="2"/>
    </row>
    <row r="17" customFormat="false" ht="15" hidden="false" customHeight="false" outlineLevel="0" collapsed="false">
      <c r="A17" s="0" t="s">
        <v>568</v>
      </c>
      <c r="B17" s="37" t="s">
        <v>549</v>
      </c>
      <c r="C17" s="38" t="n">
        <v>1</v>
      </c>
      <c r="D17" s="39" t="n">
        <v>46692</v>
      </c>
      <c r="E17" s="10" t="n">
        <v>110000</v>
      </c>
      <c r="F17" s="2"/>
    </row>
    <row r="18" customFormat="false" ht="15" hidden="false" customHeight="false" outlineLevel="0" collapsed="false">
      <c r="A18" s="0" t="s">
        <v>569</v>
      </c>
      <c r="B18" s="37" t="s">
        <v>552</v>
      </c>
      <c r="C18" s="38" t="n">
        <v>1</v>
      </c>
      <c r="D18" s="39" t="n">
        <v>46753</v>
      </c>
      <c r="E18" s="10" t="n">
        <v>150000</v>
      </c>
      <c r="F18" s="2"/>
    </row>
    <row r="19" customFormat="false" ht="15" hidden="false" customHeight="false" outlineLevel="0" collapsed="false">
      <c r="A19" s="0" t="s">
        <v>570</v>
      </c>
      <c r="B19" s="37" t="s">
        <v>552</v>
      </c>
      <c r="C19" s="38" t="n">
        <v>1</v>
      </c>
      <c r="D19" s="39" t="n">
        <v>46753</v>
      </c>
      <c r="E19" s="10" t="n">
        <v>140000</v>
      </c>
      <c r="F19" s="2"/>
    </row>
    <row r="20" customFormat="false" ht="15" hidden="false" customHeight="false" outlineLevel="0" collapsed="false">
      <c r="A20" s="0" t="s">
        <v>571</v>
      </c>
      <c r="B20" s="37" t="s">
        <v>552</v>
      </c>
      <c r="C20" s="38" t="n">
        <v>2</v>
      </c>
      <c r="D20" s="39" t="n">
        <v>46784</v>
      </c>
      <c r="E20" s="10" t="n">
        <v>70000</v>
      </c>
      <c r="F20" s="2" t="s">
        <v>572</v>
      </c>
    </row>
    <row r="21" customFormat="false" ht="15" hidden="false" customHeight="false" outlineLevel="0" collapsed="false">
      <c r="A21" s="0" t="s">
        <v>573</v>
      </c>
      <c r="B21" s="37" t="s">
        <v>561</v>
      </c>
      <c r="C21" s="38" t="n">
        <v>2</v>
      </c>
      <c r="D21" s="39" t="n">
        <v>46813</v>
      </c>
      <c r="E21" s="10" t="n">
        <v>50000</v>
      </c>
      <c r="F21" s="2"/>
    </row>
    <row r="22" customFormat="false" ht="15" hidden="false" customHeight="false" outlineLevel="0" collapsed="false">
      <c r="A22" s="0" t="s">
        <v>574</v>
      </c>
      <c r="B22" s="37" t="s">
        <v>557</v>
      </c>
      <c r="C22" s="38" t="n">
        <v>1</v>
      </c>
      <c r="D22" s="39" t="n">
        <v>46813</v>
      </c>
      <c r="E22" s="10" t="n">
        <v>120000</v>
      </c>
      <c r="F22" s="2"/>
    </row>
    <row r="23" customFormat="false" ht="15" hidden="false" customHeight="false" outlineLevel="0" collapsed="false">
      <c r="A23" s="0" t="s">
        <v>575</v>
      </c>
      <c r="B23" s="37" t="s">
        <v>557</v>
      </c>
      <c r="C23" s="38" t="n">
        <v>1</v>
      </c>
      <c r="D23" s="39" t="n">
        <v>46844</v>
      </c>
      <c r="E23" s="10" t="n">
        <v>110000</v>
      </c>
      <c r="F23" s="2"/>
    </row>
    <row r="24" customFormat="false" ht="15" hidden="false" customHeight="false" outlineLevel="0" collapsed="false">
      <c r="A24" s="0" t="s">
        <v>576</v>
      </c>
      <c r="B24" s="37" t="s">
        <v>552</v>
      </c>
      <c r="C24" s="38" t="n">
        <v>1</v>
      </c>
      <c r="D24" s="39" t="n">
        <v>46844</v>
      </c>
      <c r="E24" s="10" t="n">
        <v>115000</v>
      </c>
      <c r="F24" s="2"/>
    </row>
    <row r="25" customFormat="false" ht="15" hidden="false" customHeight="false" outlineLevel="0" collapsed="false">
      <c r="A25" s="0" t="s">
        <v>577</v>
      </c>
      <c r="B25" s="37" t="s">
        <v>552</v>
      </c>
      <c r="C25" s="38" t="n">
        <v>1</v>
      </c>
      <c r="D25" s="39" t="n">
        <v>46905</v>
      </c>
      <c r="E25" s="10" t="n">
        <v>165000</v>
      </c>
      <c r="F25" s="2"/>
    </row>
    <row r="26" customFormat="false" ht="15" hidden="false" customHeight="false" outlineLevel="0" collapsed="false">
      <c r="A26" s="0" t="s">
        <v>578</v>
      </c>
      <c r="B26" s="37" t="s">
        <v>557</v>
      </c>
      <c r="C26" s="38" t="n">
        <v>1</v>
      </c>
      <c r="D26" s="39" t="n">
        <v>46905</v>
      </c>
      <c r="E26" s="10" t="n">
        <v>100000</v>
      </c>
      <c r="F26" s="2"/>
    </row>
    <row r="27" customFormat="false" ht="15" hidden="false" customHeight="false" outlineLevel="0" collapsed="false">
      <c r="A27" s="0" t="s">
        <v>579</v>
      </c>
      <c r="B27" s="37" t="s">
        <v>549</v>
      </c>
      <c r="C27" s="38" t="n">
        <v>1</v>
      </c>
      <c r="D27" s="39" t="n">
        <v>46997</v>
      </c>
      <c r="E27" s="10" t="n">
        <v>85000</v>
      </c>
      <c r="F27" s="2"/>
    </row>
    <row r="28" customFormat="false" ht="15" hidden="false" customHeight="false" outlineLevel="0" collapsed="false">
      <c r="A28" s="0" t="s">
        <v>580</v>
      </c>
      <c r="B28" s="37" t="s">
        <v>552</v>
      </c>
      <c r="C28" s="38" t="n">
        <v>1</v>
      </c>
      <c r="D28" s="39" t="n">
        <v>47058</v>
      </c>
      <c r="E28" s="10" t="n">
        <v>210000</v>
      </c>
      <c r="F28" s="2" t="s">
        <v>581</v>
      </c>
    </row>
    <row r="29" customFormat="false" ht="15" hidden="false" customHeight="false" outlineLevel="0" collapsed="false">
      <c r="A29" s="0" t="s">
        <v>573</v>
      </c>
      <c r="B29" s="37" t="s">
        <v>561</v>
      </c>
      <c r="C29" s="38" t="n">
        <v>3</v>
      </c>
      <c r="D29" s="39" t="n">
        <v>47058</v>
      </c>
      <c r="E29" s="10" t="n">
        <v>50000</v>
      </c>
      <c r="F29" s="2" t="s">
        <v>582</v>
      </c>
    </row>
    <row r="30" customFormat="false" ht="15" hidden="false" customHeight="false" outlineLevel="0" collapsed="false">
      <c r="A30" s="0" t="s">
        <v>583</v>
      </c>
      <c r="B30" s="37" t="s">
        <v>557</v>
      </c>
      <c r="C30" s="38" t="n">
        <v>1</v>
      </c>
      <c r="D30" s="39" t="n">
        <v>47150</v>
      </c>
      <c r="E30" s="10" t="n">
        <v>200000</v>
      </c>
      <c r="F30" s="2"/>
    </row>
    <row r="31" customFormat="false" ht="15" hidden="false" customHeight="false" outlineLevel="0" collapsed="false">
      <c r="A31" s="0" t="s">
        <v>584</v>
      </c>
      <c r="B31" s="37" t="s">
        <v>552</v>
      </c>
      <c r="C31" s="38" t="n">
        <v>8</v>
      </c>
      <c r="D31" s="39" t="n">
        <v>47178</v>
      </c>
      <c r="E31" s="10" t="n">
        <v>155000</v>
      </c>
      <c r="F31" s="2"/>
    </row>
    <row r="32" customFormat="false" ht="15" hidden="false" customHeight="false" outlineLevel="0" collapsed="false">
      <c r="A32" s="0" t="s">
        <v>585</v>
      </c>
      <c r="B32" s="37" t="s">
        <v>552</v>
      </c>
      <c r="C32" s="38" t="n">
        <v>4</v>
      </c>
      <c r="D32" s="39" t="n">
        <v>47178</v>
      </c>
      <c r="E32" s="10" t="n">
        <v>72000</v>
      </c>
      <c r="F32" s="2"/>
    </row>
    <row r="33" customFormat="false" ht="15" hidden="false" customHeight="false" outlineLevel="0" collapsed="false">
      <c r="A33" s="0" t="s">
        <v>586</v>
      </c>
      <c r="B33" s="37" t="s">
        <v>557</v>
      </c>
      <c r="C33" s="38" t="n">
        <v>5</v>
      </c>
      <c r="D33" s="39" t="n">
        <v>47209</v>
      </c>
      <c r="E33" s="10" t="n">
        <v>110000</v>
      </c>
      <c r="F33" s="2"/>
    </row>
    <row r="34" customFormat="false" ht="15" hidden="false" customHeight="false" outlineLevel="0" collapsed="false">
      <c r="A34" s="0" t="s">
        <v>587</v>
      </c>
      <c r="B34" s="37" t="s">
        <v>561</v>
      </c>
      <c r="C34" s="38" t="n">
        <v>3</v>
      </c>
      <c r="D34" s="39" t="n">
        <v>47209</v>
      </c>
      <c r="E34" s="10" t="n">
        <v>100000</v>
      </c>
      <c r="F34" s="2"/>
    </row>
    <row r="35" customFormat="false" ht="15" hidden="false" customHeight="false" outlineLevel="0" collapsed="false">
      <c r="A35" s="0" t="s">
        <v>573</v>
      </c>
      <c r="B35" s="37" t="s">
        <v>561</v>
      </c>
      <c r="C35" s="38" t="n">
        <v>6</v>
      </c>
      <c r="D35" s="39" t="n">
        <v>47270</v>
      </c>
      <c r="E35" s="10" t="n">
        <v>50000</v>
      </c>
      <c r="F35" s="2"/>
    </row>
    <row r="36" customFormat="false" ht="15" hidden="false" customHeight="false" outlineLevel="0" collapsed="false">
      <c r="A36" s="0" t="s">
        <v>588</v>
      </c>
      <c r="B36" s="37" t="s">
        <v>549</v>
      </c>
      <c r="C36" s="38" t="n">
        <v>3</v>
      </c>
      <c r="D36" s="39" t="n">
        <v>47270</v>
      </c>
      <c r="E36" s="10" t="n">
        <v>110000</v>
      </c>
      <c r="F36" s="2"/>
    </row>
    <row r="37" customFormat="false" ht="15" hidden="false" customHeight="false" outlineLevel="0" collapsed="false">
      <c r="A37" s="0" t="s">
        <v>589</v>
      </c>
      <c r="B37" s="37" t="s">
        <v>549</v>
      </c>
      <c r="C37" s="38" t="n">
        <v>1</v>
      </c>
      <c r="D37" s="39" t="n">
        <v>47362</v>
      </c>
      <c r="E37" s="10" t="n">
        <v>230000</v>
      </c>
      <c r="F37" s="2"/>
    </row>
    <row r="38" customFormat="false" ht="15" hidden="false" customHeight="false" outlineLevel="0" collapsed="false">
      <c r="A38" s="0" t="s">
        <v>590</v>
      </c>
      <c r="B38" s="37" t="s">
        <v>552</v>
      </c>
      <c r="C38" s="38" t="n">
        <v>10</v>
      </c>
      <c r="D38" s="39" t="n">
        <v>47543</v>
      </c>
      <c r="E38" s="10" t="n">
        <v>160000</v>
      </c>
      <c r="F38" s="2"/>
    </row>
    <row r="39" customFormat="false" ht="15" hidden="false" customHeight="false" outlineLevel="0" collapsed="false">
      <c r="A39" s="0" t="s">
        <v>571</v>
      </c>
      <c r="B39" s="37" t="s">
        <v>552</v>
      </c>
      <c r="C39" s="38" t="n">
        <v>4</v>
      </c>
      <c r="D39" s="39" t="n">
        <v>47543</v>
      </c>
      <c r="E39" s="10" t="n">
        <v>75000</v>
      </c>
      <c r="F39" s="2"/>
    </row>
    <row r="40" customFormat="false" ht="15" hidden="false" customHeight="false" outlineLevel="0" collapsed="false">
      <c r="A40" s="0" t="s">
        <v>591</v>
      </c>
      <c r="B40" s="37" t="s">
        <v>557</v>
      </c>
      <c r="C40" s="38" t="n">
        <v>6</v>
      </c>
      <c r="D40" s="39" t="n">
        <v>47543</v>
      </c>
      <c r="E40" s="10" t="n">
        <v>115000</v>
      </c>
      <c r="F40" s="2"/>
    </row>
    <row r="41" customFormat="false" ht="15" hidden="false" customHeight="false" outlineLevel="0" collapsed="false">
      <c r="A41" s="0" t="s">
        <v>592</v>
      </c>
      <c r="B41" s="37" t="s">
        <v>561</v>
      </c>
      <c r="C41" s="38" t="n">
        <v>8</v>
      </c>
      <c r="D41" s="39" t="n">
        <v>47604</v>
      </c>
      <c r="E41" s="10" t="n">
        <v>60000</v>
      </c>
      <c r="F41" s="2"/>
    </row>
    <row r="42" customFormat="false" ht="15" hidden="false" customHeight="false" outlineLevel="0" collapsed="false">
      <c r="A42" s="0" t="s">
        <v>549</v>
      </c>
      <c r="B42" s="37" t="s">
        <v>549</v>
      </c>
      <c r="C42" s="38" t="n">
        <v>3</v>
      </c>
      <c r="D42" s="39" t="n">
        <v>47604</v>
      </c>
      <c r="E42" s="10" t="n">
        <v>120000</v>
      </c>
      <c r="F42" s="2"/>
    </row>
    <row r="43" customFormat="false" ht="15" hidden="false" customHeight="false" outlineLevel="0" collapsed="false">
      <c r="A43" s="0" t="s">
        <v>590</v>
      </c>
      <c r="B43" s="37" t="s">
        <v>552</v>
      </c>
      <c r="C43" s="38" t="n">
        <v>10</v>
      </c>
      <c r="D43" s="39" t="n">
        <v>47908</v>
      </c>
      <c r="E43" s="10" t="n">
        <v>165000</v>
      </c>
      <c r="F43" s="2"/>
    </row>
    <row r="44" customFormat="false" ht="15" hidden="false" customHeight="false" outlineLevel="0" collapsed="false">
      <c r="A44" s="0" t="s">
        <v>591</v>
      </c>
      <c r="B44" s="37" t="s">
        <v>557</v>
      </c>
      <c r="C44" s="38" t="n">
        <v>6</v>
      </c>
      <c r="D44" s="39" t="n">
        <v>47908</v>
      </c>
      <c r="E44" s="10" t="n">
        <v>120000</v>
      </c>
      <c r="F44" s="2"/>
    </row>
    <row r="45" customFormat="false" ht="15" hidden="false" customHeight="false" outlineLevel="0" collapsed="false">
      <c r="A45" s="0" t="s">
        <v>592</v>
      </c>
      <c r="B45" s="37" t="s">
        <v>561</v>
      </c>
      <c r="C45" s="38" t="n">
        <v>10</v>
      </c>
      <c r="D45" s="39" t="n">
        <v>47939</v>
      </c>
      <c r="E45" s="10" t="n">
        <v>60000</v>
      </c>
      <c r="F45" s="2"/>
    </row>
    <row r="46" customFormat="false" ht="15" hidden="false" customHeight="false" outlineLevel="0" collapsed="false">
      <c r="A46" s="0" t="s">
        <v>549</v>
      </c>
      <c r="B46" s="37" t="s">
        <v>549</v>
      </c>
      <c r="C46" s="38" t="n">
        <v>3</v>
      </c>
      <c r="D46" s="39" t="n">
        <v>47939</v>
      </c>
      <c r="E46" s="10" t="n">
        <v>125000</v>
      </c>
      <c r="F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593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594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tr">
        <f aca="false">Headcount!A4</f>
        <v>Founder &amp; CEO (Nimit Jain)</v>
      </c>
      <c r="B10" s="2" t="str">
        <f aca="false">Headcount!B4</f>
        <v>G&amp;A</v>
      </c>
      <c r="C10" s="4" t="n">
        <f aca="false">IF(Headcount!$D$4&lt;=Timeline!C5,Headcount!$C$4,0)</f>
        <v>1</v>
      </c>
      <c r="D10" s="4" t="n">
        <f aca="false">IF(Headcount!$D$4&lt;=Timeline!D5,Headcount!$C$4,0)</f>
        <v>1</v>
      </c>
      <c r="E10" s="4" t="n">
        <f aca="false">IF(Headcount!$D$4&lt;=Timeline!E5,Headcount!$C$4,0)</f>
        <v>1</v>
      </c>
      <c r="F10" s="4" t="n">
        <f aca="false">IF(Headcount!$D$4&lt;=Timeline!F5,Headcount!$C$4,0)</f>
        <v>1</v>
      </c>
      <c r="G10" s="4" t="n">
        <f aca="false">IF(Headcount!$D$4&lt;=Timeline!G5,Headcount!$C$4,0)</f>
        <v>1</v>
      </c>
      <c r="H10" s="4" t="n">
        <f aca="false">IF(Headcount!$D$4&lt;=Timeline!H5,Headcount!$C$4,0)</f>
        <v>1</v>
      </c>
      <c r="I10" s="4" t="n">
        <f aca="false">IF(Headcount!$D$4&lt;=Timeline!I5,Headcount!$C$4,0)</f>
        <v>1</v>
      </c>
      <c r="J10" s="4" t="n">
        <f aca="false">IF(Headcount!$D$4&lt;=Timeline!J5,Headcount!$C$4,0)</f>
        <v>1</v>
      </c>
      <c r="K10" s="4" t="n">
        <f aca="false">IF(Headcount!$D$4&lt;=Timeline!K5,Headcount!$C$4,0)</f>
        <v>1</v>
      </c>
      <c r="L10" s="4" t="n">
        <f aca="false">IF(Headcount!$D$4&lt;=Timeline!L5,Headcount!$C$4,0)</f>
        <v>1</v>
      </c>
      <c r="M10" s="4" t="n">
        <f aca="false">IF(Headcount!$D$4&lt;=Timeline!M5,Headcount!$C$4,0)</f>
        <v>1</v>
      </c>
      <c r="N10" s="4" t="n">
        <f aca="false">IF(Headcount!$D$4&lt;=Timeline!N5,Headcount!$C$4,0)</f>
        <v>1</v>
      </c>
      <c r="O10" s="4" t="n">
        <f aca="false">IF(Headcount!$D$4&lt;=Timeline!O5,Headcount!$C$4,0)</f>
        <v>1</v>
      </c>
      <c r="P10" s="4" t="n">
        <f aca="false">IF(Headcount!$D$4&lt;=Timeline!P5,Headcount!$C$4,0)</f>
        <v>1</v>
      </c>
      <c r="Q10" s="4" t="n">
        <f aca="false">IF(Headcount!$D$4&lt;=Timeline!Q5,Headcount!$C$4,0)</f>
        <v>1</v>
      </c>
      <c r="R10" s="4" t="n">
        <f aca="false">IF(Headcount!$D$4&lt;=Timeline!R5,Headcount!$C$4,0)</f>
        <v>1</v>
      </c>
      <c r="S10" s="4" t="n">
        <f aca="false">IF(Headcount!$D$4&lt;=Timeline!S5,Headcount!$C$4,0)</f>
        <v>1</v>
      </c>
      <c r="T10" s="4" t="n">
        <f aca="false">IF(Headcount!$D$4&lt;=Timeline!T5,Headcount!$C$4,0)</f>
        <v>1</v>
      </c>
      <c r="U10" s="4" t="n">
        <f aca="false">IF(Headcount!$D$4&lt;=Timeline!U5,Headcount!$C$4,0)</f>
        <v>1</v>
      </c>
      <c r="V10" s="4" t="n">
        <f aca="false">IF(Headcount!$D$4&lt;=Timeline!V5,Headcount!$C$4,0)</f>
        <v>1</v>
      </c>
      <c r="W10" s="4" t="n">
        <f aca="false">IF(Headcount!$D$4&lt;=Timeline!W5,Headcount!$C$4,0)</f>
        <v>1</v>
      </c>
      <c r="X10" s="4" t="n">
        <f aca="false">IF(Headcount!$D$4&lt;=Timeline!X5,Headcount!$C$4,0)</f>
        <v>1</v>
      </c>
      <c r="Y10" s="4" t="n">
        <f aca="false">IF(Headcount!$D$4&lt;=Timeline!Y5,Headcount!$C$4,0)</f>
        <v>1</v>
      </c>
      <c r="Z10" s="4" t="n">
        <f aca="false">IF(Headcount!$D$4&lt;=Timeline!Z5,Headcount!$C$4,0)</f>
        <v>1</v>
      </c>
      <c r="AA10" s="4" t="n">
        <f aca="false">IF(Headcount!$D$4&lt;=Timeline!AA5,Headcount!$C$4,0)</f>
        <v>1</v>
      </c>
      <c r="AB10" s="4" t="n">
        <f aca="false">IF(Headcount!$D$4&lt;=Timeline!AB5,Headcount!$C$4,0)</f>
        <v>1</v>
      </c>
      <c r="AC10" s="4" t="n">
        <f aca="false">IF(Headcount!$D$4&lt;=DATE(2029,12,31),Headcount!$C$4,0)</f>
        <v>1</v>
      </c>
      <c r="AD10" s="4" t="n">
        <f aca="false">IF(Headcount!$D$4&lt;=DATE(2030,12,31),Headcount!$C$4,0)</f>
        <v>1</v>
      </c>
      <c r="AE10" s="4" t="n">
        <f aca="false">IF(Headcount!$D$4&lt;=DATE(2031,12,31),Headcount!$C$4,0)</f>
        <v>1</v>
      </c>
      <c r="AG10" s="4" t="n">
        <f aca="false">D10</f>
        <v>1</v>
      </c>
      <c r="AH10" s="4" t="n">
        <f aca="false">P10</f>
        <v>1</v>
      </c>
      <c r="AI10" s="4" t="n">
        <f aca="false">AB10</f>
        <v>1</v>
      </c>
      <c r="AJ10" s="4" t="n">
        <f aca="false">AC10</f>
        <v>1</v>
      </c>
      <c r="AK10" s="4" t="n">
        <f aca="false">AD10</f>
        <v>1</v>
      </c>
      <c r="AL10" s="4" t="n">
        <f aca="false">AE10</f>
        <v>1</v>
      </c>
    </row>
    <row r="11" customFormat="false" ht="15" hidden="false" customHeight="false" outlineLevel="0" collapsed="false">
      <c r="A11" s="0" t="str">
        <f aca="false">Headcount!A5</f>
        <v>Founding Eng -- Embedded / firmware</v>
      </c>
      <c r="B11" s="2" t="str">
        <f aca="false">Headcount!B5</f>
        <v>R&amp;D</v>
      </c>
      <c r="C11" s="4" t="n">
        <f aca="false">IF(Headcount!$D$5&lt;=Timeline!C5,Headcount!$C$5,0)</f>
        <v>1</v>
      </c>
      <c r="D11" s="4" t="n">
        <f aca="false">IF(Headcount!$D$5&lt;=Timeline!D5,Headcount!$C$5,0)</f>
        <v>1</v>
      </c>
      <c r="E11" s="4" t="n">
        <f aca="false">IF(Headcount!$D$5&lt;=Timeline!E5,Headcount!$C$5,0)</f>
        <v>1</v>
      </c>
      <c r="F11" s="4" t="n">
        <f aca="false">IF(Headcount!$D$5&lt;=Timeline!F5,Headcount!$C$5,0)</f>
        <v>1</v>
      </c>
      <c r="G11" s="4" t="n">
        <f aca="false">IF(Headcount!$D$5&lt;=Timeline!G5,Headcount!$C$5,0)</f>
        <v>1</v>
      </c>
      <c r="H11" s="4" t="n">
        <f aca="false">IF(Headcount!$D$5&lt;=Timeline!H5,Headcount!$C$5,0)</f>
        <v>1</v>
      </c>
      <c r="I11" s="4" t="n">
        <f aca="false">IF(Headcount!$D$5&lt;=Timeline!I5,Headcount!$C$5,0)</f>
        <v>1</v>
      </c>
      <c r="J11" s="4" t="n">
        <f aca="false">IF(Headcount!$D$5&lt;=Timeline!J5,Headcount!$C$5,0)</f>
        <v>1</v>
      </c>
      <c r="K11" s="4" t="n">
        <f aca="false">IF(Headcount!$D$5&lt;=Timeline!K5,Headcount!$C$5,0)</f>
        <v>1</v>
      </c>
      <c r="L11" s="4" t="n">
        <f aca="false">IF(Headcount!$D$5&lt;=Timeline!L5,Headcount!$C$5,0)</f>
        <v>1</v>
      </c>
      <c r="M11" s="4" t="n">
        <f aca="false">IF(Headcount!$D$5&lt;=Timeline!M5,Headcount!$C$5,0)</f>
        <v>1</v>
      </c>
      <c r="N11" s="4" t="n">
        <f aca="false">IF(Headcount!$D$5&lt;=Timeline!N5,Headcount!$C$5,0)</f>
        <v>1</v>
      </c>
      <c r="O11" s="4" t="n">
        <f aca="false">IF(Headcount!$D$5&lt;=Timeline!O5,Headcount!$C$5,0)</f>
        <v>1</v>
      </c>
      <c r="P11" s="4" t="n">
        <f aca="false">IF(Headcount!$D$5&lt;=Timeline!P5,Headcount!$C$5,0)</f>
        <v>1</v>
      </c>
      <c r="Q11" s="4" t="n">
        <f aca="false">IF(Headcount!$D$5&lt;=Timeline!Q5,Headcount!$C$5,0)</f>
        <v>1</v>
      </c>
      <c r="R11" s="4" t="n">
        <f aca="false">IF(Headcount!$D$5&lt;=Timeline!R5,Headcount!$C$5,0)</f>
        <v>1</v>
      </c>
      <c r="S11" s="4" t="n">
        <f aca="false">IF(Headcount!$D$5&lt;=Timeline!S5,Headcount!$C$5,0)</f>
        <v>1</v>
      </c>
      <c r="T11" s="4" t="n">
        <f aca="false">IF(Headcount!$D$5&lt;=Timeline!T5,Headcount!$C$5,0)</f>
        <v>1</v>
      </c>
      <c r="U11" s="4" t="n">
        <f aca="false">IF(Headcount!$D$5&lt;=Timeline!U5,Headcount!$C$5,0)</f>
        <v>1</v>
      </c>
      <c r="V11" s="4" t="n">
        <f aca="false">IF(Headcount!$D$5&lt;=Timeline!V5,Headcount!$C$5,0)</f>
        <v>1</v>
      </c>
      <c r="W11" s="4" t="n">
        <f aca="false">IF(Headcount!$D$5&lt;=Timeline!W5,Headcount!$C$5,0)</f>
        <v>1</v>
      </c>
      <c r="X11" s="4" t="n">
        <f aca="false">IF(Headcount!$D$5&lt;=Timeline!X5,Headcount!$C$5,0)</f>
        <v>1</v>
      </c>
      <c r="Y11" s="4" t="n">
        <f aca="false">IF(Headcount!$D$5&lt;=Timeline!Y5,Headcount!$C$5,0)</f>
        <v>1</v>
      </c>
      <c r="Z11" s="4" t="n">
        <f aca="false">IF(Headcount!$D$5&lt;=Timeline!Z5,Headcount!$C$5,0)</f>
        <v>1</v>
      </c>
      <c r="AA11" s="4" t="n">
        <f aca="false">IF(Headcount!$D$5&lt;=Timeline!AA5,Headcount!$C$5,0)</f>
        <v>1</v>
      </c>
      <c r="AB11" s="4" t="n">
        <f aca="false">IF(Headcount!$D$5&lt;=Timeline!AB5,Headcount!$C$5,0)</f>
        <v>1</v>
      </c>
      <c r="AC11" s="4" t="n">
        <f aca="false">IF(Headcount!$D$5&lt;=DATE(2029,12,31),Headcount!$C$5,0)</f>
        <v>1</v>
      </c>
      <c r="AD11" s="4" t="n">
        <f aca="false">IF(Headcount!$D$5&lt;=DATE(2030,12,31),Headcount!$C$5,0)</f>
        <v>1</v>
      </c>
      <c r="AE11" s="4" t="n">
        <f aca="false">IF(Headcount!$D$5&lt;=DATE(2031,12,31),Headcount!$C$5,0)</f>
        <v>1</v>
      </c>
      <c r="AG11" s="4" t="n">
        <f aca="false">D11</f>
        <v>1</v>
      </c>
      <c r="AH11" s="4" t="n">
        <f aca="false">P11</f>
        <v>1</v>
      </c>
      <c r="AI11" s="4" t="n">
        <f aca="false">AB11</f>
        <v>1</v>
      </c>
      <c r="AJ11" s="4" t="n">
        <f aca="false">AC11</f>
        <v>1</v>
      </c>
      <c r="AK11" s="4" t="n">
        <f aca="false">AD11</f>
        <v>1</v>
      </c>
      <c r="AL11" s="4" t="n">
        <f aca="false">AE11</f>
        <v>1</v>
      </c>
    </row>
    <row r="12" customFormat="false" ht="15" hidden="false" customHeight="false" outlineLevel="0" collapsed="false">
      <c r="A12" s="0" t="str">
        <f aca="false">Headcount!A6</f>
        <v>Founding Eng -- AI / story engine</v>
      </c>
      <c r="B12" s="2" t="str">
        <f aca="false">Headcount!B6</f>
        <v>R&amp;D</v>
      </c>
      <c r="C12" s="4" t="n">
        <f aca="false">IF(Headcount!$D$6&lt;=Timeline!C5,Headcount!$C$6,0)</f>
        <v>0</v>
      </c>
      <c r="D12" s="4" t="n">
        <f aca="false">IF(Headcount!$D$6&lt;=Timeline!D5,Headcount!$C$6,0)</f>
        <v>1</v>
      </c>
      <c r="E12" s="4" t="n">
        <f aca="false">IF(Headcount!$D$6&lt;=Timeline!E5,Headcount!$C$6,0)</f>
        <v>1</v>
      </c>
      <c r="F12" s="4" t="n">
        <f aca="false">IF(Headcount!$D$6&lt;=Timeline!F5,Headcount!$C$6,0)</f>
        <v>1</v>
      </c>
      <c r="G12" s="4" t="n">
        <f aca="false">IF(Headcount!$D$6&lt;=Timeline!G5,Headcount!$C$6,0)</f>
        <v>1</v>
      </c>
      <c r="H12" s="4" t="n">
        <f aca="false">IF(Headcount!$D$6&lt;=Timeline!H5,Headcount!$C$6,0)</f>
        <v>1</v>
      </c>
      <c r="I12" s="4" t="n">
        <f aca="false">IF(Headcount!$D$6&lt;=Timeline!I5,Headcount!$C$6,0)</f>
        <v>1</v>
      </c>
      <c r="J12" s="4" t="n">
        <f aca="false">IF(Headcount!$D$6&lt;=Timeline!J5,Headcount!$C$6,0)</f>
        <v>1</v>
      </c>
      <c r="K12" s="4" t="n">
        <f aca="false">IF(Headcount!$D$6&lt;=Timeline!K5,Headcount!$C$6,0)</f>
        <v>1</v>
      </c>
      <c r="L12" s="4" t="n">
        <f aca="false">IF(Headcount!$D$6&lt;=Timeline!L5,Headcount!$C$6,0)</f>
        <v>1</v>
      </c>
      <c r="M12" s="4" t="n">
        <f aca="false">IF(Headcount!$D$6&lt;=Timeline!M5,Headcount!$C$6,0)</f>
        <v>1</v>
      </c>
      <c r="N12" s="4" t="n">
        <f aca="false">IF(Headcount!$D$6&lt;=Timeline!N5,Headcount!$C$6,0)</f>
        <v>1</v>
      </c>
      <c r="O12" s="4" t="n">
        <f aca="false">IF(Headcount!$D$6&lt;=Timeline!O5,Headcount!$C$6,0)</f>
        <v>1</v>
      </c>
      <c r="P12" s="4" t="n">
        <f aca="false">IF(Headcount!$D$6&lt;=Timeline!P5,Headcount!$C$6,0)</f>
        <v>1</v>
      </c>
      <c r="Q12" s="4" t="n">
        <f aca="false">IF(Headcount!$D$6&lt;=Timeline!Q5,Headcount!$C$6,0)</f>
        <v>1</v>
      </c>
      <c r="R12" s="4" t="n">
        <f aca="false">IF(Headcount!$D$6&lt;=Timeline!R5,Headcount!$C$6,0)</f>
        <v>1</v>
      </c>
      <c r="S12" s="4" t="n">
        <f aca="false">IF(Headcount!$D$6&lt;=Timeline!S5,Headcount!$C$6,0)</f>
        <v>1</v>
      </c>
      <c r="T12" s="4" t="n">
        <f aca="false">IF(Headcount!$D$6&lt;=Timeline!T5,Headcount!$C$6,0)</f>
        <v>1</v>
      </c>
      <c r="U12" s="4" t="n">
        <f aca="false">IF(Headcount!$D$6&lt;=Timeline!U5,Headcount!$C$6,0)</f>
        <v>1</v>
      </c>
      <c r="V12" s="4" t="n">
        <f aca="false">IF(Headcount!$D$6&lt;=Timeline!V5,Headcount!$C$6,0)</f>
        <v>1</v>
      </c>
      <c r="W12" s="4" t="n">
        <f aca="false">IF(Headcount!$D$6&lt;=Timeline!W5,Headcount!$C$6,0)</f>
        <v>1</v>
      </c>
      <c r="X12" s="4" t="n">
        <f aca="false">IF(Headcount!$D$6&lt;=Timeline!X5,Headcount!$C$6,0)</f>
        <v>1</v>
      </c>
      <c r="Y12" s="4" t="n">
        <f aca="false">IF(Headcount!$D$6&lt;=Timeline!Y5,Headcount!$C$6,0)</f>
        <v>1</v>
      </c>
      <c r="Z12" s="4" t="n">
        <f aca="false">IF(Headcount!$D$6&lt;=Timeline!Z5,Headcount!$C$6,0)</f>
        <v>1</v>
      </c>
      <c r="AA12" s="4" t="n">
        <f aca="false">IF(Headcount!$D$6&lt;=Timeline!AA5,Headcount!$C$6,0)</f>
        <v>1</v>
      </c>
      <c r="AB12" s="4" t="n">
        <f aca="false">IF(Headcount!$D$6&lt;=Timeline!AB5,Headcount!$C$6,0)</f>
        <v>1</v>
      </c>
      <c r="AC12" s="4" t="n">
        <f aca="false">IF(Headcount!$D$6&lt;=DATE(2029,12,31),Headcount!$C$6,0)</f>
        <v>1</v>
      </c>
      <c r="AD12" s="4" t="n">
        <f aca="false">IF(Headcount!$D$6&lt;=DATE(2030,12,31),Headcount!$C$6,0)</f>
        <v>1</v>
      </c>
      <c r="AE12" s="4" t="n">
        <f aca="false">IF(Headcount!$D$6&lt;=DATE(2031,12,31),Headcount!$C$6,0)</f>
        <v>1</v>
      </c>
      <c r="AG12" s="4" t="n">
        <f aca="false">D12</f>
        <v>1</v>
      </c>
      <c r="AH12" s="4" t="n">
        <f aca="false">P12</f>
        <v>1</v>
      </c>
      <c r="AI12" s="4" t="n">
        <f aca="false">AB12</f>
        <v>1</v>
      </c>
      <c r="AJ12" s="4" t="n">
        <f aca="false">AC12</f>
        <v>1</v>
      </c>
      <c r="AK12" s="4" t="n">
        <f aca="false">AD12</f>
        <v>1</v>
      </c>
      <c r="AL12" s="4" t="n">
        <f aca="false">AE12</f>
        <v>1</v>
      </c>
    </row>
    <row r="13" customFormat="false" ht="15" hidden="false" customHeight="false" outlineLevel="0" collapsed="false">
      <c r="A13" s="0" t="str">
        <f aca="false">Headcount!A7</f>
        <v>Founding Eng -- mobile app / backend</v>
      </c>
      <c r="B13" s="2" t="str">
        <f aca="false">Headcount!B7</f>
        <v>R&amp;D</v>
      </c>
      <c r="C13" s="4" t="n">
        <f aca="false">IF(Headcount!$D$7&lt;=Timeline!C5,Headcount!$C$7,0)</f>
        <v>0</v>
      </c>
      <c r="D13" s="4" t="n">
        <f aca="false">IF(Headcount!$D$7&lt;=Timeline!D5,Headcount!$C$7,0)</f>
        <v>0</v>
      </c>
      <c r="E13" s="4" t="n">
        <f aca="false">IF(Headcount!$D$7&lt;=Timeline!E5,Headcount!$C$7,0)</f>
        <v>1</v>
      </c>
      <c r="F13" s="4" t="n">
        <f aca="false">IF(Headcount!$D$7&lt;=Timeline!F5,Headcount!$C$7,0)</f>
        <v>1</v>
      </c>
      <c r="G13" s="4" t="n">
        <f aca="false">IF(Headcount!$D$7&lt;=Timeline!G5,Headcount!$C$7,0)</f>
        <v>1</v>
      </c>
      <c r="H13" s="4" t="n">
        <f aca="false">IF(Headcount!$D$7&lt;=Timeline!H5,Headcount!$C$7,0)</f>
        <v>1</v>
      </c>
      <c r="I13" s="4" t="n">
        <f aca="false">IF(Headcount!$D$7&lt;=Timeline!I5,Headcount!$C$7,0)</f>
        <v>1</v>
      </c>
      <c r="J13" s="4" t="n">
        <f aca="false">IF(Headcount!$D$7&lt;=Timeline!J5,Headcount!$C$7,0)</f>
        <v>1</v>
      </c>
      <c r="K13" s="4" t="n">
        <f aca="false">IF(Headcount!$D$7&lt;=Timeline!K5,Headcount!$C$7,0)</f>
        <v>1</v>
      </c>
      <c r="L13" s="4" t="n">
        <f aca="false">IF(Headcount!$D$7&lt;=Timeline!L5,Headcount!$C$7,0)</f>
        <v>1</v>
      </c>
      <c r="M13" s="4" t="n">
        <f aca="false">IF(Headcount!$D$7&lt;=Timeline!M5,Headcount!$C$7,0)</f>
        <v>1</v>
      </c>
      <c r="N13" s="4" t="n">
        <f aca="false">IF(Headcount!$D$7&lt;=Timeline!N5,Headcount!$C$7,0)</f>
        <v>1</v>
      </c>
      <c r="O13" s="4" t="n">
        <f aca="false">IF(Headcount!$D$7&lt;=Timeline!O5,Headcount!$C$7,0)</f>
        <v>1</v>
      </c>
      <c r="P13" s="4" t="n">
        <f aca="false">IF(Headcount!$D$7&lt;=Timeline!P5,Headcount!$C$7,0)</f>
        <v>1</v>
      </c>
      <c r="Q13" s="4" t="n">
        <f aca="false">IF(Headcount!$D$7&lt;=Timeline!Q5,Headcount!$C$7,0)</f>
        <v>1</v>
      </c>
      <c r="R13" s="4" t="n">
        <f aca="false">IF(Headcount!$D$7&lt;=Timeline!R5,Headcount!$C$7,0)</f>
        <v>1</v>
      </c>
      <c r="S13" s="4" t="n">
        <f aca="false">IF(Headcount!$D$7&lt;=Timeline!S5,Headcount!$C$7,0)</f>
        <v>1</v>
      </c>
      <c r="T13" s="4" t="n">
        <f aca="false">IF(Headcount!$D$7&lt;=Timeline!T5,Headcount!$C$7,0)</f>
        <v>1</v>
      </c>
      <c r="U13" s="4" t="n">
        <f aca="false">IF(Headcount!$D$7&lt;=Timeline!U5,Headcount!$C$7,0)</f>
        <v>1</v>
      </c>
      <c r="V13" s="4" t="n">
        <f aca="false">IF(Headcount!$D$7&lt;=Timeline!V5,Headcount!$C$7,0)</f>
        <v>1</v>
      </c>
      <c r="W13" s="4" t="n">
        <f aca="false">IF(Headcount!$D$7&lt;=Timeline!W5,Headcount!$C$7,0)</f>
        <v>1</v>
      </c>
      <c r="X13" s="4" t="n">
        <f aca="false">IF(Headcount!$D$7&lt;=Timeline!X5,Headcount!$C$7,0)</f>
        <v>1</v>
      </c>
      <c r="Y13" s="4" t="n">
        <f aca="false">IF(Headcount!$D$7&lt;=Timeline!Y5,Headcount!$C$7,0)</f>
        <v>1</v>
      </c>
      <c r="Z13" s="4" t="n">
        <f aca="false">IF(Headcount!$D$7&lt;=Timeline!Z5,Headcount!$C$7,0)</f>
        <v>1</v>
      </c>
      <c r="AA13" s="4" t="n">
        <f aca="false">IF(Headcount!$D$7&lt;=Timeline!AA5,Headcount!$C$7,0)</f>
        <v>1</v>
      </c>
      <c r="AB13" s="4" t="n">
        <f aca="false">IF(Headcount!$D$7&lt;=Timeline!AB5,Headcount!$C$7,0)</f>
        <v>1</v>
      </c>
      <c r="AC13" s="4" t="n">
        <f aca="false">IF(Headcount!$D$7&lt;=DATE(2029,12,31),Headcount!$C$7,0)</f>
        <v>1</v>
      </c>
      <c r="AD13" s="4" t="n">
        <f aca="false">IF(Headcount!$D$7&lt;=DATE(2030,12,31),Headcount!$C$7,0)</f>
        <v>1</v>
      </c>
      <c r="AE13" s="4" t="n">
        <f aca="false">IF(Headcount!$D$7&lt;=DATE(2031,12,31),Headcount!$C$7,0)</f>
        <v>1</v>
      </c>
      <c r="AG13" s="4" t="n">
        <f aca="false">D13</f>
        <v>0</v>
      </c>
      <c r="AH13" s="4" t="n">
        <f aca="false">P13</f>
        <v>1</v>
      </c>
      <c r="AI13" s="4" t="n">
        <f aca="false">AB13</f>
        <v>1</v>
      </c>
      <c r="AJ13" s="4" t="n">
        <f aca="false">AC13</f>
        <v>1</v>
      </c>
      <c r="AK13" s="4" t="n">
        <f aca="false">AD13</f>
        <v>1</v>
      </c>
      <c r="AL13" s="4" t="n">
        <f aca="false">AE13</f>
        <v>1</v>
      </c>
    </row>
    <row r="14" customFormat="false" ht="15" hidden="false" customHeight="false" outlineLevel="0" collapsed="false">
      <c r="A14" s="0" t="str">
        <f aca="false">Headcount!A8</f>
        <v>Hardware lead (systems/EE, ODM mgmt)</v>
      </c>
      <c r="B14" s="2" t="str">
        <f aca="false">Headcount!B8</f>
        <v>R&amp;D</v>
      </c>
      <c r="C14" s="4" t="n">
        <f aca="false">IF(Headcount!$D$8&lt;=Timeline!C5,Headcount!$C$8,0)</f>
        <v>0</v>
      </c>
      <c r="D14" s="4" t="n">
        <f aca="false">IF(Headcount!$D$8&lt;=Timeline!D5,Headcount!$C$8,0)</f>
        <v>0</v>
      </c>
      <c r="E14" s="4" t="n">
        <f aca="false">IF(Headcount!$D$8&lt;=Timeline!E5,Headcount!$C$8,0)</f>
        <v>1</v>
      </c>
      <c r="F14" s="4" t="n">
        <f aca="false">IF(Headcount!$D$8&lt;=Timeline!F5,Headcount!$C$8,0)</f>
        <v>1</v>
      </c>
      <c r="G14" s="4" t="n">
        <f aca="false">IF(Headcount!$D$8&lt;=Timeline!G5,Headcount!$C$8,0)</f>
        <v>1</v>
      </c>
      <c r="H14" s="4" t="n">
        <f aca="false">IF(Headcount!$D$8&lt;=Timeline!H5,Headcount!$C$8,0)</f>
        <v>1</v>
      </c>
      <c r="I14" s="4" t="n">
        <f aca="false">IF(Headcount!$D$8&lt;=Timeline!I5,Headcount!$C$8,0)</f>
        <v>1</v>
      </c>
      <c r="J14" s="4" t="n">
        <f aca="false">IF(Headcount!$D$8&lt;=Timeline!J5,Headcount!$C$8,0)</f>
        <v>1</v>
      </c>
      <c r="K14" s="4" t="n">
        <f aca="false">IF(Headcount!$D$8&lt;=Timeline!K5,Headcount!$C$8,0)</f>
        <v>1</v>
      </c>
      <c r="L14" s="4" t="n">
        <f aca="false">IF(Headcount!$D$8&lt;=Timeline!L5,Headcount!$C$8,0)</f>
        <v>1</v>
      </c>
      <c r="M14" s="4" t="n">
        <f aca="false">IF(Headcount!$D$8&lt;=Timeline!M5,Headcount!$C$8,0)</f>
        <v>1</v>
      </c>
      <c r="N14" s="4" t="n">
        <f aca="false">IF(Headcount!$D$8&lt;=Timeline!N5,Headcount!$C$8,0)</f>
        <v>1</v>
      </c>
      <c r="O14" s="4" t="n">
        <f aca="false">IF(Headcount!$D$8&lt;=Timeline!O5,Headcount!$C$8,0)</f>
        <v>1</v>
      </c>
      <c r="P14" s="4" t="n">
        <f aca="false">IF(Headcount!$D$8&lt;=Timeline!P5,Headcount!$C$8,0)</f>
        <v>1</v>
      </c>
      <c r="Q14" s="4" t="n">
        <f aca="false">IF(Headcount!$D$8&lt;=Timeline!Q5,Headcount!$C$8,0)</f>
        <v>1</v>
      </c>
      <c r="R14" s="4" t="n">
        <f aca="false">IF(Headcount!$D$8&lt;=Timeline!R5,Headcount!$C$8,0)</f>
        <v>1</v>
      </c>
      <c r="S14" s="4" t="n">
        <f aca="false">IF(Headcount!$D$8&lt;=Timeline!S5,Headcount!$C$8,0)</f>
        <v>1</v>
      </c>
      <c r="T14" s="4" t="n">
        <f aca="false">IF(Headcount!$D$8&lt;=Timeline!T5,Headcount!$C$8,0)</f>
        <v>1</v>
      </c>
      <c r="U14" s="4" t="n">
        <f aca="false">IF(Headcount!$D$8&lt;=Timeline!U5,Headcount!$C$8,0)</f>
        <v>1</v>
      </c>
      <c r="V14" s="4" t="n">
        <f aca="false">IF(Headcount!$D$8&lt;=Timeline!V5,Headcount!$C$8,0)</f>
        <v>1</v>
      </c>
      <c r="W14" s="4" t="n">
        <f aca="false">IF(Headcount!$D$8&lt;=Timeline!W5,Headcount!$C$8,0)</f>
        <v>1</v>
      </c>
      <c r="X14" s="4" t="n">
        <f aca="false">IF(Headcount!$D$8&lt;=Timeline!X5,Headcount!$C$8,0)</f>
        <v>1</v>
      </c>
      <c r="Y14" s="4" t="n">
        <f aca="false">IF(Headcount!$D$8&lt;=Timeline!Y5,Headcount!$C$8,0)</f>
        <v>1</v>
      </c>
      <c r="Z14" s="4" t="n">
        <f aca="false">IF(Headcount!$D$8&lt;=Timeline!Z5,Headcount!$C$8,0)</f>
        <v>1</v>
      </c>
      <c r="AA14" s="4" t="n">
        <f aca="false">IF(Headcount!$D$8&lt;=Timeline!AA5,Headcount!$C$8,0)</f>
        <v>1</v>
      </c>
      <c r="AB14" s="4" t="n">
        <f aca="false">IF(Headcount!$D$8&lt;=Timeline!AB5,Headcount!$C$8,0)</f>
        <v>1</v>
      </c>
      <c r="AC14" s="4" t="n">
        <f aca="false">IF(Headcount!$D$8&lt;=DATE(2029,12,31),Headcount!$C$8,0)</f>
        <v>1</v>
      </c>
      <c r="AD14" s="4" t="n">
        <f aca="false">IF(Headcount!$D$8&lt;=DATE(2030,12,31),Headcount!$C$8,0)</f>
        <v>1</v>
      </c>
      <c r="AE14" s="4" t="n">
        <f aca="false">IF(Headcount!$D$8&lt;=DATE(2031,12,31),Headcount!$C$8,0)</f>
        <v>1</v>
      </c>
      <c r="AG14" s="4" t="n">
        <f aca="false">D14</f>
        <v>0</v>
      </c>
      <c r="AH14" s="4" t="n">
        <f aca="false">P14</f>
        <v>1</v>
      </c>
      <c r="AI14" s="4" t="n">
        <f aca="false">AB14</f>
        <v>1</v>
      </c>
      <c r="AJ14" s="4" t="n">
        <f aca="false">AC14</f>
        <v>1</v>
      </c>
      <c r="AK14" s="4" t="n">
        <f aca="false">AD14</f>
        <v>1</v>
      </c>
      <c r="AL14" s="4" t="n">
        <f aca="false">AE14</f>
        <v>1</v>
      </c>
    </row>
    <row r="15" customFormat="false" ht="15" hidden="false" customHeight="false" outlineLevel="0" collapsed="false">
      <c r="A15" s="0" t="str">
        <f aca="false">Headcount!A9</f>
        <v>Community &amp; Kickstarter lead</v>
      </c>
      <c r="B15" s="2" t="str">
        <f aca="false">Headcount!B9</f>
        <v>S&amp;M</v>
      </c>
      <c r="C15" s="4" t="n">
        <f aca="false">IF(Headcount!$D$9&lt;=Timeline!C5,Headcount!$C$9,0)</f>
        <v>0</v>
      </c>
      <c r="D15" s="4" t="n">
        <f aca="false">IF(Headcount!$D$9&lt;=Timeline!D5,Headcount!$C$9,0)</f>
        <v>0</v>
      </c>
      <c r="E15" s="4" t="n">
        <f aca="false">IF(Headcount!$D$9&lt;=Timeline!E5,Headcount!$C$9,0)</f>
        <v>0</v>
      </c>
      <c r="F15" s="4" t="n">
        <f aca="false">IF(Headcount!$D$9&lt;=Timeline!F5,Headcount!$C$9,0)</f>
        <v>1</v>
      </c>
      <c r="G15" s="4" t="n">
        <f aca="false">IF(Headcount!$D$9&lt;=Timeline!G5,Headcount!$C$9,0)</f>
        <v>1</v>
      </c>
      <c r="H15" s="4" t="n">
        <f aca="false">IF(Headcount!$D$9&lt;=Timeline!H5,Headcount!$C$9,0)</f>
        <v>1</v>
      </c>
      <c r="I15" s="4" t="n">
        <f aca="false">IF(Headcount!$D$9&lt;=Timeline!I5,Headcount!$C$9,0)</f>
        <v>1</v>
      </c>
      <c r="J15" s="4" t="n">
        <f aca="false">IF(Headcount!$D$9&lt;=Timeline!J5,Headcount!$C$9,0)</f>
        <v>1</v>
      </c>
      <c r="K15" s="4" t="n">
        <f aca="false">IF(Headcount!$D$9&lt;=Timeline!K5,Headcount!$C$9,0)</f>
        <v>1</v>
      </c>
      <c r="L15" s="4" t="n">
        <f aca="false">IF(Headcount!$D$9&lt;=Timeline!L5,Headcount!$C$9,0)</f>
        <v>1</v>
      </c>
      <c r="M15" s="4" t="n">
        <f aca="false">IF(Headcount!$D$9&lt;=Timeline!M5,Headcount!$C$9,0)</f>
        <v>1</v>
      </c>
      <c r="N15" s="4" t="n">
        <f aca="false">IF(Headcount!$D$9&lt;=Timeline!N5,Headcount!$C$9,0)</f>
        <v>1</v>
      </c>
      <c r="O15" s="4" t="n">
        <f aca="false">IF(Headcount!$D$9&lt;=Timeline!O5,Headcount!$C$9,0)</f>
        <v>1</v>
      </c>
      <c r="P15" s="4" t="n">
        <f aca="false">IF(Headcount!$D$9&lt;=Timeline!P5,Headcount!$C$9,0)</f>
        <v>1</v>
      </c>
      <c r="Q15" s="4" t="n">
        <f aca="false">IF(Headcount!$D$9&lt;=Timeline!Q5,Headcount!$C$9,0)</f>
        <v>1</v>
      </c>
      <c r="R15" s="4" t="n">
        <f aca="false">IF(Headcount!$D$9&lt;=Timeline!R5,Headcount!$C$9,0)</f>
        <v>1</v>
      </c>
      <c r="S15" s="4" t="n">
        <f aca="false">IF(Headcount!$D$9&lt;=Timeline!S5,Headcount!$C$9,0)</f>
        <v>1</v>
      </c>
      <c r="T15" s="4" t="n">
        <f aca="false">IF(Headcount!$D$9&lt;=Timeline!T5,Headcount!$C$9,0)</f>
        <v>1</v>
      </c>
      <c r="U15" s="4" t="n">
        <f aca="false">IF(Headcount!$D$9&lt;=Timeline!U5,Headcount!$C$9,0)</f>
        <v>1</v>
      </c>
      <c r="V15" s="4" t="n">
        <f aca="false">IF(Headcount!$D$9&lt;=Timeline!V5,Headcount!$C$9,0)</f>
        <v>1</v>
      </c>
      <c r="W15" s="4" t="n">
        <f aca="false">IF(Headcount!$D$9&lt;=Timeline!W5,Headcount!$C$9,0)</f>
        <v>1</v>
      </c>
      <c r="X15" s="4" t="n">
        <f aca="false">IF(Headcount!$D$9&lt;=Timeline!X5,Headcount!$C$9,0)</f>
        <v>1</v>
      </c>
      <c r="Y15" s="4" t="n">
        <f aca="false">IF(Headcount!$D$9&lt;=Timeline!Y5,Headcount!$C$9,0)</f>
        <v>1</v>
      </c>
      <c r="Z15" s="4" t="n">
        <f aca="false">IF(Headcount!$D$9&lt;=Timeline!Z5,Headcount!$C$9,0)</f>
        <v>1</v>
      </c>
      <c r="AA15" s="4" t="n">
        <f aca="false">IF(Headcount!$D$9&lt;=Timeline!AA5,Headcount!$C$9,0)</f>
        <v>1</v>
      </c>
      <c r="AB15" s="4" t="n">
        <f aca="false">IF(Headcount!$D$9&lt;=Timeline!AB5,Headcount!$C$9,0)</f>
        <v>1</v>
      </c>
      <c r="AC15" s="4" t="n">
        <f aca="false">IF(Headcount!$D$9&lt;=DATE(2029,12,31),Headcount!$C$9,0)</f>
        <v>1</v>
      </c>
      <c r="AD15" s="4" t="n">
        <f aca="false">IF(Headcount!$D$9&lt;=DATE(2030,12,31),Headcount!$C$9,0)</f>
        <v>1</v>
      </c>
      <c r="AE15" s="4" t="n">
        <f aca="false">IF(Headcount!$D$9&lt;=DATE(2031,12,31),Headcount!$C$9,0)</f>
        <v>1</v>
      </c>
      <c r="AG15" s="4" t="n">
        <f aca="false">D15</f>
        <v>0</v>
      </c>
      <c r="AH15" s="4" t="n">
        <f aca="false">P15</f>
        <v>1</v>
      </c>
      <c r="AI15" s="4" t="n">
        <f aca="false">AB15</f>
        <v>1</v>
      </c>
      <c r="AJ15" s="4" t="n">
        <f aca="false">AC15</f>
        <v>1</v>
      </c>
      <c r="AK15" s="4" t="n">
        <f aca="false">AD15</f>
        <v>1</v>
      </c>
      <c r="AL15" s="4" t="n">
        <f aca="false">AE15</f>
        <v>1</v>
      </c>
    </row>
    <row r="16" customFormat="false" ht="15" hidden="false" customHeight="false" outlineLevel="0" collapsed="false">
      <c r="A16" s="0" t="str">
        <f aca="false">Headcount!A10</f>
        <v>Content editor / historian (City Packs)</v>
      </c>
      <c r="B16" s="2" t="str">
        <f aca="false">Headcount!B10</f>
        <v>R&amp;D</v>
      </c>
      <c r="C16" s="4" t="n">
        <f aca="false">IF(Headcount!$D$10&lt;=Timeline!C5,Headcount!$C$10,0)</f>
        <v>0</v>
      </c>
      <c r="D16" s="4" t="n">
        <f aca="false">IF(Headcount!$D$10&lt;=Timeline!D5,Headcount!$C$10,0)</f>
        <v>0</v>
      </c>
      <c r="E16" s="4" t="n">
        <f aca="false">IF(Headcount!$D$10&lt;=Timeline!E5,Headcount!$C$10,0)</f>
        <v>0</v>
      </c>
      <c r="F16" s="4" t="n">
        <f aca="false">IF(Headcount!$D$10&lt;=Timeline!F5,Headcount!$C$10,0)</f>
        <v>0</v>
      </c>
      <c r="G16" s="4" t="n">
        <f aca="false">IF(Headcount!$D$10&lt;=Timeline!G5,Headcount!$C$10,0)</f>
        <v>1</v>
      </c>
      <c r="H16" s="4" t="n">
        <f aca="false">IF(Headcount!$D$10&lt;=Timeline!H5,Headcount!$C$10,0)</f>
        <v>1</v>
      </c>
      <c r="I16" s="4" t="n">
        <f aca="false">IF(Headcount!$D$10&lt;=Timeline!I5,Headcount!$C$10,0)</f>
        <v>1</v>
      </c>
      <c r="J16" s="4" t="n">
        <f aca="false">IF(Headcount!$D$10&lt;=Timeline!J5,Headcount!$C$10,0)</f>
        <v>1</v>
      </c>
      <c r="K16" s="4" t="n">
        <f aca="false">IF(Headcount!$D$10&lt;=Timeline!K5,Headcount!$C$10,0)</f>
        <v>1</v>
      </c>
      <c r="L16" s="4" t="n">
        <f aca="false">IF(Headcount!$D$10&lt;=Timeline!L5,Headcount!$C$10,0)</f>
        <v>1</v>
      </c>
      <c r="M16" s="4" t="n">
        <f aca="false">IF(Headcount!$D$10&lt;=Timeline!M5,Headcount!$C$10,0)</f>
        <v>1</v>
      </c>
      <c r="N16" s="4" t="n">
        <f aca="false">IF(Headcount!$D$10&lt;=Timeline!N5,Headcount!$C$10,0)</f>
        <v>1</v>
      </c>
      <c r="O16" s="4" t="n">
        <f aca="false">IF(Headcount!$D$10&lt;=Timeline!O5,Headcount!$C$10,0)</f>
        <v>1</v>
      </c>
      <c r="P16" s="4" t="n">
        <f aca="false">IF(Headcount!$D$10&lt;=Timeline!P5,Headcount!$C$10,0)</f>
        <v>1</v>
      </c>
      <c r="Q16" s="4" t="n">
        <f aca="false">IF(Headcount!$D$10&lt;=Timeline!Q5,Headcount!$C$10,0)</f>
        <v>1</v>
      </c>
      <c r="R16" s="4" t="n">
        <f aca="false">IF(Headcount!$D$10&lt;=Timeline!R5,Headcount!$C$10,0)</f>
        <v>1</v>
      </c>
      <c r="S16" s="4" t="n">
        <f aca="false">IF(Headcount!$D$10&lt;=Timeline!S5,Headcount!$C$10,0)</f>
        <v>1</v>
      </c>
      <c r="T16" s="4" t="n">
        <f aca="false">IF(Headcount!$D$10&lt;=Timeline!T5,Headcount!$C$10,0)</f>
        <v>1</v>
      </c>
      <c r="U16" s="4" t="n">
        <f aca="false">IF(Headcount!$D$10&lt;=Timeline!U5,Headcount!$C$10,0)</f>
        <v>1</v>
      </c>
      <c r="V16" s="4" t="n">
        <f aca="false">IF(Headcount!$D$10&lt;=Timeline!V5,Headcount!$C$10,0)</f>
        <v>1</v>
      </c>
      <c r="W16" s="4" t="n">
        <f aca="false">IF(Headcount!$D$10&lt;=Timeline!W5,Headcount!$C$10,0)</f>
        <v>1</v>
      </c>
      <c r="X16" s="4" t="n">
        <f aca="false">IF(Headcount!$D$10&lt;=Timeline!X5,Headcount!$C$10,0)</f>
        <v>1</v>
      </c>
      <c r="Y16" s="4" t="n">
        <f aca="false">IF(Headcount!$D$10&lt;=Timeline!Y5,Headcount!$C$10,0)</f>
        <v>1</v>
      </c>
      <c r="Z16" s="4" t="n">
        <f aca="false">IF(Headcount!$D$10&lt;=Timeline!Z5,Headcount!$C$10,0)</f>
        <v>1</v>
      </c>
      <c r="AA16" s="4" t="n">
        <f aca="false">IF(Headcount!$D$10&lt;=Timeline!AA5,Headcount!$C$10,0)</f>
        <v>1</v>
      </c>
      <c r="AB16" s="4" t="n">
        <f aca="false">IF(Headcount!$D$10&lt;=Timeline!AB5,Headcount!$C$10,0)</f>
        <v>1</v>
      </c>
      <c r="AC16" s="4" t="n">
        <f aca="false">IF(Headcount!$D$10&lt;=DATE(2029,12,31),Headcount!$C$10,0)</f>
        <v>1</v>
      </c>
      <c r="AD16" s="4" t="n">
        <f aca="false">IF(Headcount!$D$10&lt;=DATE(2030,12,31),Headcount!$C$10,0)</f>
        <v>1</v>
      </c>
      <c r="AE16" s="4" t="n">
        <f aca="false">IF(Headcount!$D$10&lt;=DATE(2031,12,31),Headcount!$C$10,0)</f>
        <v>1</v>
      </c>
      <c r="AG16" s="4" t="n">
        <f aca="false">D16</f>
        <v>0</v>
      </c>
      <c r="AH16" s="4" t="n">
        <f aca="false">P16</f>
        <v>1</v>
      </c>
      <c r="AI16" s="4" t="n">
        <f aca="false">AB16</f>
        <v>1</v>
      </c>
      <c r="AJ16" s="4" t="n">
        <f aca="false">AC16</f>
        <v>1</v>
      </c>
      <c r="AK16" s="4" t="n">
        <f aca="false">AD16</f>
        <v>1</v>
      </c>
      <c r="AL16" s="4" t="n">
        <f aca="false">AE16</f>
        <v>1</v>
      </c>
    </row>
    <row r="17" customFormat="false" ht="15" hidden="false" customHeight="false" outlineLevel="0" collapsed="false">
      <c r="A17" s="0" t="str">
        <f aca="false">Headcount!A11</f>
        <v>Head of operations &amp; supply chain</v>
      </c>
      <c r="B17" s="2" t="str">
        <f aca="false">Headcount!B11</f>
        <v>Ops &amp; CS</v>
      </c>
      <c r="C17" s="4" t="n">
        <f aca="false">IF(Headcount!$D$11&lt;=Timeline!C5,Headcount!$C$11,0)</f>
        <v>0</v>
      </c>
      <c r="D17" s="4" t="n">
        <f aca="false">IF(Headcount!$D$11&lt;=Timeline!D5,Headcount!$C$11,0)</f>
        <v>0</v>
      </c>
      <c r="E17" s="4" t="n">
        <f aca="false">IF(Headcount!$D$11&lt;=Timeline!E5,Headcount!$C$11,0)</f>
        <v>0</v>
      </c>
      <c r="F17" s="4" t="n">
        <f aca="false">IF(Headcount!$D$11&lt;=Timeline!F5,Headcount!$C$11,0)</f>
        <v>0</v>
      </c>
      <c r="G17" s="4" t="n">
        <f aca="false">IF(Headcount!$D$11&lt;=Timeline!G5,Headcount!$C$11,0)</f>
        <v>0</v>
      </c>
      <c r="H17" s="4" t="n">
        <f aca="false">IF(Headcount!$D$11&lt;=Timeline!H5,Headcount!$C$11,0)</f>
        <v>0</v>
      </c>
      <c r="I17" s="4" t="n">
        <f aca="false">IF(Headcount!$D$11&lt;=Timeline!I5,Headcount!$C$11,0)</f>
        <v>0</v>
      </c>
      <c r="J17" s="4" t="n">
        <f aca="false">IF(Headcount!$D$11&lt;=Timeline!J5,Headcount!$C$11,0)</f>
        <v>0</v>
      </c>
      <c r="K17" s="4" t="n">
        <f aca="false">IF(Headcount!$D$11&lt;=Timeline!K5,Headcount!$C$11,0)</f>
        <v>0</v>
      </c>
      <c r="L17" s="4" t="n">
        <f aca="false">IF(Headcount!$D$11&lt;=Timeline!L5,Headcount!$C$11,0)</f>
        <v>1</v>
      </c>
      <c r="M17" s="4" t="n">
        <f aca="false">IF(Headcount!$D$11&lt;=Timeline!M5,Headcount!$C$11,0)</f>
        <v>1</v>
      </c>
      <c r="N17" s="4" t="n">
        <f aca="false">IF(Headcount!$D$11&lt;=Timeline!N5,Headcount!$C$11,0)</f>
        <v>1</v>
      </c>
      <c r="O17" s="4" t="n">
        <f aca="false">IF(Headcount!$D$11&lt;=Timeline!O5,Headcount!$C$11,0)</f>
        <v>1</v>
      </c>
      <c r="P17" s="4" t="n">
        <f aca="false">IF(Headcount!$D$11&lt;=Timeline!P5,Headcount!$C$11,0)</f>
        <v>1</v>
      </c>
      <c r="Q17" s="4" t="n">
        <f aca="false">IF(Headcount!$D$11&lt;=Timeline!Q5,Headcount!$C$11,0)</f>
        <v>1</v>
      </c>
      <c r="R17" s="4" t="n">
        <f aca="false">IF(Headcount!$D$11&lt;=Timeline!R5,Headcount!$C$11,0)</f>
        <v>1</v>
      </c>
      <c r="S17" s="4" t="n">
        <f aca="false">IF(Headcount!$D$11&lt;=Timeline!S5,Headcount!$C$11,0)</f>
        <v>1</v>
      </c>
      <c r="T17" s="4" t="n">
        <f aca="false">IF(Headcount!$D$11&lt;=Timeline!T5,Headcount!$C$11,0)</f>
        <v>1</v>
      </c>
      <c r="U17" s="4" t="n">
        <f aca="false">IF(Headcount!$D$11&lt;=Timeline!U5,Headcount!$C$11,0)</f>
        <v>1</v>
      </c>
      <c r="V17" s="4" t="n">
        <f aca="false">IF(Headcount!$D$11&lt;=Timeline!V5,Headcount!$C$11,0)</f>
        <v>1</v>
      </c>
      <c r="W17" s="4" t="n">
        <f aca="false">IF(Headcount!$D$11&lt;=Timeline!W5,Headcount!$C$11,0)</f>
        <v>1</v>
      </c>
      <c r="X17" s="4" t="n">
        <f aca="false">IF(Headcount!$D$11&lt;=Timeline!X5,Headcount!$C$11,0)</f>
        <v>1</v>
      </c>
      <c r="Y17" s="4" t="n">
        <f aca="false">IF(Headcount!$D$11&lt;=Timeline!Y5,Headcount!$C$11,0)</f>
        <v>1</v>
      </c>
      <c r="Z17" s="4" t="n">
        <f aca="false">IF(Headcount!$D$11&lt;=Timeline!Z5,Headcount!$C$11,0)</f>
        <v>1</v>
      </c>
      <c r="AA17" s="4" t="n">
        <f aca="false">IF(Headcount!$D$11&lt;=Timeline!AA5,Headcount!$C$11,0)</f>
        <v>1</v>
      </c>
      <c r="AB17" s="4" t="n">
        <f aca="false">IF(Headcount!$D$11&lt;=Timeline!AB5,Headcount!$C$11,0)</f>
        <v>1</v>
      </c>
      <c r="AC17" s="4" t="n">
        <f aca="false">IF(Headcount!$D$11&lt;=DATE(2029,12,31),Headcount!$C$11,0)</f>
        <v>1</v>
      </c>
      <c r="AD17" s="4" t="n">
        <f aca="false">IF(Headcount!$D$11&lt;=DATE(2030,12,31),Headcount!$C$11,0)</f>
        <v>1</v>
      </c>
      <c r="AE17" s="4" t="n">
        <f aca="false">IF(Headcount!$D$11&lt;=DATE(2031,12,31),Headcount!$C$11,0)</f>
        <v>1</v>
      </c>
      <c r="AG17" s="4" t="n">
        <f aca="false">D17</f>
        <v>0</v>
      </c>
      <c r="AH17" s="4" t="n">
        <f aca="false">P17</f>
        <v>1</v>
      </c>
      <c r="AI17" s="4" t="n">
        <f aca="false">AB17</f>
        <v>1</v>
      </c>
      <c r="AJ17" s="4" t="n">
        <f aca="false">AC17</f>
        <v>1</v>
      </c>
      <c r="AK17" s="4" t="n">
        <f aca="false">AD17</f>
        <v>1</v>
      </c>
      <c r="AL17" s="4" t="n">
        <f aca="false">AE17</f>
        <v>1</v>
      </c>
    </row>
    <row r="18" customFormat="false" ht="15" hidden="false" customHeight="false" outlineLevel="0" collapsed="false">
      <c r="A18" s="0" t="str">
        <f aca="false">Headcount!A12</f>
        <v>Firmware engineer #2</v>
      </c>
      <c r="B18" s="2" t="str">
        <f aca="false">Headcount!B12</f>
        <v>R&amp;D</v>
      </c>
      <c r="C18" s="4" t="n">
        <f aca="false">IF(Headcount!$D$12&lt;=Timeline!C5,Headcount!$C$12,0)</f>
        <v>0</v>
      </c>
      <c r="D18" s="4" t="n">
        <f aca="false">IF(Headcount!$D$12&lt;=Timeline!D5,Headcount!$C$12,0)</f>
        <v>0</v>
      </c>
      <c r="E18" s="4" t="n">
        <f aca="false">IF(Headcount!$D$12&lt;=Timeline!E5,Headcount!$C$12,0)</f>
        <v>0</v>
      </c>
      <c r="F18" s="4" t="n">
        <f aca="false">IF(Headcount!$D$12&lt;=Timeline!F5,Headcount!$C$12,0)</f>
        <v>0</v>
      </c>
      <c r="G18" s="4" t="n">
        <f aca="false">IF(Headcount!$D$12&lt;=Timeline!G5,Headcount!$C$12,0)</f>
        <v>0</v>
      </c>
      <c r="H18" s="4" t="n">
        <f aca="false">IF(Headcount!$D$12&lt;=Timeline!H5,Headcount!$C$12,0)</f>
        <v>0</v>
      </c>
      <c r="I18" s="4" t="n">
        <f aca="false">IF(Headcount!$D$12&lt;=Timeline!I5,Headcount!$C$12,0)</f>
        <v>0</v>
      </c>
      <c r="J18" s="4" t="n">
        <f aca="false">IF(Headcount!$D$12&lt;=Timeline!J5,Headcount!$C$12,0)</f>
        <v>0</v>
      </c>
      <c r="K18" s="4" t="n">
        <f aca="false">IF(Headcount!$D$12&lt;=Timeline!K5,Headcount!$C$12,0)</f>
        <v>0</v>
      </c>
      <c r="L18" s="4" t="n">
        <f aca="false">IF(Headcount!$D$12&lt;=Timeline!L5,Headcount!$C$12,0)</f>
        <v>1</v>
      </c>
      <c r="M18" s="4" t="n">
        <f aca="false">IF(Headcount!$D$12&lt;=Timeline!M5,Headcount!$C$12,0)</f>
        <v>1</v>
      </c>
      <c r="N18" s="4" t="n">
        <f aca="false">IF(Headcount!$D$12&lt;=Timeline!N5,Headcount!$C$12,0)</f>
        <v>1</v>
      </c>
      <c r="O18" s="4" t="n">
        <f aca="false">IF(Headcount!$D$12&lt;=Timeline!O5,Headcount!$C$12,0)</f>
        <v>1</v>
      </c>
      <c r="P18" s="4" t="n">
        <f aca="false">IF(Headcount!$D$12&lt;=Timeline!P5,Headcount!$C$12,0)</f>
        <v>1</v>
      </c>
      <c r="Q18" s="4" t="n">
        <f aca="false">IF(Headcount!$D$12&lt;=Timeline!Q5,Headcount!$C$12,0)</f>
        <v>1</v>
      </c>
      <c r="R18" s="4" t="n">
        <f aca="false">IF(Headcount!$D$12&lt;=Timeline!R5,Headcount!$C$12,0)</f>
        <v>1</v>
      </c>
      <c r="S18" s="4" t="n">
        <f aca="false">IF(Headcount!$D$12&lt;=Timeline!S5,Headcount!$C$12,0)</f>
        <v>1</v>
      </c>
      <c r="T18" s="4" t="n">
        <f aca="false">IF(Headcount!$D$12&lt;=Timeline!T5,Headcount!$C$12,0)</f>
        <v>1</v>
      </c>
      <c r="U18" s="4" t="n">
        <f aca="false">IF(Headcount!$D$12&lt;=Timeline!U5,Headcount!$C$12,0)</f>
        <v>1</v>
      </c>
      <c r="V18" s="4" t="n">
        <f aca="false">IF(Headcount!$D$12&lt;=Timeline!V5,Headcount!$C$12,0)</f>
        <v>1</v>
      </c>
      <c r="W18" s="4" t="n">
        <f aca="false">IF(Headcount!$D$12&lt;=Timeline!W5,Headcount!$C$12,0)</f>
        <v>1</v>
      </c>
      <c r="X18" s="4" t="n">
        <f aca="false">IF(Headcount!$D$12&lt;=Timeline!X5,Headcount!$C$12,0)</f>
        <v>1</v>
      </c>
      <c r="Y18" s="4" t="n">
        <f aca="false">IF(Headcount!$D$12&lt;=Timeline!Y5,Headcount!$C$12,0)</f>
        <v>1</v>
      </c>
      <c r="Z18" s="4" t="n">
        <f aca="false">IF(Headcount!$D$12&lt;=Timeline!Z5,Headcount!$C$12,0)</f>
        <v>1</v>
      </c>
      <c r="AA18" s="4" t="n">
        <f aca="false">IF(Headcount!$D$12&lt;=Timeline!AA5,Headcount!$C$12,0)</f>
        <v>1</v>
      </c>
      <c r="AB18" s="4" t="n">
        <f aca="false">IF(Headcount!$D$12&lt;=Timeline!AB5,Headcount!$C$12,0)</f>
        <v>1</v>
      </c>
      <c r="AC18" s="4" t="n">
        <f aca="false">IF(Headcount!$D$12&lt;=DATE(2029,12,31),Headcount!$C$12,0)</f>
        <v>1</v>
      </c>
      <c r="AD18" s="4" t="n">
        <f aca="false">IF(Headcount!$D$12&lt;=DATE(2030,12,31),Headcount!$C$12,0)</f>
        <v>1</v>
      </c>
      <c r="AE18" s="4" t="n">
        <f aca="false">IF(Headcount!$D$12&lt;=DATE(2031,12,31),Headcount!$C$12,0)</f>
        <v>1</v>
      </c>
      <c r="AG18" s="4" t="n">
        <f aca="false">D18</f>
        <v>0</v>
      </c>
      <c r="AH18" s="4" t="n">
        <f aca="false">P18</f>
        <v>1</v>
      </c>
      <c r="AI18" s="4" t="n">
        <f aca="false">AB18</f>
        <v>1</v>
      </c>
      <c r="AJ18" s="4" t="n">
        <f aca="false">AC18</f>
        <v>1</v>
      </c>
      <c r="AK18" s="4" t="n">
        <f aca="false">AD18</f>
        <v>1</v>
      </c>
      <c r="AL18" s="4" t="n">
        <f aca="false">AE18</f>
        <v>1</v>
      </c>
    </row>
    <row r="19" customFormat="false" ht="15" hidden="false" customHeight="false" outlineLevel="0" collapsed="false">
      <c r="A19" s="0" t="str">
        <f aca="false">Headcount!A13</f>
        <v>Map Vision / sensor-fusion engineer</v>
      </c>
      <c r="B19" s="2" t="str">
        <f aca="false">Headcount!B13</f>
        <v>R&amp;D</v>
      </c>
      <c r="C19" s="4" t="n">
        <f aca="false">IF(Headcount!$D$13&lt;=Timeline!C5,Headcount!$C$13,0)</f>
        <v>0</v>
      </c>
      <c r="D19" s="4" t="n">
        <f aca="false">IF(Headcount!$D$13&lt;=Timeline!D5,Headcount!$C$13,0)</f>
        <v>0</v>
      </c>
      <c r="E19" s="4" t="n">
        <f aca="false">IF(Headcount!$D$13&lt;=Timeline!E5,Headcount!$C$13,0)</f>
        <v>0</v>
      </c>
      <c r="F19" s="4" t="n">
        <f aca="false">IF(Headcount!$D$13&lt;=Timeline!F5,Headcount!$C$13,0)</f>
        <v>0</v>
      </c>
      <c r="G19" s="4" t="n">
        <f aca="false">IF(Headcount!$D$13&lt;=Timeline!G5,Headcount!$C$13,0)</f>
        <v>0</v>
      </c>
      <c r="H19" s="4" t="n">
        <f aca="false">IF(Headcount!$D$13&lt;=Timeline!H5,Headcount!$C$13,0)</f>
        <v>0</v>
      </c>
      <c r="I19" s="4" t="n">
        <f aca="false">IF(Headcount!$D$13&lt;=Timeline!I5,Headcount!$C$13,0)</f>
        <v>0</v>
      </c>
      <c r="J19" s="4" t="n">
        <f aca="false">IF(Headcount!$D$13&lt;=Timeline!J5,Headcount!$C$13,0)</f>
        <v>0</v>
      </c>
      <c r="K19" s="4" t="n">
        <f aca="false">IF(Headcount!$D$13&lt;=Timeline!K5,Headcount!$C$13,0)</f>
        <v>0</v>
      </c>
      <c r="L19" s="4" t="n">
        <f aca="false">IF(Headcount!$D$13&lt;=Timeline!L5,Headcount!$C$13,0)</f>
        <v>0</v>
      </c>
      <c r="M19" s="4" t="n">
        <f aca="false">IF(Headcount!$D$13&lt;=Timeline!M5,Headcount!$C$13,0)</f>
        <v>1</v>
      </c>
      <c r="N19" s="4" t="n">
        <f aca="false">IF(Headcount!$D$13&lt;=Timeline!N5,Headcount!$C$13,0)</f>
        <v>1</v>
      </c>
      <c r="O19" s="4" t="n">
        <f aca="false">IF(Headcount!$D$13&lt;=Timeline!O5,Headcount!$C$13,0)</f>
        <v>1</v>
      </c>
      <c r="P19" s="4" t="n">
        <f aca="false">IF(Headcount!$D$13&lt;=Timeline!P5,Headcount!$C$13,0)</f>
        <v>1</v>
      </c>
      <c r="Q19" s="4" t="n">
        <f aca="false">IF(Headcount!$D$13&lt;=Timeline!Q5,Headcount!$C$13,0)</f>
        <v>1</v>
      </c>
      <c r="R19" s="4" t="n">
        <f aca="false">IF(Headcount!$D$13&lt;=Timeline!R5,Headcount!$C$13,0)</f>
        <v>1</v>
      </c>
      <c r="S19" s="4" t="n">
        <f aca="false">IF(Headcount!$D$13&lt;=Timeline!S5,Headcount!$C$13,0)</f>
        <v>1</v>
      </c>
      <c r="T19" s="4" t="n">
        <f aca="false">IF(Headcount!$D$13&lt;=Timeline!T5,Headcount!$C$13,0)</f>
        <v>1</v>
      </c>
      <c r="U19" s="4" t="n">
        <f aca="false">IF(Headcount!$D$13&lt;=Timeline!U5,Headcount!$C$13,0)</f>
        <v>1</v>
      </c>
      <c r="V19" s="4" t="n">
        <f aca="false">IF(Headcount!$D$13&lt;=Timeline!V5,Headcount!$C$13,0)</f>
        <v>1</v>
      </c>
      <c r="W19" s="4" t="n">
        <f aca="false">IF(Headcount!$D$13&lt;=Timeline!W5,Headcount!$C$13,0)</f>
        <v>1</v>
      </c>
      <c r="X19" s="4" t="n">
        <f aca="false">IF(Headcount!$D$13&lt;=Timeline!X5,Headcount!$C$13,0)</f>
        <v>1</v>
      </c>
      <c r="Y19" s="4" t="n">
        <f aca="false">IF(Headcount!$D$13&lt;=Timeline!Y5,Headcount!$C$13,0)</f>
        <v>1</v>
      </c>
      <c r="Z19" s="4" t="n">
        <f aca="false">IF(Headcount!$D$13&lt;=Timeline!Z5,Headcount!$C$13,0)</f>
        <v>1</v>
      </c>
      <c r="AA19" s="4" t="n">
        <f aca="false">IF(Headcount!$D$13&lt;=Timeline!AA5,Headcount!$C$13,0)</f>
        <v>1</v>
      </c>
      <c r="AB19" s="4" t="n">
        <f aca="false">IF(Headcount!$D$13&lt;=Timeline!AB5,Headcount!$C$13,0)</f>
        <v>1</v>
      </c>
      <c r="AC19" s="4" t="n">
        <f aca="false">IF(Headcount!$D$13&lt;=DATE(2029,12,31),Headcount!$C$13,0)</f>
        <v>1</v>
      </c>
      <c r="AD19" s="4" t="n">
        <f aca="false">IF(Headcount!$D$13&lt;=DATE(2030,12,31),Headcount!$C$13,0)</f>
        <v>1</v>
      </c>
      <c r="AE19" s="4" t="n">
        <f aca="false">IF(Headcount!$D$13&lt;=DATE(2031,12,31),Headcount!$C$13,0)</f>
        <v>1</v>
      </c>
      <c r="AG19" s="4" t="n">
        <f aca="false">D19</f>
        <v>0</v>
      </c>
      <c r="AH19" s="4" t="n">
        <f aca="false">P19</f>
        <v>1</v>
      </c>
      <c r="AI19" s="4" t="n">
        <f aca="false">AB19</f>
        <v>1</v>
      </c>
      <c r="AJ19" s="4" t="n">
        <f aca="false">AC19</f>
        <v>1</v>
      </c>
      <c r="AK19" s="4" t="n">
        <f aca="false">AD19</f>
        <v>1</v>
      </c>
      <c r="AL19" s="4" t="n">
        <f aca="false">AE19</f>
        <v>1</v>
      </c>
    </row>
    <row r="20" customFormat="false" ht="15" hidden="false" customHeight="false" outlineLevel="0" collapsed="false">
      <c r="A20" s="0" t="str">
        <f aca="false">Headcount!A14</f>
        <v>Product designer (device + app UX)</v>
      </c>
      <c r="B20" s="2" t="str">
        <f aca="false">Headcount!B14</f>
        <v>R&amp;D</v>
      </c>
      <c r="C20" s="4" t="n">
        <f aca="false">IF(Headcount!$D$14&lt;=Timeline!C5,Headcount!$C$14,0)</f>
        <v>0</v>
      </c>
      <c r="D20" s="4" t="n">
        <f aca="false">IF(Headcount!$D$14&lt;=Timeline!D5,Headcount!$C$14,0)</f>
        <v>0</v>
      </c>
      <c r="E20" s="4" t="n">
        <f aca="false">IF(Headcount!$D$14&lt;=Timeline!E5,Headcount!$C$14,0)</f>
        <v>0</v>
      </c>
      <c r="F20" s="4" t="n">
        <f aca="false">IF(Headcount!$D$14&lt;=Timeline!F5,Headcount!$C$14,0)</f>
        <v>0</v>
      </c>
      <c r="G20" s="4" t="n">
        <f aca="false">IF(Headcount!$D$14&lt;=Timeline!G5,Headcount!$C$14,0)</f>
        <v>0</v>
      </c>
      <c r="H20" s="4" t="n">
        <f aca="false">IF(Headcount!$D$14&lt;=Timeline!H5,Headcount!$C$14,0)</f>
        <v>0</v>
      </c>
      <c r="I20" s="4" t="n">
        <f aca="false">IF(Headcount!$D$14&lt;=Timeline!I5,Headcount!$C$14,0)</f>
        <v>0</v>
      </c>
      <c r="J20" s="4" t="n">
        <f aca="false">IF(Headcount!$D$14&lt;=Timeline!J5,Headcount!$C$14,0)</f>
        <v>0</v>
      </c>
      <c r="K20" s="4" t="n">
        <f aca="false">IF(Headcount!$D$14&lt;=Timeline!K5,Headcount!$C$14,0)</f>
        <v>0</v>
      </c>
      <c r="L20" s="4" t="n">
        <f aca="false">IF(Headcount!$D$14&lt;=Timeline!L5,Headcount!$C$14,0)</f>
        <v>0</v>
      </c>
      <c r="M20" s="4" t="n">
        <f aca="false">IF(Headcount!$D$14&lt;=Timeline!M5,Headcount!$C$14,0)</f>
        <v>1</v>
      </c>
      <c r="N20" s="4" t="n">
        <f aca="false">IF(Headcount!$D$14&lt;=Timeline!N5,Headcount!$C$14,0)</f>
        <v>1</v>
      </c>
      <c r="O20" s="4" t="n">
        <f aca="false">IF(Headcount!$D$14&lt;=Timeline!O5,Headcount!$C$14,0)</f>
        <v>1</v>
      </c>
      <c r="P20" s="4" t="n">
        <f aca="false">IF(Headcount!$D$14&lt;=Timeline!P5,Headcount!$C$14,0)</f>
        <v>1</v>
      </c>
      <c r="Q20" s="4" t="n">
        <f aca="false">IF(Headcount!$D$14&lt;=Timeline!Q5,Headcount!$C$14,0)</f>
        <v>1</v>
      </c>
      <c r="R20" s="4" t="n">
        <f aca="false">IF(Headcount!$D$14&lt;=Timeline!R5,Headcount!$C$14,0)</f>
        <v>1</v>
      </c>
      <c r="S20" s="4" t="n">
        <f aca="false">IF(Headcount!$D$14&lt;=Timeline!S5,Headcount!$C$14,0)</f>
        <v>1</v>
      </c>
      <c r="T20" s="4" t="n">
        <f aca="false">IF(Headcount!$D$14&lt;=Timeline!T5,Headcount!$C$14,0)</f>
        <v>1</v>
      </c>
      <c r="U20" s="4" t="n">
        <f aca="false">IF(Headcount!$D$14&lt;=Timeline!U5,Headcount!$C$14,0)</f>
        <v>1</v>
      </c>
      <c r="V20" s="4" t="n">
        <f aca="false">IF(Headcount!$D$14&lt;=Timeline!V5,Headcount!$C$14,0)</f>
        <v>1</v>
      </c>
      <c r="W20" s="4" t="n">
        <f aca="false">IF(Headcount!$D$14&lt;=Timeline!W5,Headcount!$C$14,0)</f>
        <v>1</v>
      </c>
      <c r="X20" s="4" t="n">
        <f aca="false">IF(Headcount!$D$14&lt;=Timeline!X5,Headcount!$C$14,0)</f>
        <v>1</v>
      </c>
      <c r="Y20" s="4" t="n">
        <f aca="false">IF(Headcount!$D$14&lt;=Timeline!Y5,Headcount!$C$14,0)</f>
        <v>1</v>
      </c>
      <c r="Z20" s="4" t="n">
        <f aca="false">IF(Headcount!$D$14&lt;=Timeline!Z5,Headcount!$C$14,0)</f>
        <v>1</v>
      </c>
      <c r="AA20" s="4" t="n">
        <f aca="false">IF(Headcount!$D$14&lt;=Timeline!AA5,Headcount!$C$14,0)</f>
        <v>1</v>
      </c>
      <c r="AB20" s="4" t="n">
        <f aca="false">IF(Headcount!$D$14&lt;=Timeline!AB5,Headcount!$C$14,0)</f>
        <v>1</v>
      </c>
      <c r="AC20" s="4" t="n">
        <f aca="false">IF(Headcount!$D$14&lt;=DATE(2029,12,31),Headcount!$C$14,0)</f>
        <v>1</v>
      </c>
      <c r="AD20" s="4" t="n">
        <f aca="false">IF(Headcount!$D$14&lt;=DATE(2030,12,31),Headcount!$C$14,0)</f>
        <v>1</v>
      </c>
      <c r="AE20" s="4" t="n">
        <f aca="false">IF(Headcount!$D$14&lt;=DATE(2031,12,31),Headcount!$C$14,0)</f>
        <v>1</v>
      </c>
      <c r="AG20" s="4" t="n">
        <f aca="false">D20</f>
        <v>0</v>
      </c>
      <c r="AH20" s="4" t="n">
        <f aca="false">P20</f>
        <v>1</v>
      </c>
      <c r="AI20" s="4" t="n">
        <f aca="false">AB20</f>
        <v>1</v>
      </c>
      <c r="AJ20" s="4" t="n">
        <f aca="false">AC20</f>
        <v>1</v>
      </c>
      <c r="AK20" s="4" t="n">
        <f aca="false">AD20</f>
        <v>1</v>
      </c>
      <c r="AL20" s="4" t="n">
        <f aca="false">AE20</f>
        <v>1</v>
      </c>
    </row>
    <row r="21" customFormat="false" ht="15" hidden="false" customHeight="false" outlineLevel="0" collapsed="false">
      <c r="A21" s="0" t="str">
        <f aca="false">Headcount!A15</f>
        <v>Customer support lead</v>
      </c>
      <c r="B21" s="2" t="str">
        <f aca="false">Headcount!B15</f>
        <v>Ops &amp; CS</v>
      </c>
      <c r="C21" s="4" t="n">
        <f aca="false">IF(Headcount!$D$15&lt;=Timeline!C5,Headcount!$C$15,0)</f>
        <v>0</v>
      </c>
      <c r="D21" s="4" t="n">
        <f aca="false">IF(Headcount!$D$15&lt;=Timeline!D5,Headcount!$C$15,0)</f>
        <v>0</v>
      </c>
      <c r="E21" s="4" t="n">
        <f aca="false">IF(Headcount!$D$15&lt;=Timeline!E5,Headcount!$C$15,0)</f>
        <v>0</v>
      </c>
      <c r="F21" s="4" t="n">
        <f aca="false">IF(Headcount!$D$15&lt;=Timeline!F5,Headcount!$C$15,0)</f>
        <v>0</v>
      </c>
      <c r="G21" s="4" t="n">
        <f aca="false">IF(Headcount!$D$15&lt;=Timeline!G5,Headcount!$C$15,0)</f>
        <v>0</v>
      </c>
      <c r="H21" s="4" t="n">
        <f aca="false">IF(Headcount!$D$15&lt;=Timeline!H5,Headcount!$C$15,0)</f>
        <v>0</v>
      </c>
      <c r="I21" s="4" t="n">
        <f aca="false">IF(Headcount!$D$15&lt;=Timeline!I5,Headcount!$C$15,0)</f>
        <v>0</v>
      </c>
      <c r="J21" s="4" t="n">
        <f aca="false">IF(Headcount!$D$15&lt;=Timeline!J5,Headcount!$C$15,0)</f>
        <v>0</v>
      </c>
      <c r="K21" s="4" t="n">
        <f aca="false">IF(Headcount!$D$15&lt;=Timeline!K5,Headcount!$C$15,0)</f>
        <v>0</v>
      </c>
      <c r="L21" s="4" t="n">
        <f aca="false">IF(Headcount!$D$15&lt;=Timeline!L5,Headcount!$C$15,0)</f>
        <v>0</v>
      </c>
      <c r="M21" s="4" t="n">
        <f aca="false">IF(Headcount!$D$15&lt;=Timeline!M5,Headcount!$C$15,0)</f>
        <v>0</v>
      </c>
      <c r="N21" s="4" t="n">
        <f aca="false">IF(Headcount!$D$15&lt;=Timeline!N5,Headcount!$C$15,0)</f>
        <v>1</v>
      </c>
      <c r="O21" s="4" t="n">
        <f aca="false">IF(Headcount!$D$15&lt;=Timeline!O5,Headcount!$C$15,0)</f>
        <v>1</v>
      </c>
      <c r="P21" s="4" t="n">
        <f aca="false">IF(Headcount!$D$15&lt;=Timeline!P5,Headcount!$C$15,0)</f>
        <v>1</v>
      </c>
      <c r="Q21" s="4" t="n">
        <f aca="false">IF(Headcount!$D$15&lt;=Timeline!Q5,Headcount!$C$15,0)</f>
        <v>1</v>
      </c>
      <c r="R21" s="4" t="n">
        <f aca="false">IF(Headcount!$D$15&lt;=Timeline!R5,Headcount!$C$15,0)</f>
        <v>1</v>
      </c>
      <c r="S21" s="4" t="n">
        <f aca="false">IF(Headcount!$D$15&lt;=Timeline!S5,Headcount!$C$15,0)</f>
        <v>1</v>
      </c>
      <c r="T21" s="4" t="n">
        <f aca="false">IF(Headcount!$D$15&lt;=Timeline!T5,Headcount!$C$15,0)</f>
        <v>1</v>
      </c>
      <c r="U21" s="4" t="n">
        <f aca="false">IF(Headcount!$D$15&lt;=Timeline!U5,Headcount!$C$15,0)</f>
        <v>1</v>
      </c>
      <c r="V21" s="4" t="n">
        <f aca="false">IF(Headcount!$D$15&lt;=Timeline!V5,Headcount!$C$15,0)</f>
        <v>1</v>
      </c>
      <c r="W21" s="4" t="n">
        <f aca="false">IF(Headcount!$D$15&lt;=Timeline!W5,Headcount!$C$15,0)</f>
        <v>1</v>
      </c>
      <c r="X21" s="4" t="n">
        <f aca="false">IF(Headcount!$D$15&lt;=Timeline!X5,Headcount!$C$15,0)</f>
        <v>1</v>
      </c>
      <c r="Y21" s="4" t="n">
        <f aca="false">IF(Headcount!$D$15&lt;=Timeline!Y5,Headcount!$C$15,0)</f>
        <v>1</v>
      </c>
      <c r="Z21" s="4" t="n">
        <f aca="false">IF(Headcount!$D$15&lt;=Timeline!Z5,Headcount!$C$15,0)</f>
        <v>1</v>
      </c>
      <c r="AA21" s="4" t="n">
        <f aca="false">IF(Headcount!$D$15&lt;=Timeline!AA5,Headcount!$C$15,0)</f>
        <v>1</v>
      </c>
      <c r="AB21" s="4" t="n">
        <f aca="false">IF(Headcount!$D$15&lt;=Timeline!AB5,Headcount!$C$15,0)</f>
        <v>1</v>
      </c>
      <c r="AC21" s="4" t="n">
        <f aca="false">IF(Headcount!$D$15&lt;=DATE(2029,12,31),Headcount!$C$15,0)</f>
        <v>1</v>
      </c>
      <c r="AD21" s="4" t="n">
        <f aca="false">IF(Headcount!$D$15&lt;=DATE(2030,12,31),Headcount!$C$15,0)</f>
        <v>1</v>
      </c>
      <c r="AE21" s="4" t="n">
        <f aca="false">IF(Headcount!$D$15&lt;=DATE(2031,12,31),Headcount!$C$15,0)</f>
        <v>1</v>
      </c>
      <c r="AG21" s="4" t="n">
        <f aca="false">D21</f>
        <v>0</v>
      </c>
      <c r="AH21" s="4" t="n">
        <f aca="false">P21</f>
        <v>1</v>
      </c>
      <c r="AI21" s="4" t="n">
        <f aca="false">AB21</f>
        <v>1</v>
      </c>
      <c r="AJ21" s="4" t="n">
        <f aca="false">AC21</f>
        <v>1</v>
      </c>
      <c r="AK21" s="4" t="n">
        <f aca="false">AD21</f>
        <v>1</v>
      </c>
      <c r="AL21" s="4" t="n">
        <f aca="false">AE21</f>
        <v>1</v>
      </c>
    </row>
    <row r="22" customFormat="false" ht="15" hidden="false" customHeight="false" outlineLevel="0" collapsed="false">
      <c r="A22" s="0" t="str">
        <f aca="false">Headcount!A16</f>
        <v>Growth marketing manager</v>
      </c>
      <c r="B22" s="2" t="str">
        <f aca="false">Headcount!B16</f>
        <v>S&amp;M</v>
      </c>
      <c r="C22" s="4" t="n">
        <f aca="false">IF(Headcount!$D$16&lt;=Timeline!C5,Headcount!$C$16,0)</f>
        <v>0</v>
      </c>
      <c r="D22" s="4" t="n">
        <f aca="false">IF(Headcount!$D$16&lt;=Timeline!D5,Headcount!$C$16,0)</f>
        <v>0</v>
      </c>
      <c r="E22" s="4" t="n">
        <f aca="false">IF(Headcount!$D$16&lt;=Timeline!E5,Headcount!$C$16,0)</f>
        <v>0</v>
      </c>
      <c r="F22" s="4" t="n">
        <f aca="false">IF(Headcount!$D$16&lt;=Timeline!F5,Headcount!$C$16,0)</f>
        <v>0</v>
      </c>
      <c r="G22" s="4" t="n">
        <f aca="false">IF(Headcount!$D$16&lt;=Timeline!G5,Headcount!$C$16,0)</f>
        <v>0</v>
      </c>
      <c r="H22" s="4" t="n">
        <f aca="false">IF(Headcount!$D$16&lt;=Timeline!H5,Headcount!$C$16,0)</f>
        <v>0</v>
      </c>
      <c r="I22" s="4" t="n">
        <f aca="false">IF(Headcount!$D$16&lt;=Timeline!I5,Headcount!$C$16,0)</f>
        <v>0</v>
      </c>
      <c r="J22" s="4" t="n">
        <f aca="false">IF(Headcount!$D$16&lt;=Timeline!J5,Headcount!$C$16,0)</f>
        <v>0</v>
      </c>
      <c r="K22" s="4" t="n">
        <f aca="false">IF(Headcount!$D$16&lt;=Timeline!K5,Headcount!$C$16,0)</f>
        <v>0</v>
      </c>
      <c r="L22" s="4" t="n">
        <f aca="false">IF(Headcount!$D$16&lt;=Timeline!L5,Headcount!$C$16,0)</f>
        <v>0</v>
      </c>
      <c r="M22" s="4" t="n">
        <f aca="false">IF(Headcount!$D$16&lt;=Timeline!M5,Headcount!$C$16,0)</f>
        <v>0</v>
      </c>
      <c r="N22" s="4" t="n">
        <f aca="false">IF(Headcount!$D$16&lt;=Timeline!N5,Headcount!$C$16,0)</f>
        <v>1</v>
      </c>
      <c r="O22" s="4" t="n">
        <f aca="false">IF(Headcount!$D$16&lt;=Timeline!O5,Headcount!$C$16,0)</f>
        <v>1</v>
      </c>
      <c r="P22" s="4" t="n">
        <f aca="false">IF(Headcount!$D$16&lt;=Timeline!P5,Headcount!$C$16,0)</f>
        <v>1</v>
      </c>
      <c r="Q22" s="4" t="n">
        <f aca="false">IF(Headcount!$D$16&lt;=Timeline!Q5,Headcount!$C$16,0)</f>
        <v>1</v>
      </c>
      <c r="R22" s="4" t="n">
        <f aca="false">IF(Headcount!$D$16&lt;=Timeline!R5,Headcount!$C$16,0)</f>
        <v>1</v>
      </c>
      <c r="S22" s="4" t="n">
        <f aca="false">IF(Headcount!$D$16&lt;=Timeline!S5,Headcount!$C$16,0)</f>
        <v>1</v>
      </c>
      <c r="T22" s="4" t="n">
        <f aca="false">IF(Headcount!$D$16&lt;=Timeline!T5,Headcount!$C$16,0)</f>
        <v>1</v>
      </c>
      <c r="U22" s="4" t="n">
        <f aca="false">IF(Headcount!$D$16&lt;=Timeline!U5,Headcount!$C$16,0)</f>
        <v>1</v>
      </c>
      <c r="V22" s="4" t="n">
        <f aca="false">IF(Headcount!$D$16&lt;=Timeline!V5,Headcount!$C$16,0)</f>
        <v>1</v>
      </c>
      <c r="W22" s="4" t="n">
        <f aca="false">IF(Headcount!$D$16&lt;=Timeline!W5,Headcount!$C$16,0)</f>
        <v>1</v>
      </c>
      <c r="X22" s="4" t="n">
        <f aca="false">IF(Headcount!$D$16&lt;=Timeline!X5,Headcount!$C$16,0)</f>
        <v>1</v>
      </c>
      <c r="Y22" s="4" t="n">
        <f aca="false">IF(Headcount!$D$16&lt;=Timeline!Y5,Headcount!$C$16,0)</f>
        <v>1</v>
      </c>
      <c r="Z22" s="4" t="n">
        <f aca="false">IF(Headcount!$D$16&lt;=Timeline!Z5,Headcount!$C$16,0)</f>
        <v>1</v>
      </c>
      <c r="AA22" s="4" t="n">
        <f aca="false">IF(Headcount!$D$16&lt;=Timeline!AA5,Headcount!$C$16,0)</f>
        <v>1</v>
      </c>
      <c r="AB22" s="4" t="n">
        <f aca="false">IF(Headcount!$D$16&lt;=Timeline!AB5,Headcount!$C$16,0)</f>
        <v>1</v>
      </c>
      <c r="AC22" s="4" t="n">
        <f aca="false">IF(Headcount!$D$16&lt;=DATE(2029,12,31),Headcount!$C$16,0)</f>
        <v>1</v>
      </c>
      <c r="AD22" s="4" t="n">
        <f aca="false">IF(Headcount!$D$16&lt;=DATE(2030,12,31),Headcount!$C$16,0)</f>
        <v>1</v>
      </c>
      <c r="AE22" s="4" t="n">
        <f aca="false">IF(Headcount!$D$16&lt;=DATE(2031,12,31),Headcount!$C$16,0)</f>
        <v>1</v>
      </c>
      <c r="AG22" s="4" t="n">
        <f aca="false">D22</f>
        <v>0</v>
      </c>
      <c r="AH22" s="4" t="n">
        <f aca="false">P22</f>
        <v>1</v>
      </c>
      <c r="AI22" s="4" t="n">
        <f aca="false">AB22</f>
        <v>1</v>
      </c>
      <c r="AJ22" s="4" t="n">
        <f aca="false">AC22</f>
        <v>1</v>
      </c>
      <c r="AK22" s="4" t="n">
        <f aca="false">AD22</f>
        <v>1</v>
      </c>
      <c r="AL22" s="4" t="n">
        <f aca="false">AE22</f>
        <v>1</v>
      </c>
    </row>
    <row r="23" customFormat="false" ht="15" hidden="false" customHeight="false" outlineLevel="0" collapsed="false">
      <c r="A23" s="0" t="str">
        <f aca="false">Headcount!A17</f>
        <v>Finance &amp; ops manager / controller</v>
      </c>
      <c r="B23" s="2" t="str">
        <f aca="false">Headcount!B17</f>
        <v>G&amp;A</v>
      </c>
      <c r="C23" s="4" t="n">
        <f aca="false">IF(Headcount!$D$17&lt;=Timeline!C5,Headcount!$C$17,0)</f>
        <v>0</v>
      </c>
      <c r="D23" s="4" t="n">
        <f aca="false">IF(Headcount!$D$17&lt;=Timeline!D5,Headcount!$C$17,0)</f>
        <v>0</v>
      </c>
      <c r="E23" s="4" t="n">
        <f aca="false">IF(Headcount!$D$17&lt;=Timeline!E5,Headcount!$C$17,0)</f>
        <v>0</v>
      </c>
      <c r="F23" s="4" t="n">
        <f aca="false">IF(Headcount!$D$17&lt;=Timeline!F5,Headcount!$C$17,0)</f>
        <v>0</v>
      </c>
      <c r="G23" s="4" t="n">
        <f aca="false">IF(Headcount!$D$17&lt;=Timeline!G5,Headcount!$C$17,0)</f>
        <v>0</v>
      </c>
      <c r="H23" s="4" t="n">
        <f aca="false">IF(Headcount!$D$17&lt;=Timeline!H5,Headcount!$C$17,0)</f>
        <v>0</v>
      </c>
      <c r="I23" s="4" t="n">
        <f aca="false">IF(Headcount!$D$17&lt;=Timeline!I5,Headcount!$C$17,0)</f>
        <v>0</v>
      </c>
      <c r="J23" s="4" t="n">
        <f aca="false">IF(Headcount!$D$17&lt;=Timeline!J5,Headcount!$C$17,0)</f>
        <v>0</v>
      </c>
      <c r="K23" s="4" t="n">
        <f aca="false">IF(Headcount!$D$17&lt;=Timeline!K5,Headcount!$C$17,0)</f>
        <v>0</v>
      </c>
      <c r="L23" s="4" t="n">
        <f aca="false">IF(Headcount!$D$17&lt;=Timeline!L5,Headcount!$C$17,0)</f>
        <v>0</v>
      </c>
      <c r="M23" s="4" t="n">
        <f aca="false">IF(Headcount!$D$17&lt;=Timeline!M5,Headcount!$C$17,0)</f>
        <v>0</v>
      </c>
      <c r="N23" s="4" t="n">
        <f aca="false">IF(Headcount!$D$17&lt;=Timeline!N5,Headcount!$C$17,0)</f>
        <v>0</v>
      </c>
      <c r="O23" s="4" t="n">
        <f aca="false">IF(Headcount!$D$17&lt;=Timeline!O5,Headcount!$C$17,0)</f>
        <v>1</v>
      </c>
      <c r="P23" s="4" t="n">
        <f aca="false">IF(Headcount!$D$17&lt;=Timeline!P5,Headcount!$C$17,0)</f>
        <v>1</v>
      </c>
      <c r="Q23" s="4" t="n">
        <f aca="false">IF(Headcount!$D$17&lt;=Timeline!Q5,Headcount!$C$17,0)</f>
        <v>1</v>
      </c>
      <c r="R23" s="4" t="n">
        <f aca="false">IF(Headcount!$D$17&lt;=Timeline!R5,Headcount!$C$17,0)</f>
        <v>1</v>
      </c>
      <c r="S23" s="4" t="n">
        <f aca="false">IF(Headcount!$D$17&lt;=Timeline!S5,Headcount!$C$17,0)</f>
        <v>1</v>
      </c>
      <c r="T23" s="4" t="n">
        <f aca="false">IF(Headcount!$D$17&lt;=Timeline!T5,Headcount!$C$17,0)</f>
        <v>1</v>
      </c>
      <c r="U23" s="4" t="n">
        <f aca="false">IF(Headcount!$D$17&lt;=Timeline!U5,Headcount!$C$17,0)</f>
        <v>1</v>
      </c>
      <c r="V23" s="4" t="n">
        <f aca="false">IF(Headcount!$D$17&lt;=Timeline!V5,Headcount!$C$17,0)</f>
        <v>1</v>
      </c>
      <c r="W23" s="4" t="n">
        <f aca="false">IF(Headcount!$D$17&lt;=Timeline!W5,Headcount!$C$17,0)</f>
        <v>1</v>
      </c>
      <c r="X23" s="4" t="n">
        <f aca="false">IF(Headcount!$D$17&lt;=Timeline!X5,Headcount!$C$17,0)</f>
        <v>1</v>
      </c>
      <c r="Y23" s="4" t="n">
        <f aca="false">IF(Headcount!$D$17&lt;=Timeline!Y5,Headcount!$C$17,0)</f>
        <v>1</v>
      </c>
      <c r="Z23" s="4" t="n">
        <f aca="false">IF(Headcount!$D$17&lt;=Timeline!Z5,Headcount!$C$17,0)</f>
        <v>1</v>
      </c>
      <c r="AA23" s="4" t="n">
        <f aca="false">IF(Headcount!$D$17&lt;=Timeline!AA5,Headcount!$C$17,0)</f>
        <v>1</v>
      </c>
      <c r="AB23" s="4" t="n">
        <f aca="false">IF(Headcount!$D$17&lt;=Timeline!AB5,Headcount!$C$17,0)</f>
        <v>1</v>
      </c>
      <c r="AC23" s="4" t="n">
        <f aca="false">IF(Headcount!$D$17&lt;=DATE(2029,12,31),Headcount!$C$17,0)</f>
        <v>1</v>
      </c>
      <c r="AD23" s="4" t="n">
        <f aca="false">IF(Headcount!$D$17&lt;=DATE(2030,12,31),Headcount!$C$17,0)</f>
        <v>1</v>
      </c>
      <c r="AE23" s="4" t="n">
        <f aca="false">IF(Headcount!$D$17&lt;=DATE(2031,12,31),Headcount!$C$17,0)</f>
        <v>1</v>
      </c>
      <c r="AG23" s="4" t="n">
        <f aca="false">D23</f>
        <v>0</v>
      </c>
      <c r="AH23" s="4" t="n">
        <f aca="false">P23</f>
        <v>1</v>
      </c>
      <c r="AI23" s="4" t="n">
        <f aca="false">AB23</f>
        <v>1</v>
      </c>
      <c r="AJ23" s="4" t="n">
        <f aca="false">AC23</f>
        <v>1</v>
      </c>
      <c r="AK23" s="4" t="n">
        <f aca="false">AD23</f>
        <v>1</v>
      </c>
      <c r="AL23" s="4" t="n">
        <f aca="false">AE23</f>
        <v>1</v>
      </c>
    </row>
    <row r="24" customFormat="false" ht="15" hidden="false" customHeight="false" outlineLevel="0" collapsed="false">
      <c r="A24" s="0" t="str">
        <f aca="false">Headcount!A18</f>
        <v>Backend / cloud engineer</v>
      </c>
      <c r="B24" s="2" t="str">
        <f aca="false">Headcount!B18</f>
        <v>R&amp;D</v>
      </c>
      <c r="C24" s="4" t="n">
        <f aca="false">IF(Headcount!$D$18&lt;=Timeline!C5,Headcount!$C$18,0)</f>
        <v>0</v>
      </c>
      <c r="D24" s="4" t="n">
        <f aca="false">IF(Headcount!$D$18&lt;=Timeline!D5,Headcount!$C$18,0)</f>
        <v>0</v>
      </c>
      <c r="E24" s="4" t="n">
        <f aca="false">IF(Headcount!$D$18&lt;=Timeline!E5,Headcount!$C$18,0)</f>
        <v>0</v>
      </c>
      <c r="F24" s="4" t="n">
        <f aca="false">IF(Headcount!$D$18&lt;=Timeline!F5,Headcount!$C$18,0)</f>
        <v>0</v>
      </c>
      <c r="G24" s="4" t="n">
        <f aca="false">IF(Headcount!$D$18&lt;=Timeline!G5,Headcount!$C$18,0)</f>
        <v>0</v>
      </c>
      <c r="H24" s="4" t="n">
        <f aca="false">IF(Headcount!$D$18&lt;=Timeline!H5,Headcount!$C$18,0)</f>
        <v>0</v>
      </c>
      <c r="I24" s="4" t="n">
        <f aca="false">IF(Headcount!$D$18&lt;=Timeline!I5,Headcount!$C$18,0)</f>
        <v>0</v>
      </c>
      <c r="J24" s="4" t="n">
        <f aca="false">IF(Headcount!$D$18&lt;=Timeline!J5,Headcount!$C$18,0)</f>
        <v>0</v>
      </c>
      <c r="K24" s="4" t="n">
        <f aca="false">IF(Headcount!$D$18&lt;=Timeline!K5,Headcount!$C$18,0)</f>
        <v>0</v>
      </c>
      <c r="L24" s="4" t="n">
        <f aca="false">IF(Headcount!$D$18&lt;=Timeline!L5,Headcount!$C$18,0)</f>
        <v>0</v>
      </c>
      <c r="M24" s="4" t="n">
        <f aca="false">IF(Headcount!$D$18&lt;=Timeline!M5,Headcount!$C$18,0)</f>
        <v>0</v>
      </c>
      <c r="N24" s="4" t="n">
        <f aca="false">IF(Headcount!$D$18&lt;=Timeline!N5,Headcount!$C$18,0)</f>
        <v>0</v>
      </c>
      <c r="O24" s="4" t="n">
        <f aca="false">IF(Headcount!$D$18&lt;=Timeline!O5,Headcount!$C$18,0)</f>
        <v>0</v>
      </c>
      <c r="P24" s="4" t="n">
        <f aca="false">IF(Headcount!$D$18&lt;=Timeline!P5,Headcount!$C$18,0)</f>
        <v>0</v>
      </c>
      <c r="Q24" s="4" t="n">
        <f aca="false">IF(Headcount!$D$18&lt;=Timeline!Q5,Headcount!$C$18,0)</f>
        <v>1</v>
      </c>
      <c r="R24" s="4" t="n">
        <f aca="false">IF(Headcount!$D$18&lt;=Timeline!R5,Headcount!$C$18,0)</f>
        <v>1</v>
      </c>
      <c r="S24" s="4" t="n">
        <f aca="false">IF(Headcount!$D$18&lt;=Timeline!S5,Headcount!$C$18,0)</f>
        <v>1</v>
      </c>
      <c r="T24" s="4" t="n">
        <f aca="false">IF(Headcount!$D$18&lt;=Timeline!T5,Headcount!$C$18,0)</f>
        <v>1</v>
      </c>
      <c r="U24" s="4" t="n">
        <f aca="false">IF(Headcount!$D$18&lt;=Timeline!U5,Headcount!$C$18,0)</f>
        <v>1</v>
      </c>
      <c r="V24" s="4" t="n">
        <f aca="false">IF(Headcount!$D$18&lt;=Timeline!V5,Headcount!$C$18,0)</f>
        <v>1</v>
      </c>
      <c r="W24" s="4" t="n">
        <f aca="false">IF(Headcount!$D$18&lt;=Timeline!W5,Headcount!$C$18,0)</f>
        <v>1</v>
      </c>
      <c r="X24" s="4" t="n">
        <f aca="false">IF(Headcount!$D$18&lt;=Timeline!X5,Headcount!$C$18,0)</f>
        <v>1</v>
      </c>
      <c r="Y24" s="4" t="n">
        <f aca="false">IF(Headcount!$D$18&lt;=Timeline!Y5,Headcount!$C$18,0)</f>
        <v>1</v>
      </c>
      <c r="Z24" s="4" t="n">
        <f aca="false">IF(Headcount!$D$18&lt;=Timeline!Z5,Headcount!$C$18,0)</f>
        <v>1</v>
      </c>
      <c r="AA24" s="4" t="n">
        <f aca="false">IF(Headcount!$D$18&lt;=Timeline!AA5,Headcount!$C$18,0)</f>
        <v>1</v>
      </c>
      <c r="AB24" s="4" t="n">
        <f aca="false">IF(Headcount!$D$18&lt;=Timeline!AB5,Headcount!$C$18,0)</f>
        <v>1</v>
      </c>
      <c r="AC24" s="4" t="n">
        <f aca="false">IF(Headcount!$D$18&lt;=DATE(2029,12,31),Headcount!$C$18,0)</f>
        <v>1</v>
      </c>
      <c r="AD24" s="4" t="n">
        <f aca="false">IF(Headcount!$D$18&lt;=DATE(2030,12,31),Headcount!$C$18,0)</f>
        <v>1</v>
      </c>
      <c r="AE24" s="4" t="n">
        <f aca="false">IF(Headcount!$D$18&lt;=DATE(2031,12,31),Headcount!$C$18,0)</f>
        <v>1</v>
      </c>
      <c r="AG24" s="4" t="n">
        <f aca="false">D24</f>
        <v>0</v>
      </c>
      <c r="AH24" s="4" t="n">
        <f aca="false">P24</f>
        <v>0</v>
      </c>
      <c r="AI24" s="4" t="n">
        <f aca="false">AB24</f>
        <v>1</v>
      </c>
      <c r="AJ24" s="4" t="n">
        <f aca="false">AC24</f>
        <v>1</v>
      </c>
      <c r="AK24" s="4" t="n">
        <f aca="false">AD24</f>
        <v>1</v>
      </c>
      <c r="AL24" s="4" t="n">
        <f aca="false">AE24</f>
        <v>1</v>
      </c>
    </row>
    <row r="25" customFormat="false" ht="15" hidden="false" customHeight="false" outlineLevel="0" collapsed="false">
      <c r="A25" s="0" t="str">
        <f aca="false">Headcount!A19</f>
        <v>Mechanical engineer</v>
      </c>
      <c r="B25" s="2" t="str">
        <f aca="false">Headcount!B19</f>
        <v>R&amp;D</v>
      </c>
      <c r="C25" s="4" t="n">
        <f aca="false">IF(Headcount!$D$19&lt;=Timeline!C5,Headcount!$C$19,0)</f>
        <v>0</v>
      </c>
      <c r="D25" s="4" t="n">
        <f aca="false">IF(Headcount!$D$19&lt;=Timeline!D5,Headcount!$C$19,0)</f>
        <v>0</v>
      </c>
      <c r="E25" s="4" t="n">
        <f aca="false">IF(Headcount!$D$19&lt;=Timeline!E5,Headcount!$C$19,0)</f>
        <v>0</v>
      </c>
      <c r="F25" s="4" t="n">
        <f aca="false">IF(Headcount!$D$19&lt;=Timeline!F5,Headcount!$C$19,0)</f>
        <v>0</v>
      </c>
      <c r="G25" s="4" t="n">
        <f aca="false">IF(Headcount!$D$19&lt;=Timeline!G5,Headcount!$C$19,0)</f>
        <v>0</v>
      </c>
      <c r="H25" s="4" t="n">
        <f aca="false">IF(Headcount!$D$19&lt;=Timeline!H5,Headcount!$C$19,0)</f>
        <v>0</v>
      </c>
      <c r="I25" s="4" t="n">
        <f aca="false">IF(Headcount!$D$19&lt;=Timeline!I5,Headcount!$C$19,0)</f>
        <v>0</v>
      </c>
      <c r="J25" s="4" t="n">
        <f aca="false">IF(Headcount!$D$19&lt;=Timeline!J5,Headcount!$C$19,0)</f>
        <v>0</v>
      </c>
      <c r="K25" s="4" t="n">
        <f aca="false">IF(Headcount!$D$19&lt;=Timeline!K5,Headcount!$C$19,0)</f>
        <v>0</v>
      </c>
      <c r="L25" s="4" t="n">
        <f aca="false">IF(Headcount!$D$19&lt;=Timeline!L5,Headcount!$C$19,0)</f>
        <v>0</v>
      </c>
      <c r="M25" s="4" t="n">
        <f aca="false">IF(Headcount!$D$19&lt;=Timeline!M5,Headcount!$C$19,0)</f>
        <v>0</v>
      </c>
      <c r="N25" s="4" t="n">
        <f aca="false">IF(Headcount!$D$19&lt;=Timeline!N5,Headcount!$C$19,0)</f>
        <v>0</v>
      </c>
      <c r="O25" s="4" t="n">
        <f aca="false">IF(Headcount!$D$19&lt;=Timeline!O5,Headcount!$C$19,0)</f>
        <v>0</v>
      </c>
      <c r="P25" s="4" t="n">
        <f aca="false">IF(Headcount!$D$19&lt;=Timeline!P5,Headcount!$C$19,0)</f>
        <v>0</v>
      </c>
      <c r="Q25" s="4" t="n">
        <f aca="false">IF(Headcount!$D$19&lt;=Timeline!Q5,Headcount!$C$19,0)</f>
        <v>1</v>
      </c>
      <c r="R25" s="4" t="n">
        <f aca="false">IF(Headcount!$D$19&lt;=Timeline!R5,Headcount!$C$19,0)</f>
        <v>1</v>
      </c>
      <c r="S25" s="4" t="n">
        <f aca="false">IF(Headcount!$D$19&lt;=Timeline!S5,Headcount!$C$19,0)</f>
        <v>1</v>
      </c>
      <c r="T25" s="4" t="n">
        <f aca="false">IF(Headcount!$D$19&lt;=Timeline!T5,Headcount!$C$19,0)</f>
        <v>1</v>
      </c>
      <c r="U25" s="4" t="n">
        <f aca="false">IF(Headcount!$D$19&lt;=Timeline!U5,Headcount!$C$19,0)</f>
        <v>1</v>
      </c>
      <c r="V25" s="4" t="n">
        <f aca="false">IF(Headcount!$D$19&lt;=Timeline!V5,Headcount!$C$19,0)</f>
        <v>1</v>
      </c>
      <c r="W25" s="4" t="n">
        <f aca="false">IF(Headcount!$D$19&lt;=Timeline!W5,Headcount!$C$19,0)</f>
        <v>1</v>
      </c>
      <c r="X25" s="4" t="n">
        <f aca="false">IF(Headcount!$D$19&lt;=Timeline!X5,Headcount!$C$19,0)</f>
        <v>1</v>
      </c>
      <c r="Y25" s="4" t="n">
        <f aca="false">IF(Headcount!$D$19&lt;=Timeline!Y5,Headcount!$C$19,0)</f>
        <v>1</v>
      </c>
      <c r="Z25" s="4" t="n">
        <f aca="false">IF(Headcount!$D$19&lt;=Timeline!Z5,Headcount!$C$19,0)</f>
        <v>1</v>
      </c>
      <c r="AA25" s="4" t="n">
        <f aca="false">IF(Headcount!$D$19&lt;=Timeline!AA5,Headcount!$C$19,0)</f>
        <v>1</v>
      </c>
      <c r="AB25" s="4" t="n">
        <f aca="false">IF(Headcount!$D$19&lt;=Timeline!AB5,Headcount!$C$19,0)</f>
        <v>1</v>
      </c>
      <c r="AC25" s="4" t="n">
        <f aca="false">IF(Headcount!$D$19&lt;=DATE(2029,12,31),Headcount!$C$19,0)</f>
        <v>1</v>
      </c>
      <c r="AD25" s="4" t="n">
        <f aca="false">IF(Headcount!$D$19&lt;=DATE(2030,12,31),Headcount!$C$19,0)</f>
        <v>1</v>
      </c>
      <c r="AE25" s="4" t="n">
        <f aca="false">IF(Headcount!$D$19&lt;=DATE(2031,12,31),Headcount!$C$19,0)</f>
        <v>1</v>
      </c>
      <c r="AG25" s="4" t="n">
        <f aca="false">D25</f>
        <v>0</v>
      </c>
      <c r="AH25" s="4" t="n">
        <f aca="false">P25</f>
        <v>0</v>
      </c>
      <c r="AI25" s="4" t="n">
        <f aca="false">AB25</f>
        <v>1</v>
      </c>
      <c r="AJ25" s="4" t="n">
        <f aca="false">AC25</f>
        <v>1</v>
      </c>
      <c r="AK25" s="4" t="n">
        <f aca="false">AD25</f>
        <v>1</v>
      </c>
      <c r="AL25" s="4" t="n">
        <f aca="false">AE25</f>
        <v>1</v>
      </c>
    </row>
    <row r="26" customFormat="false" ht="15" hidden="false" customHeight="false" outlineLevel="0" collapsed="false">
      <c r="A26" s="0" t="str">
        <f aca="false">Headcount!A20</f>
        <v>Content editors</v>
      </c>
      <c r="B26" s="2" t="str">
        <f aca="false">Headcount!B20</f>
        <v>R&amp;D</v>
      </c>
      <c r="C26" s="4" t="n">
        <f aca="false">IF(Headcount!$D$20&lt;=Timeline!C5,Headcount!$C$20,0)</f>
        <v>0</v>
      </c>
      <c r="D26" s="4" t="n">
        <f aca="false">IF(Headcount!$D$20&lt;=Timeline!D5,Headcount!$C$20,0)</f>
        <v>0</v>
      </c>
      <c r="E26" s="4" t="n">
        <f aca="false">IF(Headcount!$D$20&lt;=Timeline!E5,Headcount!$C$20,0)</f>
        <v>0</v>
      </c>
      <c r="F26" s="4" t="n">
        <f aca="false">IF(Headcount!$D$20&lt;=Timeline!F5,Headcount!$C$20,0)</f>
        <v>0</v>
      </c>
      <c r="G26" s="4" t="n">
        <f aca="false">IF(Headcount!$D$20&lt;=Timeline!G5,Headcount!$C$20,0)</f>
        <v>0</v>
      </c>
      <c r="H26" s="4" t="n">
        <f aca="false">IF(Headcount!$D$20&lt;=Timeline!H5,Headcount!$C$20,0)</f>
        <v>0</v>
      </c>
      <c r="I26" s="4" t="n">
        <f aca="false">IF(Headcount!$D$20&lt;=Timeline!I5,Headcount!$C$20,0)</f>
        <v>0</v>
      </c>
      <c r="J26" s="4" t="n">
        <f aca="false">IF(Headcount!$D$20&lt;=Timeline!J5,Headcount!$C$20,0)</f>
        <v>0</v>
      </c>
      <c r="K26" s="4" t="n">
        <f aca="false">IF(Headcount!$D$20&lt;=Timeline!K5,Headcount!$C$20,0)</f>
        <v>0</v>
      </c>
      <c r="L26" s="4" t="n">
        <f aca="false">IF(Headcount!$D$20&lt;=Timeline!L5,Headcount!$C$20,0)</f>
        <v>0</v>
      </c>
      <c r="M26" s="4" t="n">
        <f aca="false">IF(Headcount!$D$20&lt;=Timeline!M5,Headcount!$C$20,0)</f>
        <v>0</v>
      </c>
      <c r="N26" s="4" t="n">
        <f aca="false">IF(Headcount!$D$20&lt;=Timeline!N5,Headcount!$C$20,0)</f>
        <v>0</v>
      </c>
      <c r="O26" s="4" t="n">
        <f aca="false">IF(Headcount!$D$20&lt;=Timeline!O5,Headcount!$C$20,0)</f>
        <v>0</v>
      </c>
      <c r="P26" s="4" t="n">
        <f aca="false">IF(Headcount!$D$20&lt;=Timeline!P5,Headcount!$C$20,0)</f>
        <v>0</v>
      </c>
      <c r="Q26" s="4" t="n">
        <f aca="false">IF(Headcount!$D$20&lt;=Timeline!Q5,Headcount!$C$20,0)</f>
        <v>0</v>
      </c>
      <c r="R26" s="4" t="n">
        <f aca="false">IF(Headcount!$D$20&lt;=Timeline!R5,Headcount!$C$20,0)</f>
        <v>2</v>
      </c>
      <c r="S26" s="4" t="n">
        <f aca="false">IF(Headcount!$D$20&lt;=Timeline!S5,Headcount!$C$20,0)</f>
        <v>2</v>
      </c>
      <c r="T26" s="4" t="n">
        <f aca="false">IF(Headcount!$D$20&lt;=Timeline!T5,Headcount!$C$20,0)</f>
        <v>2</v>
      </c>
      <c r="U26" s="4" t="n">
        <f aca="false">IF(Headcount!$D$20&lt;=Timeline!U5,Headcount!$C$20,0)</f>
        <v>2</v>
      </c>
      <c r="V26" s="4" t="n">
        <f aca="false">IF(Headcount!$D$20&lt;=Timeline!V5,Headcount!$C$20,0)</f>
        <v>2</v>
      </c>
      <c r="W26" s="4" t="n">
        <f aca="false">IF(Headcount!$D$20&lt;=Timeline!W5,Headcount!$C$20,0)</f>
        <v>2</v>
      </c>
      <c r="X26" s="4" t="n">
        <f aca="false">IF(Headcount!$D$20&lt;=Timeline!X5,Headcount!$C$20,0)</f>
        <v>2</v>
      </c>
      <c r="Y26" s="4" t="n">
        <f aca="false">IF(Headcount!$D$20&lt;=Timeline!Y5,Headcount!$C$20,0)</f>
        <v>2</v>
      </c>
      <c r="Z26" s="4" t="n">
        <f aca="false">IF(Headcount!$D$20&lt;=Timeline!Z5,Headcount!$C$20,0)</f>
        <v>2</v>
      </c>
      <c r="AA26" s="4" t="n">
        <f aca="false">IF(Headcount!$D$20&lt;=Timeline!AA5,Headcount!$C$20,0)</f>
        <v>2</v>
      </c>
      <c r="AB26" s="4" t="n">
        <f aca="false">IF(Headcount!$D$20&lt;=Timeline!AB5,Headcount!$C$20,0)</f>
        <v>2</v>
      </c>
      <c r="AC26" s="4" t="n">
        <f aca="false">IF(Headcount!$D$20&lt;=DATE(2029,12,31),Headcount!$C$20,0)</f>
        <v>2</v>
      </c>
      <c r="AD26" s="4" t="n">
        <f aca="false">IF(Headcount!$D$20&lt;=DATE(2030,12,31),Headcount!$C$20,0)</f>
        <v>2</v>
      </c>
      <c r="AE26" s="4" t="n">
        <f aca="false">IF(Headcount!$D$20&lt;=DATE(2031,12,31),Headcount!$C$20,0)</f>
        <v>2</v>
      </c>
      <c r="AG26" s="4" t="n">
        <f aca="false">D26</f>
        <v>0</v>
      </c>
      <c r="AH26" s="4" t="n">
        <f aca="false">P26</f>
        <v>0</v>
      </c>
      <c r="AI26" s="4" t="n">
        <f aca="false">AB26</f>
        <v>2</v>
      </c>
      <c r="AJ26" s="4" t="n">
        <f aca="false">AC26</f>
        <v>2</v>
      </c>
      <c r="AK26" s="4" t="n">
        <f aca="false">AD26</f>
        <v>2</v>
      </c>
      <c r="AL26" s="4" t="n">
        <f aca="false">AE26</f>
        <v>2</v>
      </c>
    </row>
    <row r="27" customFormat="false" ht="15" hidden="false" customHeight="false" outlineLevel="0" collapsed="false">
      <c r="A27" s="0" t="str">
        <f aca="false">Headcount!A21</f>
        <v>Customer support agents</v>
      </c>
      <c r="B27" s="2" t="str">
        <f aca="false">Headcount!B21</f>
        <v>Ops &amp; CS</v>
      </c>
      <c r="C27" s="4" t="n">
        <f aca="false">IF(Headcount!$D$21&lt;=Timeline!C5,Headcount!$C$21,0)</f>
        <v>0</v>
      </c>
      <c r="D27" s="4" t="n">
        <f aca="false">IF(Headcount!$D$21&lt;=Timeline!D5,Headcount!$C$21,0)</f>
        <v>0</v>
      </c>
      <c r="E27" s="4" t="n">
        <f aca="false">IF(Headcount!$D$21&lt;=Timeline!E5,Headcount!$C$21,0)</f>
        <v>0</v>
      </c>
      <c r="F27" s="4" t="n">
        <f aca="false">IF(Headcount!$D$21&lt;=Timeline!F5,Headcount!$C$21,0)</f>
        <v>0</v>
      </c>
      <c r="G27" s="4" t="n">
        <f aca="false">IF(Headcount!$D$21&lt;=Timeline!G5,Headcount!$C$21,0)</f>
        <v>0</v>
      </c>
      <c r="H27" s="4" t="n">
        <f aca="false">IF(Headcount!$D$21&lt;=Timeline!H5,Headcount!$C$21,0)</f>
        <v>0</v>
      </c>
      <c r="I27" s="4" t="n">
        <f aca="false">IF(Headcount!$D$21&lt;=Timeline!I5,Headcount!$C$21,0)</f>
        <v>0</v>
      </c>
      <c r="J27" s="4" t="n">
        <f aca="false">IF(Headcount!$D$21&lt;=Timeline!J5,Headcount!$C$21,0)</f>
        <v>0</v>
      </c>
      <c r="K27" s="4" t="n">
        <f aca="false">IF(Headcount!$D$21&lt;=Timeline!K5,Headcount!$C$21,0)</f>
        <v>0</v>
      </c>
      <c r="L27" s="4" t="n">
        <f aca="false">IF(Headcount!$D$21&lt;=Timeline!L5,Headcount!$C$21,0)</f>
        <v>0</v>
      </c>
      <c r="M27" s="4" t="n">
        <f aca="false">IF(Headcount!$D$21&lt;=Timeline!M5,Headcount!$C$21,0)</f>
        <v>0</v>
      </c>
      <c r="N27" s="4" t="n">
        <f aca="false">IF(Headcount!$D$21&lt;=Timeline!N5,Headcount!$C$21,0)</f>
        <v>0</v>
      </c>
      <c r="O27" s="4" t="n">
        <f aca="false">IF(Headcount!$D$21&lt;=Timeline!O5,Headcount!$C$21,0)</f>
        <v>0</v>
      </c>
      <c r="P27" s="4" t="n">
        <f aca="false">IF(Headcount!$D$21&lt;=Timeline!P5,Headcount!$C$21,0)</f>
        <v>0</v>
      </c>
      <c r="Q27" s="4" t="n">
        <f aca="false">IF(Headcount!$D$21&lt;=Timeline!Q5,Headcount!$C$21,0)</f>
        <v>0</v>
      </c>
      <c r="R27" s="4" t="n">
        <f aca="false">IF(Headcount!$D$21&lt;=Timeline!R5,Headcount!$C$21,0)</f>
        <v>0</v>
      </c>
      <c r="S27" s="4" t="n">
        <f aca="false">IF(Headcount!$D$21&lt;=Timeline!S5,Headcount!$C$21,0)</f>
        <v>2</v>
      </c>
      <c r="T27" s="4" t="n">
        <f aca="false">IF(Headcount!$D$21&lt;=Timeline!T5,Headcount!$C$21,0)</f>
        <v>2</v>
      </c>
      <c r="U27" s="4" t="n">
        <f aca="false">IF(Headcount!$D$21&lt;=Timeline!U5,Headcount!$C$21,0)</f>
        <v>2</v>
      </c>
      <c r="V27" s="4" t="n">
        <f aca="false">IF(Headcount!$D$21&lt;=Timeline!V5,Headcount!$C$21,0)</f>
        <v>2</v>
      </c>
      <c r="W27" s="4" t="n">
        <f aca="false">IF(Headcount!$D$21&lt;=Timeline!W5,Headcount!$C$21,0)</f>
        <v>2</v>
      </c>
      <c r="X27" s="4" t="n">
        <f aca="false">IF(Headcount!$D$21&lt;=Timeline!X5,Headcount!$C$21,0)</f>
        <v>2</v>
      </c>
      <c r="Y27" s="4" t="n">
        <f aca="false">IF(Headcount!$D$21&lt;=Timeline!Y5,Headcount!$C$21,0)</f>
        <v>2</v>
      </c>
      <c r="Z27" s="4" t="n">
        <f aca="false">IF(Headcount!$D$21&lt;=Timeline!Z5,Headcount!$C$21,0)</f>
        <v>2</v>
      </c>
      <c r="AA27" s="4" t="n">
        <f aca="false">IF(Headcount!$D$21&lt;=Timeline!AA5,Headcount!$C$21,0)</f>
        <v>2</v>
      </c>
      <c r="AB27" s="4" t="n">
        <f aca="false">IF(Headcount!$D$21&lt;=Timeline!AB5,Headcount!$C$21,0)</f>
        <v>2</v>
      </c>
      <c r="AC27" s="4" t="n">
        <f aca="false">IF(Headcount!$D$21&lt;=DATE(2029,12,31),Headcount!$C$21,0)</f>
        <v>2</v>
      </c>
      <c r="AD27" s="4" t="n">
        <f aca="false">IF(Headcount!$D$21&lt;=DATE(2030,12,31),Headcount!$C$21,0)</f>
        <v>2</v>
      </c>
      <c r="AE27" s="4" t="n">
        <f aca="false">IF(Headcount!$D$21&lt;=DATE(2031,12,31),Headcount!$C$21,0)</f>
        <v>2</v>
      </c>
      <c r="AG27" s="4" t="n">
        <f aca="false">D27</f>
        <v>0</v>
      </c>
      <c r="AH27" s="4" t="n">
        <f aca="false">P27</f>
        <v>0</v>
      </c>
      <c r="AI27" s="4" t="n">
        <f aca="false">AB27</f>
        <v>2</v>
      </c>
      <c r="AJ27" s="4" t="n">
        <f aca="false">AC27</f>
        <v>2</v>
      </c>
      <c r="AK27" s="4" t="n">
        <f aca="false">AD27</f>
        <v>2</v>
      </c>
      <c r="AL27" s="4" t="n">
        <f aca="false">AE27</f>
        <v>2</v>
      </c>
    </row>
    <row r="28" customFormat="false" ht="15" hidden="false" customHeight="false" outlineLevel="0" collapsed="false">
      <c r="A28" s="0" t="str">
        <f aca="false">Headcount!A22</f>
        <v>Retail &amp; partnerships manager</v>
      </c>
      <c r="B28" s="2" t="str">
        <f aca="false">Headcount!B22</f>
        <v>S&amp;M</v>
      </c>
      <c r="C28" s="4" t="n">
        <f aca="false">IF(Headcount!$D$22&lt;=Timeline!C5,Headcount!$C$22,0)</f>
        <v>0</v>
      </c>
      <c r="D28" s="4" t="n">
        <f aca="false">IF(Headcount!$D$22&lt;=Timeline!D5,Headcount!$C$22,0)</f>
        <v>0</v>
      </c>
      <c r="E28" s="4" t="n">
        <f aca="false">IF(Headcount!$D$22&lt;=Timeline!E5,Headcount!$C$22,0)</f>
        <v>0</v>
      </c>
      <c r="F28" s="4" t="n">
        <f aca="false">IF(Headcount!$D$22&lt;=Timeline!F5,Headcount!$C$22,0)</f>
        <v>0</v>
      </c>
      <c r="G28" s="4" t="n">
        <f aca="false">IF(Headcount!$D$22&lt;=Timeline!G5,Headcount!$C$22,0)</f>
        <v>0</v>
      </c>
      <c r="H28" s="4" t="n">
        <f aca="false">IF(Headcount!$D$22&lt;=Timeline!H5,Headcount!$C$22,0)</f>
        <v>0</v>
      </c>
      <c r="I28" s="4" t="n">
        <f aca="false">IF(Headcount!$D$22&lt;=Timeline!I5,Headcount!$C$22,0)</f>
        <v>0</v>
      </c>
      <c r="J28" s="4" t="n">
        <f aca="false">IF(Headcount!$D$22&lt;=Timeline!J5,Headcount!$C$22,0)</f>
        <v>0</v>
      </c>
      <c r="K28" s="4" t="n">
        <f aca="false">IF(Headcount!$D$22&lt;=Timeline!K5,Headcount!$C$22,0)</f>
        <v>0</v>
      </c>
      <c r="L28" s="4" t="n">
        <f aca="false">IF(Headcount!$D$22&lt;=Timeline!L5,Headcount!$C$22,0)</f>
        <v>0</v>
      </c>
      <c r="M28" s="4" t="n">
        <f aca="false">IF(Headcount!$D$22&lt;=Timeline!M5,Headcount!$C$22,0)</f>
        <v>0</v>
      </c>
      <c r="N28" s="4" t="n">
        <f aca="false">IF(Headcount!$D$22&lt;=Timeline!N5,Headcount!$C$22,0)</f>
        <v>0</v>
      </c>
      <c r="O28" s="4" t="n">
        <f aca="false">IF(Headcount!$D$22&lt;=Timeline!O5,Headcount!$C$22,0)</f>
        <v>0</v>
      </c>
      <c r="P28" s="4" t="n">
        <f aca="false">IF(Headcount!$D$22&lt;=Timeline!P5,Headcount!$C$22,0)</f>
        <v>0</v>
      </c>
      <c r="Q28" s="4" t="n">
        <f aca="false">IF(Headcount!$D$22&lt;=Timeline!Q5,Headcount!$C$22,0)</f>
        <v>0</v>
      </c>
      <c r="R28" s="4" t="n">
        <f aca="false">IF(Headcount!$D$22&lt;=Timeline!R5,Headcount!$C$22,0)</f>
        <v>0</v>
      </c>
      <c r="S28" s="4" t="n">
        <f aca="false">IF(Headcount!$D$22&lt;=Timeline!S5,Headcount!$C$22,0)</f>
        <v>1</v>
      </c>
      <c r="T28" s="4" t="n">
        <f aca="false">IF(Headcount!$D$22&lt;=Timeline!T5,Headcount!$C$22,0)</f>
        <v>1</v>
      </c>
      <c r="U28" s="4" t="n">
        <f aca="false">IF(Headcount!$D$22&lt;=Timeline!U5,Headcount!$C$22,0)</f>
        <v>1</v>
      </c>
      <c r="V28" s="4" t="n">
        <f aca="false">IF(Headcount!$D$22&lt;=Timeline!V5,Headcount!$C$22,0)</f>
        <v>1</v>
      </c>
      <c r="W28" s="4" t="n">
        <f aca="false">IF(Headcount!$D$22&lt;=Timeline!W5,Headcount!$C$22,0)</f>
        <v>1</v>
      </c>
      <c r="X28" s="4" t="n">
        <f aca="false">IF(Headcount!$D$22&lt;=Timeline!X5,Headcount!$C$22,0)</f>
        <v>1</v>
      </c>
      <c r="Y28" s="4" t="n">
        <f aca="false">IF(Headcount!$D$22&lt;=Timeline!Y5,Headcount!$C$22,0)</f>
        <v>1</v>
      </c>
      <c r="Z28" s="4" t="n">
        <f aca="false">IF(Headcount!$D$22&lt;=Timeline!Z5,Headcount!$C$22,0)</f>
        <v>1</v>
      </c>
      <c r="AA28" s="4" t="n">
        <f aca="false">IF(Headcount!$D$22&lt;=Timeline!AA5,Headcount!$C$22,0)</f>
        <v>1</v>
      </c>
      <c r="AB28" s="4" t="n">
        <f aca="false">IF(Headcount!$D$22&lt;=Timeline!AB5,Headcount!$C$22,0)</f>
        <v>1</v>
      </c>
      <c r="AC28" s="4" t="n">
        <f aca="false">IF(Headcount!$D$22&lt;=DATE(2029,12,31),Headcount!$C$22,0)</f>
        <v>1</v>
      </c>
      <c r="AD28" s="4" t="n">
        <f aca="false">IF(Headcount!$D$22&lt;=DATE(2030,12,31),Headcount!$C$22,0)</f>
        <v>1</v>
      </c>
      <c r="AE28" s="4" t="n">
        <f aca="false">IF(Headcount!$D$22&lt;=DATE(2031,12,31),Headcount!$C$22,0)</f>
        <v>1</v>
      </c>
      <c r="AG28" s="4" t="n">
        <f aca="false">D28</f>
        <v>0</v>
      </c>
      <c r="AH28" s="4" t="n">
        <f aca="false">P28</f>
        <v>0</v>
      </c>
      <c r="AI28" s="4" t="n">
        <f aca="false">AB28</f>
        <v>1</v>
      </c>
      <c r="AJ28" s="4" t="n">
        <f aca="false">AC28</f>
        <v>1</v>
      </c>
      <c r="AK28" s="4" t="n">
        <f aca="false">AD28</f>
        <v>1</v>
      </c>
      <c r="AL28" s="4" t="n">
        <f aca="false">AE28</f>
        <v>1</v>
      </c>
    </row>
    <row r="29" customFormat="false" ht="15" hidden="false" customHeight="false" outlineLevel="0" collapsed="false">
      <c r="A29" s="0" t="str">
        <f aca="false">Headcount!A23</f>
        <v>B2B fleet sales lead</v>
      </c>
      <c r="B29" s="2" t="str">
        <f aca="false">Headcount!B23</f>
        <v>S&amp;M</v>
      </c>
      <c r="C29" s="4" t="n">
        <f aca="false">IF(Headcount!$D$23&lt;=Timeline!C5,Headcount!$C$23,0)</f>
        <v>0</v>
      </c>
      <c r="D29" s="4" t="n">
        <f aca="false">IF(Headcount!$D$23&lt;=Timeline!D5,Headcount!$C$23,0)</f>
        <v>0</v>
      </c>
      <c r="E29" s="4" t="n">
        <f aca="false">IF(Headcount!$D$23&lt;=Timeline!E5,Headcount!$C$23,0)</f>
        <v>0</v>
      </c>
      <c r="F29" s="4" t="n">
        <f aca="false">IF(Headcount!$D$23&lt;=Timeline!F5,Headcount!$C$23,0)</f>
        <v>0</v>
      </c>
      <c r="G29" s="4" t="n">
        <f aca="false">IF(Headcount!$D$23&lt;=Timeline!G5,Headcount!$C$23,0)</f>
        <v>0</v>
      </c>
      <c r="H29" s="4" t="n">
        <f aca="false">IF(Headcount!$D$23&lt;=Timeline!H5,Headcount!$C$23,0)</f>
        <v>0</v>
      </c>
      <c r="I29" s="4" t="n">
        <f aca="false">IF(Headcount!$D$23&lt;=Timeline!I5,Headcount!$C$23,0)</f>
        <v>0</v>
      </c>
      <c r="J29" s="4" t="n">
        <f aca="false">IF(Headcount!$D$23&lt;=Timeline!J5,Headcount!$C$23,0)</f>
        <v>0</v>
      </c>
      <c r="K29" s="4" t="n">
        <f aca="false">IF(Headcount!$D$23&lt;=Timeline!K5,Headcount!$C$23,0)</f>
        <v>0</v>
      </c>
      <c r="L29" s="4" t="n">
        <f aca="false">IF(Headcount!$D$23&lt;=Timeline!L5,Headcount!$C$23,0)</f>
        <v>0</v>
      </c>
      <c r="M29" s="4" t="n">
        <f aca="false">IF(Headcount!$D$23&lt;=Timeline!M5,Headcount!$C$23,0)</f>
        <v>0</v>
      </c>
      <c r="N29" s="4" t="n">
        <f aca="false">IF(Headcount!$D$23&lt;=Timeline!N5,Headcount!$C$23,0)</f>
        <v>0</v>
      </c>
      <c r="O29" s="4" t="n">
        <f aca="false">IF(Headcount!$D$23&lt;=Timeline!O5,Headcount!$C$23,0)</f>
        <v>0</v>
      </c>
      <c r="P29" s="4" t="n">
        <f aca="false">IF(Headcount!$D$23&lt;=Timeline!P5,Headcount!$C$23,0)</f>
        <v>0</v>
      </c>
      <c r="Q29" s="4" t="n">
        <f aca="false">IF(Headcount!$D$23&lt;=Timeline!Q5,Headcount!$C$23,0)</f>
        <v>0</v>
      </c>
      <c r="R29" s="4" t="n">
        <f aca="false">IF(Headcount!$D$23&lt;=Timeline!R5,Headcount!$C$23,0)</f>
        <v>0</v>
      </c>
      <c r="S29" s="4" t="n">
        <f aca="false">IF(Headcount!$D$23&lt;=Timeline!S5,Headcount!$C$23,0)</f>
        <v>0</v>
      </c>
      <c r="T29" s="4" t="n">
        <f aca="false">IF(Headcount!$D$23&lt;=Timeline!T5,Headcount!$C$23,0)</f>
        <v>1</v>
      </c>
      <c r="U29" s="4" t="n">
        <f aca="false">IF(Headcount!$D$23&lt;=Timeline!U5,Headcount!$C$23,0)</f>
        <v>1</v>
      </c>
      <c r="V29" s="4" t="n">
        <f aca="false">IF(Headcount!$D$23&lt;=Timeline!V5,Headcount!$C$23,0)</f>
        <v>1</v>
      </c>
      <c r="W29" s="4" t="n">
        <f aca="false">IF(Headcount!$D$23&lt;=Timeline!W5,Headcount!$C$23,0)</f>
        <v>1</v>
      </c>
      <c r="X29" s="4" t="n">
        <f aca="false">IF(Headcount!$D$23&lt;=Timeline!X5,Headcount!$C$23,0)</f>
        <v>1</v>
      </c>
      <c r="Y29" s="4" t="n">
        <f aca="false">IF(Headcount!$D$23&lt;=Timeline!Y5,Headcount!$C$23,0)</f>
        <v>1</v>
      </c>
      <c r="Z29" s="4" t="n">
        <f aca="false">IF(Headcount!$D$23&lt;=Timeline!Z5,Headcount!$C$23,0)</f>
        <v>1</v>
      </c>
      <c r="AA29" s="4" t="n">
        <f aca="false">IF(Headcount!$D$23&lt;=Timeline!AA5,Headcount!$C$23,0)</f>
        <v>1</v>
      </c>
      <c r="AB29" s="4" t="n">
        <f aca="false">IF(Headcount!$D$23&lt;=Timeline!AB5,Headcount!$C$23,0)</f>
        <v>1</v>
      </c>
      <c r="AC29" s="4" t="n">
        <f aca="false">IF(Headcount!$D$23&lt;=DATE(2029,12,31),Headcount!$C$23,0)</f>
        <v>1</v>
      </c>
      <c r="AD29" s="4" t="n">
        <f aca="false">IF(Headcount!$D$23&lt;=DATE(2030,12,31),Headcount!$C$23,0)</f>
        <v>1</v>
      </c>
      <c r="AE29" s="4" t="n">
        <f aca="false">IF(Headcount!$D$23&lt;=DATE(2031,12,31),Headcount!$C$23,0)</f>
        <v>1</v>
      </c>
      <c r="AG29" s="4" t="n">
        <f aca="false">D29</f>
        <v>0</v>
      </c>
      <c r="AH29" s="4" t="n">
        <f aca="false">P29</f>
        <v>0</v>
      </c>
      <c r="AI29" s="4" t="n">
        <f aca="false">AB29</f>
        <v>1</v>
      </c>
      <c r="AJ29" s="4" t="n">
        <f aca="false">AC29</f>
        <v>1</v>
      </c>
      <c r="AK29" s="4" t="n">
        <f aca="false">AD29</f>
        <v>1</v>
      </c>
      <c r="AL29" s="4" t="n">
        <f aca="false">AE29</f>
        <v>1</v>
      </c>
    </row>
    <row r="30" customFormat="false" ht="15" hidden="false" customHeight="false" outlineLevel="0" collapsed="false">
      <c r="A30" s="0" t="str">
        <f aca="false">Headcount!A24</f>
        <v>QA / test engineer</v>
      </c>
      <c r="B30" s="2" t="str">
        <f aca="false">Headcount!B24</f>
        <v>R&amp;D</v>
      </c>
      <c r="C30" s="4" t="n">
        <f aca="false">IF(Headcount!$D$24&lt;=Timeline!C5,Headcount!$C$24,0)</f>
        <v>0</v>
      </c>
      <c r="D30" s="4" t="n">
        <f aca="false">IF(Headcount!$D$24&lt;=Timeline!D5,Headcount!$C$24,0)</f>
        <v>0</v>
      </c>
      <c r="E30" s="4" t="n">
        <f aca="false">IF(Headcount!$D$24&lt;=Timeline!E5,Headcount!$C$24,0)</f>
        <v>0</v>
      </c>
      <c r="F30" s="4" t="n">
        <f aca="false">IF(Headcount!$D$24&lt;=Timeline!F5,Headcount!$C$24,0)</f>
        <v>0</v>
      </c>
      <c r="G30" s="4" t="n">
        <f aca="false">IF(Headcount!$D$24&lt;=Timeline!G5,Headcount!$C$24,0)</f>
        <v>0</v>
      </c>
      <c r="H30" s="4" t="n">
        <f aca="false">IF(Headcount!$D$24&lt;=Timeline!H5,Headcount!$C$24,0)</f>
        <v>0</v>
      </c>
      <c r="I30" s="4" t="n">
        <f aca="false">IF(Headcount!$D$24&lt;=Timeline!I5,Headcount!$C$24,0)</f>
        <v>0</v>
      </c>
      <c r="J30" s="4" t="n">
        <f aca="false">IF(Headcount!$D$24&lt;=Timeline!J5,Headcount!$C$24,0)</f>
        <v>0</v>
      </c>
      <c r="K30" s="4" t="n">
        <f aca="false">IF(Headcount!$D$24&lt;=Timeline!K5,Headcount!$C$24,0)</f>
        <v>0</v>
      </c>
      <c r="L30" s="4" t="n">
        <f aca="false">IF(Headcount!$D$24&lt;=Timeline!L5,Headcount!$C$24,0)</f>
        <v>0</v>
      </c>
      <c r="M30" s="4" t="n">
        <f aca="false">IF(Headcount!$D$24&lt;=Timeline!M5,Headcount!$C$24,0)</f>
        <v>0</v>
      </c>
      <c r="N30" s="4" t="n">
        <f aca="false">IF(Headcount!$D$24&lt;=Timeline!N5,Headcount!$C$24,0)</f>
        <v>0</v>
      </c>
      <c r="O30" s="4" t="n">
        <f aca="false">IF(Headcount!$D$24&lt;=Timeline!O5,Headcount!$C$24,0)</f>
        <v>0</v>
      </c>
      <c r="P30" s="4" t="n">
        <f aca="false">IF(Headcount!$D$24&lt;=Timeline!P5,Headcount!$C$24,0)</f>
        <v>0</v>
      </c>
      <c r="Q30" s="4" t="n">
        <f aca="false">IF(Headcount!$D$24&lt;=Timeline!Q5,Headcount!$C$24,0)</f>
        <v>0</v>
      </c>
      <c r="R30" s="4" t="n">
        <f aca="false">IF(Headcount!$D$24&lt;=Timeline!R5,Headcount!$C$24,0)</f>
        <v>0</v>
      </c>
      <c r="S30" s="4" t="n">
        <f aca="false">IF(Headcount!$D$24&lt;=Timeline!S5,Headcount!$C$24,0)</f>
        <v>0</v>
      </c>
      <c r="T30" s="4" t="n">
        <f aca="false">IF(Headcount!$D$24&lt;=Timeline!T5,Headcount!$C$24,0)</f>
        <v>1</v>
      </c>
      <c r="U30" s="4" t="n">
        <f aca="false">IF(Headcount!$D$24&lt;=Timeline!U5,Headcount!$C$24,0)</f>
        <v>1</v>
      </c>
      <c r="V30" s="4" t="n">
        <f aca="false">IF(Headcount!$D$24&lt;=Timeline!V5,Headcount!$C$24,0)</f>
        <v>1</v>
      </c>
      <c r="W30" s="4" t="n">
        <f aca="false">IF(Headcount!$D$24&lt;=Timeline!W5,Headcount!$C$24,0)</f>
        <v>1</v>
      </c>
      <c r="X30" s="4" t="n">
        <f aca="false">IF(Headcount!$D$24&lt;=Timeline!X5,Headcount!$C$24,0)</f>
        <v>1</v>
      </c>
      <c r="Y30" s="4" t="n">
        <f aca="false">IF(Headcount!$D$24&lt;=Timeline!Y5,Headcount!$C$24,0)</f>
        <v>1</v>
      </c>
      <c r="Z30" s="4" t="n">
        <f aca="false">IF(Headcount!$D$24&lt;=Timeline!Z5,Headcount!$C$24,0)</f>
        <v>1</v>
      </c>
      <c r="AA30" s="4" t="n">
        <f aca="false">IF(Headcount!$D$24&lt;=Timeline!AA5,Headcount!$C$24,0)</f>
        <v>1</v>
      </c>
      <c r="AB30" s="4" t="n">
        <f aca="false">IF(Headcount!$D$24&lt;=Timeline!AB5,Headcount!$C$24,0)</f>
        <v>1</v>
      </c>
      <c r="AC30" s="4" t="n">
        <f aca="false">IF(Headcount!$D$24&lt;=DATE(2029,12,31),Headcount!$C$24,0)</f>
        <v>1</v>
      </c>
      <c r="AD30" s="4" t="n">
        <f aca="false">IF(Headcount!$D$24&lt;=DATE(2030,12,31),Headcount!$C$24,0)</f>
        <v>1</v>
      </c>
      <c r="AE30" s="4" t="n">
        <f aca="false">IF(Headcount!$D$24&lt;=DATE(2031,12,31),Headcount!$C$24,0)</f>
        <v>1</v>
      </c>
      <c r="AG30" s="4" t="n">
        <f aca="false">D30</f>
        <v>0</v>
      </c>
      <c r="AH30" s="4" t="n">
        <f aca="false">P30</f>
        <v>0</v>
      </c>
      <c r="AI30" s="4" t="n">
        <f aca="false">AB30</f>
        <v>1</v>
      </c>
      <c r="AJ30" s="4" t="n">
        <f aca="false">AC30</f>
        <v>1</v>
      </c>
      <c r="AK30" s="4" t="n">
        <f aca="false">AD30</f>
        <v>1</v>
      </c>
      <c r="AL30" s="4" t="n">
        <f aca="false">AE30</f>
        <v>1</v>
      </c>
    </row>
    <row r="31" customFormat="false" ht="15" hidden="false" customHeight="false" outlineLevel="0" collapsed="false">
      <c r="A31" s="0" t="str">
        <f aca="false">Headcount!A25</f>
        <v>ML engineer #2 (on-device models)</v>
      </c>
      <c r="B31" s="2" t="str">
        <f aca="false">Headcount!B25</f>
        <v>R&amp;D</v>
      </c>
      <c r="C31" s="4" t="n">
        <f aca="false">IF(Headcount!$D$25&lt;=Timeline!C5,Headcount!$C$25,0)</f>
        <v>0</v>
      </c>
      <c r="D31" s="4" t="n">
        <f aca="false">IF(Headcount!$D$25&lt;=Timeline!D5,Headcount!$C$25,0)</f>
        <v>0</v>
      </c>
      <c r="E31" s="4" t="n">
        <f aca="false">IF(Headcount!$D$25&lt;=Timeline!E5,Headcount!$C$25,0)</f>
        <v>0</v>
      </c>
      <c r="F31" s="4" t="n">
        <f aca="false">IF(Headcount!$D$25&lt;=Timeline!F5,Headcount!$C$25,0)</f>
        <v>0</v>
      </c>
      <c r="G31" s="4" t="n">
        <f aca="false">IF(Headcount!$D$25&lt;=Timeline!G5,Headcount!$C$25,0)</f>
        <v>0</v>
      </c>
      <c r="H31" s="4" t="n">
        <f aca="false">IF(Headcount!$D$25&lt;=Timeline!H5,Headcount!$C$25,0)</f>
        <v>0</v>
      </c>
      <c r="I31" s="4" t="n">
        <f aca="false">IF(Headcount!$D$25&lt;=Timeline!I5,Headcount!$C$25,0)</f>
        <v>0</v>
      </c>
      <c r="J31" s="4" t="n">
        <f aca="false">IF(Headcount!$D$25&lt;=Timeline!J5,Headcount!$C$25,0)</f>
        <v>0</v>
      </c>
      <c r="K31" s="4" t="n">
        <f aca="false">IF(Headcount!$D$25&lt;=Timeline!K5,Headcount!$C$25,0)</f>
        <v>0</v>
      </c>
      <c r="L31" s="4" t="n">
        <f aca="false">IF(Headcount!$D$25&lt;=Timeline!L5,Headcount!$C$25,0)</f>
        <v>0</v>
      </c>
      <c r="M31" s="4" t="n">
        <f aca="false">IF(Headcount!$D$25&lt;=Timeline!M5,Headcount!$C$25,0)</f>
        <v>0</v>
      </c>
      <c r="N31" s="4" t="n">
        <f aca="false">IF(Headcount!$D$25&lt;=Timeline!N5,Headcount!$C$25,0)</f>
        <v>0</v>
      </c>
      <c r="O31" s="4" t="n">
        <f aca="false">IF(Headcount!$D$25&lt;=Timeline!O5,Headcount!$C$25,0)</f>
        <v>0</v>
      </c>
      <c r="P31" s="4" t="n">
        <f aca="false">IF(Headcount!$D$25&lt;=Timeline!P5,Headcount!$C$25,0)</f>
        <v>0</v>
      </c>
      <c r="Q31" s="4" t="n">
        <f aca="false">IF(Headcount!$D$25&lt;=Timeline!Q5,Headcount!$C$25,0)</f>
        <v>0</v>
      </c>
      <c r="R31" s="4" t="n">
        <f aca="false">IF(Headcount!$D$25&lt;=Timeline!R5,Headcount!$C$25,0)</f>
        <v>0</v>
      </c>
      <c r="S31" s="4" t="n">
        <f aca="false">IF(Headcount!$D$25&lt;=Timeline!S5,Headcount!$C$25,0)</f>
        <v>0</v>
      </c>
      <c r="T31" s="4" t="n">
        <f aca="false">IF(Headcount!$D$25&lt;=Timeline!T5,Headcount!$C$25,0)</f>
        <v>0</v>
      </c>
      <c r="U31" s="4" t="n">
        <f aca="false">IF(Headcount!$D$25&lt;=Timeline!U5,Headcount!$C$25,0)</f>
        <v>0</v>
      </c>
      <c r="V31" s="4" t="n">
        <f aca="false">IF(Headcount!$D$25&lt;=Timeline!V5,Headcount!$C$25,0)</f>
        <v>1</v>
      </c>
      <c r="W31" s="4" t="n">
        <f aca="false">IF(Headcount!$D$25&lt;=Timeline!W5,Headcount!$C$25,0)</f>
        <v>1</v>
      </c>
      <c r="X31" s="4" t="n">
        <f aca="false">IF(Headcount!$D$25&lt;=Timeline!X5,Headcount!$C$25,0)</f>
        <v>1</v>
      </c>
      <c r="Y31" s="4" t="n">
        <f aca="false">IF(Headcount!$D$25&lt;=Timeline!Y5,Headcount!$C$25,0)</f>
        <v>1</v>
      </c>
      <c r="Z31" s="4" t="n">
        <f aca="false">IF(Headcount!$D$25&lt;=Timeline!Z5,Headcount!$C$25,0)</f>
        <v>1</v>
      </c>
      <c r="AA31" s="4" t="n">
        <f aca="false">IF(Headcount!$D$25&lt;=Timeline!AA5,Headcount!$C$25,0)</f>
        <v>1</v>
      </c>
      <c r="AB31" s="4" t="n">
        <f aca="false">IF(Headcount!$D$25&lt;=Timeline!AB5,Headcount!$C$25,0)</f>
        <v>1</v>
      </c>
      <c r="AC31" s="4" t="n">
        <f aca="false">IF(Headcount!$D$25&lt;=DATE(2029,12,31),Headcount!$C$25,0)</f>
        <v>1</v>
      </c>
      <c r="AD31" s="4" t="n">
        <f aca="false">IF(Headcount!$D$25&lt;=DATE(2030,12,31),Headcount!$C$25,0)</f>
        <v>1</v>
      </c>
      <c r="AE31" s="4" t="n">
        <f aca="false">IF(Headcount!$D$25&lt;=DATE(2031,12,31),Headcount!$C$25,0)</f>
        <v>1</v>
      </c>
      <c r="AG31" s="4" t="n">
        <f aca="false">D31</f>
        <v>0</v>
      </c>
      <c r="AH31" s="4" t="n">
        <f aca="false">P31</f>
        <v>0</v>
      </c>
      <c r="AI31" s="4" t="n">
        <f aca="false">AB31</f>
        <v>1</v>
      </c>
      <c r="AJ31" s="4" t="n">
        <f aca="false">AC31</f>
        <v>1</v>
      </c>
      <c r="AK31" s="4" t="n">
        <f aca="false">AD31</f>
        <v>1</v>
      </c>
      <c r="AL31" s="4" t="n">
        <f aca="false">AE31</f>
        <v>1</v>
      </c>
    </row>
    <row r="32" customFormat="false" ht="15" hidden="false" customHeight="false" outlineLevel="0" collapsed="false">
      <c r="A32" s="0" t="str">
        <f aca="false">Headcount!A26</f>
        <v>Brand &amp; content marketer</v>
      </c>
      <c r="B32" s="2" t="str">
        <f aca="false">Headcount!B26</f>
        <v>S&amp;M</v>
      </c>
      <c r="C32" s="4" t="n">
        <f aca="false">IF(Headcount!$D$26&lt;=Timeline!C5,Headcount!$C$26,0)</f>
        <v>0</v>
      </c>
      <c r="D32" s="4" t="n">
        <f aca="false">IF(Headcount!$D$26&lt;=Timeline!D5,Headcount!$C$26,0)</f>
        <v>0</v>
      </c>
      <c r="E32" s="4" t="n">
        <f aca="false">IF(Headcount!$D$26&lt;=Timeline!E5,Headcount!$C$26,0)</f>
        <v>0</v>
      </c>
      <c r="F32" s="4" t="n">
        <f aca="false">IF(Headcount!$D$26&lt;=Timeline!F5,Headcount!$C$26,0)</f>
        <v>0</v>
      </c>
      <c r="G32" s="4" t="n">
        <f aca="false">IF(Headcount!$D$26&lt;=Timeline!G5,Headcount!$C$26,0)</f>
        <v>0</v>
      </c>
      <c r="H32" s="4" t="n">
        <f aca="false">IF(Headcount!$D$26&lt;=Timeline!H5,Headcount!$C$26,0)</f>
        <v>0</v>
      </c>
      <c r="I32" s="4" t="n">
        <f aca="false">IF(Headcount!$D$26&lt;=Timeline!I5,Headcount!$C$26,0)</f>
        <v>0</v>
      </c>
      <c r="J32" s="4" t="n">
        <f aca="false">IF(Headcount!$D$26&lt;=Timeline!J5,Headcount!$C$26,0)</f>
        <v>0</v>
      </c>
      <c r="K32" s="4" t="n">
        <f aca="false">IF(Headcount!$D$26&lt;=Timeline!K5,Headcount!$C$26,0)</f>
        <v>0</v>
      </c>
      <c r="L32" s="4" t="n">
        <f aca="false">IF(Headcount!$D$26&lt;=Timeline!L5,Headcount!$C$26,0)</f>
        <v>0</v>
      </c>
      <c r="M32" s="4" t="n">
        <f aca="false">IF(Headcount!$D$26&lt;=Timeline!M5,Headcount!$C$26,0)</f>
        <v>0</v>
      </c>
      <c r="N32" s="4" t="n">
        <f aca="false">IF(Headcount!$D$26&lt;=Timeline!N5,Headcount!$C$26,0)</f>
        <v>0</v>
      </c>
      <c r="O32" s="4" t="n">
        <f aca="false">IF(Headcount!$D$26&lt;=Timeline!O5,Headcount!$C$26,0)</f>
        <v>0</v>
      </c>
      <c r="P32" s="4" t="n">
        <f aca="false">IF(Headcount!$D$26&lt;=Timeline!P5,Headcount!$C$26,0)</f>
        <v>0</v>
      </c>
      <c r="Q32" s="4" t="n">
        <f aca="false">IF(Headcount!$D$26&lt;=Timeline!Q5,Headcount!$C$26,0)</f>
        <v>0</v>
      </c>
      <c r="R32" s="4" t="n">
        <f aca="false">IF(Headcount!$D$26&lt;=Timeline!R5,Headcount!$C$26,0)</f>
        <v>0</v>
      </c>
      <c r="S32" s="4" t="n">
        <f aca="false">IF(Headcount!$D$26&lt;=Timeline!S5,Headcount!$C$26,0)</f>
        <v>0</v>
      </c>
      <c r="T32" s="4" t="n">
        <f aca="false">IF(Headcount!$D$26&lt;=Timeline!T5,Headcount!$C$26,0)</f>
        <v>0</v>
      </c>
      <c r="U32" s="4" t="n">
        <f aca="false">IF(Headcount!$D$26&lt;=Timeline!U5,Headcount!$C$26,0)</f>
        <v>0</v>
      </c>
      <c r="V32" s="4" t="n">
        <f aca="false">IF(Headcount!$D$26&lt;=Timeline!V5,Headcount!$C$26,0)</f>
        <v>1</v>
      </c>
      <c r="W32" s="4" t="n">
        <f aca="false">IF(Headcount!$D$26&lt;=Timeline!W5,Headcount!$C$26,0)</f>
        <v>1</v>
      </c>
      <c r="X32" s="4" t="n">
        <f aca="false">IF(Headcount!$D$26&lt;=Timeline!X5,Headcount!$C$26,0)</f>
        <v>1</v>
      </c>
      <c r="Y32" s="4" t="n">
        <f aca="false">IF(Headcount!$D$26&lt;=Timeline!Y5,Headcount!$C$26,0)</f>
        <v>1</v>
      </c>
      <c r="Z32" s="4" t="n">
        <f aca="false">IF(Headcount!$D$26&lt;=Timeline!Z5,Headcount!$C$26,0)</f>
        <v>1</v>
      </c>
      <c r="AA32" s="4" t="n">
        <f aca="false">IF(Headcount!$D$26&lt;=Timeline!AA5,Headcount!$C$26,0)</f>
        <v>1</v>
      </c>
      <c r="AB32" s="4" t="n">
        <f aca="false">IF(Headcount!$D$26&lt;=Timeline!AB5,Headcount!$C$26,0)</f>
        <v>1</v>
      </c>
      <c r="AC32" s="4" t="n">
        <f aca="false">IF(Headcount!$D$26&lt;=DATE(2029,12,31),Headcount!$C$26,0)</f>
        <v>1</v>
      </c>
      <c r="AD32" s="4" t="n">
        <f aca="false">IF(Headcount!$D$26&lt;=DATE(2030,12,31),Headcount!$C$26,0)</f>
        <v>1</v>
      </c>
      <c r="AE32" s="4" t="n">
        <f aca="false">IF(Headcount!$D$26&lt;=DATE(2031,12,31),Headcount!$C$26,0)</f>
        <v>1</v>
      </c>
      <c r="AG32" s="4" t="n">
        <f aca="false">D32</f>
        <v>0</v>
      </c>
      <c r="AH32" s="4" t="n">
        <f aca="false">P32</f>
        <v>0</v>
      </c>
      <c r="AI32" s="4" t="n">
        <f aca="false">AB32</f>
        <v>1</v>
      </c>
      <c r="AJ32" s="4" t="n">
        <f aca="false">AC32</f>
        <v>1</v>
      </c>
      <c r="AK32" s="4" t="n">
        <f aca="false">AD32</f>
        <v>1</v>
      </c>
      <c r="AL32" s="4" t="n">
        <f aca="false">AE32</f>
        <v>1</v>
      </c>
    </row>
    <row r="33" customFormat="false" ht="15" hidden="false" customHeight="false" outlineLevel="0" collapsed="false">
      <c r="A33" s="0" t="str">
        <f aca="false">Headcount!A27</f>
        <v>People &amp; office ops</v>
      </c>
      <c r="B33" s="2" t="str">
        <f aca="false">Headcount!B27</f>
        <v>G&amp;A</v>
      </c>
      <c r="C33" s="4" t="n">
        <f aca="false">IF(Headcount!$D$27&lt;=Timeline!C5,Headcount!$C$27,0)</f>
        <v>0</v>
      </c>
      <c r="D33" s="4" t="n">
        <f aca="false">IF(Headcount!$D$27&lt;=Timeline!D5,Headcount!$C$27,0)</f>
        <v>0</v>
      </c>
      <c r="E33" s="4" t="n">
        <f aca="false">IF(Headcount!$D$27&lt;=Timeline!E5,Headcount!$C$27,0)</f>
        <v>0</v>
      </c>
      <c r="F33" s="4" t="n">
        <f aca="false">IF(Headcount!$D$27&lt;=Timeline!F5,Headcount!$C$27,0)</f>
        <v>0</v>
      </c>
      <c r="G33" s="4" t="n">
        <f aca="false">IF(Headcount!$D$27&lt;=Timeline!G5,Headcount!$C$27,0)</f>
        <v>0</v>
      </c>
      <c r="H33" s="4" t="n">
        <f aca="false">IF(Headcount!$D$27&lt;=Timeline!H5,Headcount!$C$27,0)</f>
        <v>0</v>
      </c>
      <c r="I33" s="4" t="n">
        <f aca="false">IF(Headcount!$D$27&lt;=Timeline!I5,Headcount!$C$27,0)</f>
        <v>0</v>
      </c>
      <c r="J33" s="4" t="n">
        <f aca="false">IF(Headcount!$D$27&lt;=Timeline!J5,Headcount!$C$27,0)</f>
        <v>0</v>
      </c>
      <c r="K33" s="4" t="n">
        <f aca="false">IF(Headcount!$D$27&lt;=Timeline!K5,Headcount!$C$27,0)</f>
        <v>0</v>
      </c>
      <c r="L33" s="4" t="n">
        <f aca="false">IF(Headcount!$D$27&lt;=Timeline!L5,Headcount!$C$27,0)</f>
        <v>0</v>
      </c>
      <c r="M33" s="4" t="n">
        <f aca="false">IF(Headcount!$D$27&lt;=Timeline!M5,Headcount!$C$27,0)</f>
        <v>0</v>
      </c>
      <c r="N33" s="4" t="n">
        <f aca="false">IF(Headcount!$D$27&lt;=Timeline!N5,Headcount!$C$27,0)</f>
        <v>0</v>
      </c>
      <c r="O33" s="4" t="n">
        <f aca="false">IF(Headcount!$D$27&lt;=Timeline!O5,Headcount!$C$27,0)</f>
        <v>0</v>
      </c>
      <c r="P33" s="4" t="n">
        <f aca="false">IF(Headcount!$D$27&lt;=Timeline!P5,Headcount!$C$27,0)</f>
        <v>0</v>
      </c>
      <c r="Q33" s="4" t="n">
        <f aca="false">IF(Headcount!$D$27&lt;=Timeline!Q5,Headcount!$C$27,0)</f>
        <v>0</v>
      </c>
      <c r="R33" s="4" t="n">
        <f aca="false">IF(Headcount!$D$27&lt;=Timeline!R5,Headcount!$C$27,0)</f>
        <v>0</v>
      </c>
      <c r="S33" s="4" t="n">
        <f aca="false">IF(Headcount!$D$27&lt;=Timeline!S5,Headcount!$C$27,0)</f>
        <v>0</v>
      </c>
      <c r="T33" s="4" t="n">
        <f aca="false">IF(Headcount!$D$27&lt;=Timeline!T5,Headcount!$C$27,0)</f>
        <v>0</v>
      </c>
      <c r="U33" s="4" t="n">
        <f aca="false">IF(Headcount!$D$27&lt;=Timeline!U5,Headcount!$C$27,0)</f>
        <v>0</v>
      </c>
      <c r="V33" s="4" t="n">
        <f aca="false">IF(Headcount!$D$27&lt;=Timeline!V5,Headcount!$C$27,0)</f>
        <v>0</v>
      </c>
      <c r="W33" s="4" t="n">
        <f aca="false">IF(Headcount!$D$27&lt;=Timeline!W5,Headcount!$C$27,0)</f>
        <v>0</v>
      </c>
      <c r="X33" s="4" t="n">
        <f aca="false">IF(Headcount!$D$27&lt;=Timeline!X5,Headcount!$C$27,0)</f>
        <v>0</v>
      </c>
      <c r="Y33" s="4" t="n">
        <f aca="false">IF(Headcount!$D$27&lt;=Timeline!Y5,Headcount!$C$27,0)</f>
        <v>1</v>
      </c>
      <c r="Z33" s="4" t="n">
        <f aca="false">IF(Headcount!$D$27&lt;=Timeline!Z5,Headcount!$C$27,0)</f>
        <v>1</v>
      </c>
      <c r="AA33" s="4" t="n">
        <f aca="false">IF(Headcount!$D$27&lt;=Timeline!AA5,Headcount!$C$27,0)</f>
        <v>1</v>
      </c>
      <c r="AB33" s="4" t="n">
        <f aca="false">IF(Headcount!$D$27&lt;=Timeline!AB5,Headcount!$C$27,0)</f>
        <v>1</v>
      </c>
      <c r="AC33" s="4" t="n">
        <f aca="false">IF(Headcount!$D$27&lt;=DATE(2029,12,31),Headcount!$C$27,0)</f>
        <v>1</v>
      </c>
      <c r="AD33" s="4" t="n">
        <f aca="false">IF(Headcount!$D$27&lt;=DATE(2030,12,31),Headcount!$C$27,0)</f>
        <v>1</v>
      </c>
      <c r="AE33" s="4" t="n">
        <f aca="false">IF(Headcount!$D$27&lt;=DATE(2031,12,31),Headcount!$C$27,0)</f>
        <v>1</v>
      </c>
      <c r="AG33" s="4" t="n">
        <f aca="false">D33</f>
        <v>0</v>
      </c>
      <c r="AH33" s="4" t="n">
        <f aca="false">P33</f>
        <v>0</v>
      </c>
      <c r="AI33" s="4" t="n">
        <f aca="false">AB33</f>
        <v>1</v>
      </c>
      <c r="AJ33" s="4" t="n">
        <f aca="false">AC33</f>
        <v>1</v>
      </c>
      <c r="AK33" s="4" t="n">
        <f aca="false">AD33</f>
        <v>1</v>
      </c>
      <c r="AL33" s="4" t="n">
        <f aca="false">AE33</f>
        <v>1</v>
      </c>
    </row>
    <row r="34" customFormat="false" ht="15" hidden="false" customHeight="false" outlineLevel="0" collapsed="false">
      <c r="A34" s="0" t="str">
        <f aca="false">Headcount!A28</f>
        <v>VP Engineering</v>
      </c>
      <c r="B34" s="2" t="str">
        <f aca="false">Headcount!B28</f>
        <v>R&amp;D</v>
      </c>
      <c r="C34" s="4" t="n">
        <f aca="false">IF(Headcount!$D$28&lt;=Timeline!C5,Headcount!$C$28,0)</f>
        <v>0</v>
      </c>
      <c r="D34" s="4" t="n">
        <f aca="false">IF(Headcount!$D$28&lt;=Timeline!D5,Headcount!$C$28,0)</f>
        <v>0</v>
      </c>
      <c r="E34" s="4" t="n">
        <f aca="false">IF(Headcount!$D$28&lt;=Timeline!E5,Headcount!$C$28,0)</f>
        <v>0</v>
      </c>
      <c r="F34" s="4" t="n">
        <f aca="false">IF(Headcount!$D$28&lt;=Timeline!F5,Headcount!$C$28,0)</f>
        <v>0</v>
      </c>
      <c r="G34" s="4" t="n">
        <f aca="false">IF(Headcount!$D$28&lt;=Timeline!G5,Headcount!$C$28,0)</f>
        <v>0</v>
      </c>
      <c r="H34" s="4" t="n">
        <f aca="false">IF(Headcount!$D$28&lt;=Timeline!H5,Headcount!$C$28,0)</f>
        <v>0</v>
      </c>
      <c r="I34" s="4" t="n">
        <f aca="false">IF(Headcount!$D$28&lt;=Timeline!I5,Headcount!$C$28,0)</f>
        <v>0</v>
      </c>
      <c r="J34" s="4" t="n">
        <f aca="false">IF(Headcount!$D$28&lt;=Timeline!J5,Headcount!$C$28,0)</f>
        <v>0</v>
      </c>
      <c r="K34" s="4" t="n">
        <f aca="false">IF(Headcount!$D$28&lt;=Timeline!K5,Headcount!$C$28,0)</f>
        <v>0</v>
      </c>
      <c r="L34" s="4" t="n">
        <f aca="false">IF(Headcount!$D$28&lt;=Timeline!L5,Headcount!$C$28,0)</f>
        <v>0</v>
      </c>
      <c r="M34" s="4" t="n">
        <f aca="false">IF(Headcount!$D$28&lt;=Timeline!M5,Headcount!$C$28,0)</f>
        <v>0</v>
      </c>
      <c r="N34" s="4" t="n">
        <f aca="false">IF(Headcount!$D$28&lt;=Timeline!N5,Headcount!$C$28,0)</f>
        <v>0</v>
      </c>
      <c r="O34" s="4" t="n">
        <f aca="false">IF(Headcount!$D$28&lt;=Timeline!O5,Headcount!$C$28,0)</f>
        <v>0</v>
      </c>
      <c r="P34" s="4" t="n">
        <f aca="false">IF(Headcount!$D$28&lt;=Timeline!P5,Headcount!$C$28,0)</f>
        <v>0</v>
      </c>
      <c r="Q34" s="4" t="n">
        <f aca="false">IF(Headcount!$D$28&lt;=Timeline!Q5,Headcount!$C$28,0)</f>
        <v>0</v>
      </c>
      <c r="R34" s="4" t="n">
        <f aca="false">IF(Headcount!$D$28&lt;=Timeline!R5,Headcount!$C$28,0)</f>
        <v>0</v>
      </c>
      <c r="S34" s="4" t="n">
        <f aca="false">IF(Headcount!$D$28&lt;=Timeline!S5,Headcount!$C$28,0)</f>
        <v>0</v>
      </c>
      <c r="T34" s="4" t="n">
        <f aca="false">IF(Headcount!$D$28&lt;=Timeline!T5,Headcount!$C$28,0)</f>
        <v>0</v>
      </c>
      <c r="U34" s="4" t="n">
        <f aca="false">IF(Headcount!$D$28&lt;=Timeline!U5,Headcount!$C$28,0)</f>
        <v>0</v>
      </c>
      <c r="V34" s="4" t="n">
        <f aca="false">IF(Headcount!$D$28&lt;=Timeline!V5,Headcount!$C$28,0)</f>
        <v>0</v>
      </c>
      <c r="W34" s="4" t="n">
        <f aca="false">IF(Headcount!$D$28&lt;=Timeline!W5,Headcount!$C$28,0)</f>
        <v>0</v>
      </c>
      <c r="X34" s="4" t="n">
        <f aca="false">IF(Headcount!$D$28&lt;=Timeline!X5,Headcount!$C$28,0)</f>
        <v>0</v>
      </c>
      <c r="Y34" s="4" t="n">
        <f aca="false">IF(Headcount!$D$28&lt;=Timeline!Y5,Headcount!$C$28,0)</f>
        <v>0</v>
      </c>
      <c r="Z34" s="4" t="n">
        <f aca="false">IF(Headcount!$D$28&lt;=Timeline!Z5,Headcount!$C$28,0)</f>
        <v>0</v>
      </c>
      <c r="AA34" s="4" t="n">
        <f aca="false">IF(Headcount!$D$28&lt;=Timeline!AA5,Headcount!$C$28,0)</f>
        <v>1</v>
      </c>
      <c r="AB34" s="4" t="n">
        <f aca="false">IF(Headcount!$D$28&lt;=Timeline!AB5,Headcount!$C$28,0)</f>
        <v>1</v>
      </c>
      <c r="AC34" s="4" t="n">
        <f aca="false">IF(Headcount!$D$28&lt;=DATE(2029,12,31),Headcount!$C$28,0)</f>
        <v>1</v>
      </c>
      <c r="AD34" s="4" t="n">
        <f aca="false">IF(Headcount!$D$28&lt;=DATE(2030,12,31),Headcount!$C$28,0)</f>
        <v>1</v>
      </c>
      <c r="AE34" s="4" t="n">
        <f aca="false">IF(Headcount!$D$28&lt;=DATE(2031,12,31),Headcount!$C$28,0)</f>
        <v>1</v>
      </c>
      <c r="AG34" s="4" t="n">
        <f aca="false">D34</f>
        <v>0</v>
      </c>
      <c r="AH34" s="4" t="n">
        <f aca="false">P34</f>
        <v>0</v>
      </c>
      <c r="AI34" s="4" t="n">
        <f aca="false">AB34</f>
        <v>1</v>
      </c>
      <c r="AJ34" s="4" t="n">
        <f aca="false">AC34</f>
        <v>1</v>
      </c>
      <c r="AK34" s="4" t="n">
        <f aca="false">AD34</f>
        <v>1</v>
      </c>
      <c r="AL34" s="4" t="n">
        <f aca="false">AE34</f>
        <v>1</v>
      </c>
    </row>
    <row r="35" customFormat="false" ht="15" hidden="false" customHeight="false" outlineLevel="0" collapsed="false">
      <c r="A35" s="0" t="str">
        <f aca="false">Headcount!A29</f>
        <v>Customer support agents</v>
      </c>
      <c r="B35" s="2" t="str">
        <f aca="false">Headcount!B29</f>
        <v>Ops &amp; CS</v>
      </c>
      <c r="C35" s="4" t="n">
        <f aca="false">IF(Headcount!$D$29&lt;=Timeline!C5,Headcount!$C$29,0)</f>
        <v>0</v>
      </c>
      <c r="D35" s="4" t="n">
        <f aca="false">IF(Headcount!$D$29&lt;=Timeline!D5,Headcount!$C$29,0)</f>
        <v>0</v>
      </c>
      <c r="E35" s="4" t="n">
        <f aca="false">IF(Headcount!$D$29&lt;=Timeline!E5,Headcount!$C$29,0)</f>
        <v>0</v>
      </c>
      <c r="F35" s="4" t="n">
        <f aca="false">IF(Headcount!$D$29&lt;=Timeline!F5,Headcount!$C$29,0)</f>
        <v>0</v>
      </c>
      <c r="G35" s="4" t="n">
        <f aca="false">IF(Headcount!$D$29&lt;=Timeline!G5,Headcount!$C$29,0)</f>
        <v>0</v>
      </c>
      <c r="H35" s="4" t="n">
        <f aca="false">IF(Headcount!$D$29&lt;=Timeline!H5,Headcount!$C$29,0)</f>
        <v>0</v>
      </c>
      <c r="I35" s="4" t="n">
        <f aca="false">IF(Headcount!$D$29&lt;=Timeline!I5,Headcount!$C$29,0)</f>
        <v>0</v>
      </c>
      <c r="J35" s="4" t="n">
        <f aca="false">IF(Headcount!$D$29&lt;=Timeline!J5,Headcount!$C$29,0)</f>
        <v>0</v>
      </c>
      <c r="K35" s="4" t="n">
        <f aca="false">IF(Headcount!$D$29&lt;=Timeline!K5,Headcount!$C$29,0)</f>
        <v>0</v>
      </c>
      <c r="L35" s="4" t="n">
        <f aca="false">IF(Headcount!$D$29&lt;=Timeline!L5,Headcount!$C$29,0)</f>
        <v>0</v>
      </c>
      <c r="M35" s="4" t="n">
        <f aca="false">IF(Headcount!$D$29&lt;=Timeline!M5,Headcount!$C$29,0)</f>
        <v>0</v>
      </c>
      <c r="N35" s="4" t="n">
        <f aca="false">IF(Headcount!$D$29&lt;=Timeline!N5,Headcount!$C$29,0)</f>
        <v>0</v>
      </c>
      <c r="O35" s="4" t="n">
        <f aca="false">IF(Headcount!$D$29&lt;=Timeline!O5,Headcount!$C$29,0)</f>
        <v>0</v>
      </c>
      <c r="P35" s="4" t="n">
        <f aca="false">IF(Headcount!$D$29&lt;=Timeline!P5,Headcount!$C$29,0)</f>
        <v>0</v>
      </c>
      <c r="Q35" s="4" t="n">
        <f aca="false">IF(Headcount!$D$29&lt;=Timeline!Q5,Headcount!$C$29,0)</f>
        <v>0</v>
      </c>
      <c r="R35" s="4" t="n">
        <f aca="false">IF(Headcount!$D$29&lt;=Timeline!R5,Headcount!$C$29,0)</f>
        <v>0</v>
      </c>
      <c r="S35" s="4" t="n">
        <f aca="false">IF(Headcount!$D$29&lt;=Timeline!S5,Headcount!$C$29,0)</f>
        <v>0</v>
      </c>
      <c r="T35" s="4" t="n">
        <f aca="false">IF(Headcount!$D$29&lt;=Timeline!T5,Headcount!$C$29,0)</f>
        <v>0</v>
      </c>
      <c r="U35" s="4" t="n">
        <f aca="false">IF(Headcount!$D$29&lt;=Timeline!U5,Headcount!$C$29,0)</f>
        <v>0</v>
      </c>
      <c r="V35" s="4" t="n">
        <f aca="false">IF(Headcount!$D$29&lt;=Timeline!V5,Headcount!$C$29,0)</f>
        <v>0</v>
      </c>
      <c r="W35" s="4" t="n">
        <f aca="false">IF(Headcount!$D$29&lt;=Timeline!W5,Headcount!$C$29,0)</f>
        <v>0</v>
      </c>
      <c r="X35" s="4" t="n">
        <f aca="false">IF(Headcount!$D$29&lt;=Timeline!X5,Headcount!$C$29,0)</f>
        <v>0</v>
      </c>
      <c r="Y35" s="4" t="n">
        <f aca="false">IF(Headcount!$D$29&lt;=Timeline!Y5,Headcount!$C$29,0)</f>
        <v>0</v>
      </c>
      <c r="Z35" s="4" t="n">
        <f aca="false">IF(Headcount!$D$29&lt;=Timeline!Z5,Headcount!$C$29,0)</f>
        <v>0</v>
      </c>
      <c r="AA35" s="4" t="n">
        <f aca="false">IF(Headcount!$D$29&lt;=Timeline!AA5,Headcount!$C$29,0)</f>
        <v>3</v>
      </c>
      <c r="AB35" s="4" t="n">
        <f aca="false">IF(Headcount!$D$29&lt;=Timeline!AB5,Headcount!$C$29,0)</f>
        <v>3</v>
      </c>
      <c r="AC35" s="4" t="n">
        <f aca="false">IF(Headcount!$D$29&lt;=DATE(2029,12,31),Headcount!$C$29,0)</f>
        <v>3</v>
      </c>
      <c r="AD35" s="4" t="n">
        <f aca="false">IF(Headcount!$D$29&lt;=DATE(2030,12,31),Headcount!$C$29,0)</f>
        <v>3</v>
      </c>
      <c r="AE35" s="4" t="n">
        <f aca="false">IF(Headcount!$D$29&lt;=DATE(2031,12,31),Headcount!$C$29,0)</f>
        <v>3</v>
      </c>
      <c r="AG35" s="4" t="n">
        <f aca="false">D35</f>
        <v>0</v>
      </c>
      <c r="AH35" s="4" t="n">
        <f aca="false">P35</f>
        <v>0</v>
      </c>
      <c r="AI35" s="4" t="n">
        <f aca="false">AB35</f>
        <v>3</v>
      </c>
      <c r="AJ35" s="4" t="n">
        <f aca="false">AC35</f>
        <v>3</v>
      </c>
      <c r="AK35" s="4" t="n">
        <f aca="false">AD35</f>
        <v>3</v>
      </c>
      <c r="AL35" s="4" t="n">
        <f aca="false">AE35</f>
        <v>3</v>
      </c>
    </row>
    <row r="36" customFormat="false" ht="15" hidden="false" customHeight="false" outlineLevel="0" collapsed="false">
      <c r="A36" s="0" t="str">
        <f aca="false">Headcount!A30</f>
        <v>VP Marketing</v>
      </c>
      <c r="B36" s="2" t="str">
        <f aca="false">Headcount!B30</f>
        <v>S&amp;M</v>
      </c>
      <c r="C36" s="4" t="n">
        <f aca="false">IF(Headcount!$D$30&lt;=Timeline!C5,Headcount!$C$30,0)</f>
        <v>0</v>
      </c>
      <c r="D36" s="4" t="n">
        <f aca="false">IF(Headcount!$D$30&lt;=Timeline!D5,Headcount!$C$30,0)</f>
        <v>0</v>
      </c>
      <c r="E36" s="4" t="n">
        <f aca="false">IF(Headcount!$D$30&lt;=Timeline!E5,Headcount!$C$30,0)</f>
        <v>0</v>
      </c>
      <c r="F36" s="4" t="n">
        <f aca="false">IF(Headcount!$D$30&lt;=Timeline!F5,Headcount!$C$30,0)</f>
        <v>0</v>
      </c>
      <c r="G36" s="4" t="n">
        <f aca="false">IF(Headcount!$D$30&lt;=Timeline!G5,Headcount!$C$30,0)</f>
        <v>0</v>
      </c>
      <c r="H36" s="4" t="n">
        <f aca="false">IF(Headcount!$D$30&lt;=Timeline!H5,Headcount!$C$30,0)</f>
        <v>0</v>
      </c>
      <c r="I36" s="4" t="n">
        <f aca="false">IF(Headcount!$D$30&lt;=Timeline!I5,Headcount!$C$30,0)</f>
        <v>0</v>
      </c>
      <c r="J36" s="4" t="n">
        <f aca="false">IF(Headcount!$D$30&lt;=Timeline!J5,Headcount!$C$30,0)</f>
        <v>0</v>
      </c>
      <c r="K36" s="4" t="n">
        <f aca="false">IF(Headcount!$D$30&lt;=Timeline!K5,Headcount!$C$30,0)</f>
        <v>0</v>
      </c>
      <c r="L36" s="4" t="n">
        <f aca="false">IF(Headcount!$D$30&lt;=Timeline!L5,Headcount!$C$30,0)</f>
        <v>0</v>
      </c>
      <c r="M36" s="4" t="n">
        <f aca="false">IF(Headcount!$D$30&lt;=Timeline!M5,Headcount!$C$30,0)</f>
        <v>0</v>
      </c>
      <c r="N36" s="4" t="n">
        <f aca="false">IF(Headcount!$D$30&lt;=Timeline!N5,Headcount!$C$30,0)</f>
        <v>0</v>
      </c>
      <c r="O36" s="4" t="n">
        <f aca="false">IF(Headcount!$D$30&lt;=Timeline!O5,Headcount!$C$30,0)</f>
        <v>0</v>
      </c>
      <c r="P36" s="4" t="n">
        <f aca="false">IF(Headcount!$D$30&lt;=Timeline!P5,Headcount!$C$30,0)</f>
        <v>0</v>
      </c>
      <c r="Q36" s="4" t="n">
        <f aca="false">IF(Headcount!$D$30&lt;=Timeline!Q5,Headcount!$C$30,0)</f>
        <v>0</v>
      </c>
      <c r="R36" s="4" t="n">
        <f aca="false">IF(Headcount!$D$30&lt;=Timeline!R5,Headcount!$C$30,0)</f>
        <v>0</v>
      </c>
      <c r="S36" s="4" t="n">
        <f aca="false">IF(Headcount!$D$30&lt;=Timeline!S5,Headcount!$C$30,0)</f>
        <v>0</v>
      </c>
      <c r="T36" s="4" t="n">
        <f aca="false">IF(Headcount!$D$30&lt;=Timeline!T5,Headcount!$C$30,0)</f>
        <v>0</v>
      </c>
      <c r="U36" s="4" t="n">
        <f aca="false">IF(Headcount!$D$30&lt;=Timeline!U5,Headcount!$C$30,0)</f>
        <v>0</v>
      </c>
      <c r="V36" s="4" t="n">
        <f aca="false">IF(Headcount!$D$30&lt;=Timeline!V5,Headcount!$C$30,0)</f>
        <v>0</v>
      </c>
      <c r="W36" s="4" t="n">
        <f aca="false">IF(Headcount!$D$30&lt;=Timeline!W5,Headcount!$C$30,0)</f>
        <v>0</v>
      </c>
      <c r="X36" s="4" t="n">
        <f aca="false">IF(Headcount!$D$30&lt;=Timeline!X5,Headcount!$C$30,0)</f>
        <v>0</v>
      </c>
      <c r="Y36" s="4" t="n">
        <f aca="false">IF(Headcount!$D$30&lt;=Timeline!Y5,Headcount!$C$30,0)</f>
        <v>0</v>
      </c>
      <c r="Z36" s="4" t="n">
        <f aca="false">IF(Headcount!$D$30&lt;=Timeline!Z5,Headcount!$C$30,0)</f>
        <v>0</v>
      </c>
      <c r="AA36" s="4" t="n">
        <f aca="false">IF(Headcount!$D$30&lt;=Timeline!AA5,Headcount!$C$30,0)</f>
        <v>0</v>
      </c>
      <c r="AB36" s="4" t="n">
        <f aca="false">IF(Headcount!$D$30&lt;=Timeline!AB5,Headcount!$C$30,0)</f>
        <v>0</v>
      </c>
      <c r="AC36" s="4" t="n">
        <f aca="false">IF(Headcount!$D$30&lt;=DATE(2029,12,31),Headcount!$C$30,0)</f>
        <v>1</v>
      </c>
      <c r="AD36" s="4" t="n">
        <f aca="false">IF(Headcount!$D$30&lt;=DATE(2030,12,31),Headcount!$C$30,0)</f>
        <v>1</v>
      </c>
      <c r="AE36" s="4" t="n">
        <f aca="false">IF(Headcount!$D$30&lt;=DATE(2031,12,31),Headcount!$C$30,0)</f>
        <v>1</v>
      </c>
      <c r="AG36" s="4" t="n">
        <f aca="false">D36</f>
        <v>0</v>
      </c>
      <c r="AH36" s="4" t="n">
        <f aca="false">P36</f>
        <v>0</v>
      </c>
      <c r="AI36" s="4" t="n">
        <f aca="false">AB36</f>
        <v>0</v>
      </c>
      <c r="AJ36" s="4" t="n">
        <f aca="false">AC36</f>
        <v>1</v>
      </c>
      <c r="AK36" s="4" t="n">
        <f aca="false">AD36</f>
        <v>1</v>
      </c>
      <c r="AL36" s="4" t="n">
        <f aca="false">AE36</f>
        <v>1</v>
      </c>
    </row>
    <row r="37" customFormat="false" ht="15" hidden="false" customHeight="false" outlineLevel="0" collapsed="false">
      <c r="A37" s="0" t="str">
        <f aca="false">Headcount!A31</f>
        <v>R&amp;D engineers (Gen-2, platform)</v>
      </c>
      <c r="B37" s="2" t="str">
        <f aca="false">Headcount!B31</f>
        <v>R&amp;D</v>
      </c>
      <c r="C37" s="4" t="n">
        <f aca="false">IF(Headcount!$D$31&lt;=Timeline!C5,Headcount!$C$31,0)</f>
        <v>0</v>
      </c>
      <c r="D37" s="4" t="n">
        <f aca="false">IF(Headcount!$D$31&lt;=Timeline!D5,Headcount!$C$31,0)</f>
        <v>0</v>
      </c>
      <c r="E37" s="4" t="n">
        <f aca="false">IF(Headcount!$D$31&lt;=Timeline!E5,Headcount!$C$31,0)</f>
        <v>0</v>
      </c>
      <c r="F37" s="4" t="n">
        <f aca="false">IF(Headcount!$D$31&lt;=Timeline!F5,Headcount!$C$31,0)</f>
        <v>0</v>
      </c>
      <c r="G37" s="4" t="n">
        <f aca="false">IF(Headcount!$D$31&lt;=Timeline!G5,Headcount!$C$31,0)</f>
        <v>0</v>
      </c>
      <c r="H37" s="4" t="n">
        <f aca="false">IF(Headcount!$D$31&lt;=Timeline!H5,Headcount!$C$31,0)</f>
        <v>0</v>
      </c>
      <c r="I37" s="4" t="n">
        <f aca="false">IF(Headcount!$D$31&lt;=Timeline!I5,Headcount!$C$31,0)</f>
        <v>0</v>
      </c>
      <c r="J37" s="4" t="n">
        <f aca="false">IF(Headcount!$D$31&lt;=Timeline!J5,Headcount!$C$31,0)</f>
        <v>0</v>
      </c>
      <c r="K37" s="4" t="n">
        <f aca="false">IF(Headcount!$D$31&lt;=Timeline!K5,Headcount!$C$31,0)</f>
        <v>0</v>
      </c>
      <c r="L37" s="4" t="n">
        <f aca="false">IF(Headcount!$D$31&lt;=Timeline!L5,Headcount!$C$31,0)</f>
        <v>0</v>
      </c>
      <c r="M37" s="4" t="n">
        <f aca="false">IF(Headcount!$D$31&lt;=Timeline!M5,Headcount!$C$31,0)</f>
        <v>0</v>
      </c>
      <c r="N37" s="4" t="n">
        <f aca="false">IF(Headcount!$D$31&lt;=Timeline!N5,Headcount!$C$31,0)</f>
        <v>0</v>
      </c>
      <c r="O37" s="4" t="n">
        <f aca="false">IF(Headcount!$D$31&lt;=Timeline!O5,Headcount!$C$31,0)</f>
        <v>0</v>
      </c>
      <c r="P37" s="4" t="n">
        <f aca="false">IF(Headcount!$D$31&lt;=Timeline!P5,Headcount!$C$31,0)</f>
        <v>0</v>
      </c>
      <c r="Q37" s="4" t="n">
        <f aca="false">IF(Headcount!$D$31&lt;=Timeline!Q5,Headcount!$C$31,0)</f>
        <v>0</v>
      </c>
      <c r="R37" s="4" t="n">
        <f aca="false">IF(Headcount!$D$31&lt;=Timeline!R5,Headcount!$C$31,0)</f>
        <v>0</v>
      </c>
      <c r="S37" s="4" t="n">
        <f aca="false">IF(Headcount!$D$31&lt;=Timeline!S5,Headcount!$C$31,0)</f>
        <v>0</v>
      </c>
      <c r="T37" s="4" t="n">
        <f aca="false">IF(Headcount!$D$31&lt;=Timeline!T5,Headcount!$C$31,0)</f>
        <v>0</v>
      </c>
      <c r="U37" s="4" t="n">
        <f aca="false">IF(Headcount!$D$31&lt;=Timeline!U5,Headcount!$C$31,0)</f>
        <v>0</v>
      </c>
      <c r="V37" s="4" t="n">
        <f aca="false">IF(Headcount!$D$31&lt;=Timeline!V5,Headcount!$C$31,0)</f>
        <v>0</v>
      </c>
      <c r="W37" s="4" t="n">
        <f aca="false">IF(Headcount!$D$31&lt;=Timeline!W5,Headcount!$C$31,0)</f>
        <v>0</v>
      </c>
      <c r="X37" s="4" t="n">
        <f aca="false">IF(Headcount!$D$31&lt;=Timeline!X5,Headcount!$C$31,0)</f>
        <v>0</v>
      </c>
      <c r="Y37" s="4" t="n">
        <f aca="false">IF(Headcount!$D$31&lt;=Timeline!Y5,Headcount!$C$31,0)</f>
        <v>0</v>
      </c>
      <c r="Z37" s="4" t="n">
        <f aca="false">IF(Headcount!$D$31&lt;=Timeline!Z5,Headcount!$C$31,0)</f>
        <v>0</v>
      </c>
      <c r="AA37" s="4" t="n">
        <f aca="false">IF(Headcount!$D$31&lt;=Timeline!AA5,Headcount!$C$31,0)</f>
        <v>0</v>
      </c>
      <c r="AB37" s="4" t="n">
        <f aca="false">IF(Headcount!$D$31&lt;=Timeline!AB5,Headcount!$C$31,0)</f>
        <v>0</v>
      </c>
      <c r="AC37" s="4" t="n">
        <f aca="false">IF(Headcount!$D$31&lt;=DATE(2029,12,31),Headcount!$C$31,0)</f>
        <v>8</v>
      </c>
      <c r="AD37" s="4" t="n">
        <f aca="false">IF(Headcount!$D$31&lt;=DATE(2030,12,31),Headcount!$C$31,0)</f>
        <v>8</v>
      </c>
      <c r="AE37" s="4" t="n">
        <f aca="false">IF(Headcount!$D$31&lt;=DATE(2031,12,31),Headcount!$C$31,0)</f>
        <v>8</v>
      </c>
      <c r="AG37" s="4" t="n">
        <f aca="false">D37</f>
        <v>0</v>
      </c>
      <c r="AH37" s="4" t="n">
        <f aca="false">P37</f>
        <v>0</v>
      </c>
      <c r="AI37" s="4" t="n">
        <f aca="false">AB37</f>
        <v>0</v>
      </c>
      <c r="AJ37" s="4" t="n">
        <f aca="false">AC37</f>
        <v>8</v>
      </c>
      <c r="AK37" s="4" t="n">
        <f aca="false">AD37</f>
        <v>8</v>
      </c>
      <c r="AL37" s="4" t="n">
        <f aca="false">AE37</f>
        <v>8</v>
      </c>
    </row>
    <row r="38" customFormat="false" ht="15" hidden="false" customHeight="false" outlineLevel="0" collapsed="false">
      <c r="A38" s="0" t="str">
        <f aca="false">Headcount!A32</f>
        <v>Content editors (30 new cities)</v>
      </c>
      <c r="B38" s="2" t="str">
        <f aca="false">Headcount!B32</f>
        <v>R&amp;D</v>
      </c>
      <c r="C38" s="4" t="n">
        <f aca="false">IF(Headcount!$D$32&lt;=Timeline!C5,Headcount!$C$32,0)</f>
        <v>0</v>
      </c>
      <c r="D38" s="4" t="n">
        <f aca="false">IF(Headcount!$D$32&lt;=Timeline!D5,Headcount!$C$32,0)</f>
        <v>0</v>
      </c>
      <c r="E38" s="4" t="n">
        <f aca="false">IF(Headcount!$D$32&lt;=Timeline!E5,Headcount!$C$32,0)</f>
        <v>0</v>
      </c>
      <c r="F38" s="4" t="n">
        <f aca="false">IF(Headcount!$D$32&lt;=Timeline!F5,Headcount!$C$32,0)</f>
        <v>0</v>
      </c>
      <c r="G38" s="4" t="n">
        <f aca="false">IF(Headcount!$D$32&lt;=Timeline!G5,Headcount!$C$32,0)</f>
        <v>0</v>
      </c>
      <c r="H38" s="4" t="n">
        <f aca="false">IF(Headcount!$D$32&lt;=Timeline!H5,Headcount!$C$32,0)</f>
        <v>0</v>
      </c>
      <c r="I38" s="4" t="n">
        <f aca="false">IF(Headcount!$D$32&lt;=Timeline!I5,Headcount!$C$32,0)</f>
        <v>0</v>
      </c>
      <c r="J38" s="4" t="n">
        <f aca="false">IF(Headcount!$D$32&lt;=Timeline!J5,Headcount!$C$32,0)</f>
        <v>0</v>
      </c>
      <c r="K38" s="4" t="n">
        <f aca="false">IF(Headcount!$D$32&lt;=Timeline!K5,Headcount!$C$32,0)</f>
        <v>0</v>
      </c>
      <c r="L38" s="4" t="n">
        <f aca="false">IF(Headcount!$D$32&lt;=Timeline!L5,Headcount!$C$32,0)</f>
        <v>0</v>
      </c>
      <c r="M38" s="4" t="n">
        <f aca="false">IF(Headcount!$D$32&lt;=Timeline!M5,Headcount!$C$32,0)</f>
        <v>0</v>
      </c>
      <c r="N38" s="4" t="n">
        <f aca="false">IF(Headcount!$D$32&lt;=Timeline!N5,Headcount!$C$32,0)</f>
        <v>0</v>
      </c>
      <c r="O38" s="4" t="n">
        <f aca="false">IF(Headcount!$D$32&lt;=Timeline!O5,Headcount!$C$32,0)</f>
        <v>0</v>
      </c>
      <c r="P38" s="4" t="n">
        <f aca="false">IF(Headcount!$D$32&lt;=Timeline!P5,Headcount!$C$32,0)</f>
        <v>0</v>
      </c>
      <c r="Q38" s="4" t="n">
        <f aca="false">IF(Headcount!$D$32&lt;=Timeline!Q5,Headcount!$C$32,0)</f>
        <v>0</v>
      </c>
      <c r="R38" s="4" t="n">
        <f aca="false">IF(Headcount!$D$32&lt;=Timeline!R5,Headcount!$C$32,0)</f>
        <v>0</v>
      </c>
      <c r="S38" s="4" t="n">
        <f aca="false">IF(Headcount!$D$32&lt;=Timeline!S5,Headcount!$C$32,0)</f>
        <v>0</v>
      </c>
      <c r="T38" s="4" t="n">
        <f aca="false">IF(Headcount!$D$32&lt;=Timeline!T5,Headcount!$C$32,0)</f>
        <v>0</v>
      </c>
      <c r="U38" s="4" t="n">
        <f aca="false">IF(Headcount!$D$32&lt;=Timeline!U5,Headcount!$C$32,0)</f>
        <v>0</v>
      </c>
      <c r="V38" s="4" t="n">
        <f aca="false">IF(Headcount!$D$32&lt;=Timeline!V5,Headcount!$C$32,0)</f>
        <v>0</v>
      </c>
      <c r="W38" s="4" t="n">
        <f aca="false">IF(Headcount!$D$32&lt;=Timeline!W5,Headcount!$C$32,0)</f>
        <v>0</v>
      </c>
      <c r="X38" s="4" t="n">
        <f aca="false">IF(Headcount!$D$32&lt;=Timeline!X5,Headcount!$C$32,0)</f>
        <v>0</v>
      </c>
      <c r="Y38" s="4" t="n">
        <f aca="false">IF(Headcount!$D$32&lt;=Timeline!Y5,Headcount!$C$32,0)</f>
        <v>0</v>
      </c>
      <c r="Z38" s="4" t="n">
        <f aca="false">IF(Headcount!$D$32&lt;=Timeline!Z5,Headcount!$C$32,0)</f>
        <v>0</v>
      </c>
      <c r="AA38" s="4" t="n">
        <f aca="false">IF(Headcount!$D$32&lt;=Timeline!AA5,Headcount!$C$32,0)</f>
        <v>0</v>
      </c>
      <c r="AB38" s="4" t="n">
        <f aca="false">IF(Headcount!$D$32&lt;=Timeline!AB5,Headcount!$C$32,0)</f>
        <v>0</v>
      </c>
      <c r="AC38" s="4" t="n">
        <f aca="false">IF(Headcount!$D$32&lt;=DATE(2029,12,31),Headcount!$C$32,0)</f>
        <v>4</v>
      </c>
      <c r="AD38" s="4" t="n">
        <f aca="false">IF(Headcount!$D$32&lt;=DATE(2030,12,31),Headcount!$C$32,0)</f>
        <v>4</v>
      </c>
      <c r="AE38" s="4" t="n">
        <f aca="false">IF(Headcount!$D$32&lt;=DATE(2031,12,31),Headcount!$C$32,0)</f>
        <v>4</v>
      </c>
      <c r="AG38" s="4" t="n">
        <f aca="false">D38</f>
        <v>0</v>
      </c>
      <c r="AH38" s="4" t="n">
        <f aca="false">P38</f>
        <v>0</v>
      </c>
      <c r="AI38" s="4" t="n">
        <f aca="false">AB38</f>
        <v>0</v>
      </c>
      <c r="AJ38" s="4" t="n">
        <f aca="false">AC38</f>
        <v>4</v>
      </c>
      <c r="AK38" s="4" t="n">
        <f aca="false">AD38</f>
        <v>4</v>
      </c>
      <c r="AL38" s="4" t="n">
        <f aca="false">AE38</f>
        <v>4</v>
      </c>
    </row>
    <row r="39" customFormat="false" ht="15" hidden="false" customHeight="false" outlineLevel="0" collapsed="false">
      <c r="A39" s="0" t="str">
        <f aca="false">Headcount!A33</f>
        <v>S&amp;M team (performance, retail, EU/APAC)</v>
      </c>
      <c r="B39" s="2" t="str">
        <f aca="false">Headcount!B33</f>
        <v>S&amp;M</v>
      </c>
      <c r="C39" s="4" t="n">
        <f aca="false">IF(Headcount!$D$33&lt;=Timeline!C5,Headcount!$C$33,0)</f>
        <v>0</v>
      </c>
      <c r="D39" s="4" t="n">
        <f aca="false">IF(Headcount!$D$33&lt;=Timeline!D5,Headcount!$C$33,0)</f>
        <v>0</v>
      </c>
      <c r="E39" s="4" t="n">
        <f aca="false">IF(Headcount!$D$33&lt;=Timeline!E5,Headcount!$C$33,0)</f>
        <v>0</v>
      </c>
      <c r="F39" s="4" t="n">
        <f aca="false">IF(Headcount!$D$33&lt;=Timeline!F5,Headcount!$C$33,0)</f>
        <v>0</v>
      </c>
      <c r="G39" s="4" t="n">
        <f aca="false">IF(Headcount!$D$33&lt;=Timeline!G5,Headcount!$C$33,0)</f>
        <v>0</v>
      </c>
      <c r="H39" s="4" t="n">
        <f aca="false">IF(Headcount!$D$33&lt;=Timeline!H5,Headcount!$C$33,0)</f>
        <v>0</v>
      </c>
      <c r="I39" s="4" t="n">
        <f aca="false">IF(Headcount!$D$33&lt;=Timeline!I5,Headcount!$C$33,0)</f>
        <v>0</v>
      </c>
      <c r="J39" s="4" t="n">
        <f aca="false">IF(Headcount!$D$33&lt;=Timeline!J5,Headcount!$C$33,0)</f>
        <v>0</v>
      </c>
      <c r="K39" s="4" t="n">
        <f aca="false">IF(Headcount!$D$33&lt;=Timeline!K5,Headcount!$C$33,0)</f>
        <v>0</v>
      </c>
      <c r="L39" s="4" t="n">
        <f aca="false">IF(Headcount!$D$33&lt;=Timeline!L5,Headcount!$C$33,0)</f>
        <v>0</v>
      </c>
      <c r="M39" s="4" t="n">
        <f aca="false">IF(Headcount!$D$33&lt;=Timeline!M5,Headcount!$C$33,0)</f>
        <v>0</v>
      </c>
      <c r="N39" s="4" t="n">
        <f aca="false">IF(Headcount!$D$33&lt;=Timeline!N5,Headcount!$C$33,0)</f>
        <v>0</v>
      </c>
      <c r="O39" s="4" t="n">
        <f aca="false">IF(Headcount!$D$33&lt;=Timeline!O5,Headcount!$C$33,0)</f>
        <v>0</v>
      </c>
      <c r="P39" s="4" t="n">
        <f aca="false">IF(Headcount!$D$33&lt;=Timeline!P5,Headcount!$C$33,0)</f>
        <v>0</v>
      </c>
      <c r="Q39" s="4" t="n">
        <f aca="false">IF(Headcount!$D$33&lt;=Timeline!Q5,Headcount!$C$33,0)</f>
        <v>0</v>
      </c>
      <c r="R39" s="4" t="n">
        <f aca="false">IF(Headcount!$D$33&lt;=Timeline!R5,Headcount!$C$33,0)</f>
        <v>0</v>
      </c>
      <c r="S39" s="4" t="n">
        <f aca="false">IF(Headcount!$D$33&lt;=Timeline!S5,Headcount!$C$33,0)</f>
        <v>0</v>
      </c>
      <c r="T39" s="4" t="n">
        <f aca="false">IF(Headcount!$D$33&lt;=Timeline!T5,Headcount!$C$33,0)</f>
        <v>0</v>
      </c>
      <c r="U39" s="4" t="n">
        <f aca="false">IF(Headcount!$D$33&lt;=Timeline!U5,Headcount!$C$33,0)</f>
        <v>0</v>
      </c>
      <c r="V39" s="4" t="n">
        <f aca="false">IF(Headcount!$D$33&lt;=Timeline!V5,Headcount!$C$33,0)</f>
        <v>0</v>
      </c>
      <c r="W39" s="4" t="n">
        <f aca="false">IF(Headcount!$D$33&lt;=Timeline!W5,Headcount!$C$33,0)</f>
        <v>0</v>
      </c>
      <c r="X39" s="4" t="n">
        <f aca="false">IF(Headcount!$D$33&lt;=Timeline!X5,Headcount!$C$33,0)</f>
        <v>0</v>
      </c>
      <c r="Y39" s="4" t="n">
        <f aca="false">IF(Headcount!$D$33&lt;=Timeline!Y5,Headcount!$C$33,0)</f>
        <v>0</v>
      </c>
      <c r="Z39" s="4" t="n">
        <f aca="false">IF(Headcount!$D$33&lt;=Timeline!Z5,Headcount!$C$33,0)</f>
        <v>0</v>
      </c>
      <c r="AA39" s="4" t="n">
        <f aca="false">IF(Headcount!$D$33&lt;=Timeline!AA5,Headcount!$C$33,0)</f>
        <v>0</v>
      </c>
      <c r="AB39" s="4" t="n">
        <f aca="false">IF(Headcount!$D$33&lt;=Timeline!AB5,Headcount!$C$33,0)</f>
        <v>0</v>
      </c>
      <c r="AC39" s="4" t="n">
        <f aca="false">IF(Headcount!$D$33&lt;=DATE(2029,12,31),Headcount!$C$33,0)</f>
        <v>5</v>
      </c>
      <c r="AD39" s="4" t="n">
        <f aca="false">IF(Headcount!$D$33&lt;=DATE(2030,12,31),Headcount!$C$33,0)</f>
        <v>5</v>
      </c>
      <c r="AE39" s="4" t="n">
        <f aca="false">IF(Headcount!$D$33&lt;=DATE(2031,12,31),Headcount!$C$33,0)</f>
        <v>5</v>
      </c>
      <c r="AG39" s="4" t="n">
        <f aca="false">D39</f>
        <v>0</v>
      </c>
      <c r="AH39" s="4" t="n">
        <f aca="false">P39</f>
        <v>0</v>
      </c>
      <c r="AI39" s="4" t="n">
        <f aca="false">AB39</f>
        <v>0</v>
      </c>
      <c r="AJ39" s="4" t="n">
        <f aca="false">AC39</f>
        <v>5</v>
      </c>
      <c r="AK39" s="4" t="n">
        <f aca="false">AD39</f>
        <v>5</v>
      </c>
      <c r="AL39" s="4" t="n">
        <f aca="false">AE39</f>
        <v>5</v>
      </c>
    </row>
    <row r="40" customFormat="false" ht="15" hidden="false" customHeight="false" outlineLevel="0" collapsed="false">
      <c r="A40" s="0" t="str">
        <f aca="false">Headcount!A34</f>
        <v>Ops / supply-chain / quality</v>
      </c>
      <c r="B40" s="2" t="str">
        <f aca="false">Headcount!B34</f>
        <v>Ops &amp; CS</v>
      </c>
      <c r="C40" s="4" t="n">
        <f aca="false">IF(Headcount!$D$34&lt;=Timeline!C5,Headcount!$C$34,0)</f>
        <v>0</v>
      </c>
      <c r="D40" s="4" t="n">
        <f aca="false">IF(Headcount!$D$34&lt;=Timeline!D5,Headcount!$C$34,0)</f>
        <v>0</v>
      </c>
      <c r="E40" s="4" t="n">
        <f aca="false">IF(Headcount!$D$34&lt;=Timeline!E5,Headcount!$C$34,0)</f>
        <v>0</v>
      </c>
      <c r="F40" s="4" t="n">
        <f aca="false">IF(Headcount!$D$34&lt;=Timeline!F5,Headcount!$C$34,0)</f>
        <v>0</v>
      </c>
      <c r="G40" s="4" t="n">
        <f aca="false">IF(Headcount!$D$34&lt;=Timeline!G5,Headcount!$C$34,0)</f>
        <v>0</v>
      </c>
      <c r="H40" s="4" t="n">
        <f aca="false">IF(Headcount!$D$34&lt;=Timeline!H5,Headcount!$C$34,0)</f>
        <v>0</v>
      </c>
      <c r="I40" s="4" t="n">
        <f aca="false">IF(Headcount!$D$34&lt;=Timeline!I5,Headcount!$C$34,0)</f>
        <v>0</v>
      </c>
      <c r="J40" s="4" t="n">
        <f aca="false">IF(Headcount!$D$34&lt;=Timeline!J5,Headcount!$C$34,0)</f>
        <v>0</v>
      </c>
      <c r="K40" s="4" t="n">
        <f aca="false">IF(Headcount!$D$34&lt;=Timeline!K5,Headcount!$C$34,0)</f>
        <v>0</v>
      </c>
      <c r="L40" s="4" t="n">
        <f aca="false">IF(Headcount!$D$34&lt;=Timeline!L5,Headcount!$C$34,0)</f>
        <v>0</v>
      </c>
      <c r="M40" s="4" t="n">
        <f aca="false">IF(Headcount!$D$34&lt;=Timeline!M5,Headcount!$C$34,0)</f>
        <v>0</v>
      </c>
      <c r="N40" s="4" t="n">
        <f aca="false">IF(Headcount!$D$34&lt;=Timeline!N5,Headcount!$C$34,0)</f>
        <v>0</v>
      </c>
      <c r="O40" s="4" t="n">
        <f aca="false">IF(Headcount!$D$34&lt;=Timeline!O5,Headcount!$C$34,0)</f>
        <v>0</v>
      </c>
      <c r="P40" s="4" t="n">
        <f aca="false">IF(Headcount!$D$34&lt;=Timeline!P5,Headcount!$C$34,0)</f>
        <v>0</v>
      </c>
      <c r="Q40" s="4" t="n">
        <f aca="false">IF(Headcount!$D$34&lt;=Timeline!Q5,Headcount!$C$34,0)</f>
        <v>0</v>
      </c>
      <c r="R40" s="4" t="n">
        <f aca="false">IF(Headcount!$D$34&lt;=Timeline!R5,Headcount!$C$34,0)</f>
        <v>0</v>
      </c>
      <c r="S40" s="4" t="n">
        <f aca="false">IF(Headcount!$D$34&lt;=Timeline!S5,Headcount!$C$34,0)</f>
        <v>0</v>
      </c>
      <c r="T40" s="4" t="n">
        <f aca="false">IF(Headcount!$D$34&lt;=Timeline!T5,Headcount!$C$34,0)</f>
        <v>0</v>
      </c>
      <c r="U40" s="4" t="n">
        <f aca="false">IF(Headcount!$D$34&lt;=Timeline!U5,Headcount!$C$34,0)</f>
        <v>0</v>
      </c>
      <c r="V40" s="4" t="n">
        <f aca="false">IF(Headcount!$D$34&lt;=Timeline!V5,Headcount!$C$34,0)</f>
        <v>0</v>
      </c>
      <c r="W40" s="4" t="n">
        <f aca="false">IF(Headcount!$D$34&lt;=Timeline!W5,Headcount!$C$34,0)</f>
        <v>0</v>
      </c>
      <c r="X40" s="4" t="n">
        <f aca="false">IF(Headcount!$D$34&lt;=Timeline!X5,Headcount!$C$34,0)</f>
        <v>0</v>
      </c>
      <c r="Y40" s="4" t="n">
        <f aca="false">IF(Headcount!$D$34&lt;=Timeline!Y5,Headcount!$C$34,0)</f>
        <v>0</v>
      </c>
      <c r="Z40" s="4" t="n">
        <f aca="false">IF(Headcount!$D$34&lt;=Timeline!Z5,Headcount!$C$34,0)</f>
        <v>0</v>
      </c>
      <c r="AA40" s="4" t="n">
        <f aca="false">IF(Headcount!$D$34&lt;=Timeline!AA5,Headcount!$C$34,0)</f>
        <v>0</v>
      </c>
      <c r="AB40" s="4" t="n">
        <f aca="false">IF(Headcount!$D$34&lt;=Timeline!AB5,Headcount!$C$34,0)</f>
        <v>0</v>
      </c>
      <c r="AC40" s="4" t="n">
        <f aca="false">IF(Headcount!$D$34&lt;=DATE(2029,12,31),Headcount!$C$34,0)</f>
        <v>3</v>
      </c>
      <c r="AD40" s="4" t="n">
        <f aca="false">IF(Headcount!$D$34&lt;=DATE(2030,12,31),Headcount!$C$34,0)</f>
        <v>3</v>
      </c>
      <c r="AE40" s="4" t="n">
        <f aca="false">IF(Headcount!$D$34&lt;=DATE(2031,12,31),Headcount!$C$34,0)</f>
        <v>3</v>
      </c>
      <c r="AG40" s="4" t="n">
        <f aca="false">D40</f>
        <v>0</v>
      </c>
      <c r="AH40" s="4" t="n">
        <f aca="false">P40</f>
        <v>0</v>
      </c>
      <c r="AI40" s="4" t="n">
        <f aca="false">AB40</f>
        <v>0</v>
      </c>
      <c r="AJ40" s="4" t="n">
        <f aca="false">AC40</f>
        <v>3</v>
      </c>
      <c r="AK40" s="4" t="n">
        <f aca="false">AD40</f>
        <v>3</v>
      </c>
      <c r="AL40" s="4" t="n">
        <f aca="false">AE40</f>
        <v>3</v>
      </c>
    </row>
    <row r="41" customFormat="false" ht="15" hidden="false" customHeight="false" outlineLevel="0" collapsed="false">
      <c r="A41" s="0" t="str">
        <f aca="false">Headcount!A35</f>
        <v>Customer support agents</v>
      </c>
      <c r="B41" s="2" t="str">
        <f aca="false">Headcount!B35</f>
        <v>Ops &amp; CS</v>
      </c>
      <c r="C41" s="4" t="n">
        <f aca="false">IF(Headcount!$D$35&lt;=Timeline!C5,Headcount!$C$35,0)</f>
        <v>0</v>
      </c>
      <c r="D41" s="4" t="n">
        <f aca="false">IF(Headcount!$D$35&lt;=Timeline!D5,Headcount!$C$35,0)</f>
        <v>0</v>
      </c>
      <c r="E41" s="4" t="n">
        <f aca="false">IF(Headcount!$D$35&lt;=Timeline!E5,Headcount!$C$35,0)</f>
        <v>0</v>
      </c>
      <c r="F41" s="4" t="n">
        <f aca="false">IF(Headcount!$D$35&lt;=Timeline!F5,Headcount!$C$35,0)</f>
        <v>0</v>
      </c>
      <c r="G41" s="4" t="n">
        <f aca="false">IF(Headcount!$D$35&lt;=Timeline!G5,Headcount!$C$35,0)</f>
        <v>0</v>
      </c>
      <c r="H41" s="4" t="n">
        <f aca="false">IF(Headcount!$D$35&lt;=Timeline!H5,Headcount!$C$35,0)</f>
        <v>0</v>
      </c>
      <c r="I41" s="4" t="n">
        <f aca="false">IF(Headcount!$D$35&lt;=Timeline!I5,Headcount!$C$35,0)</f>
        <v>0</v>
      </c>
      <c r="J41" s="4" t="n">
        <f aca="false">IF(Headcount!$D$35&lt;=Timeline!J5,Headcount!$C$35,0)</f>
        <v>0</v>
      </c>
      <c r="K41" s="4" t="n">
        <f aca="false">IF(Headcount!$D$35&lt;=Timeline!K5,Headcount!$C$35,0)</f>
        <v>0</v>
      </c>
      <c r="L41" s="4" t="n">
        <f aca="false">IF(Headcount!$D$35&lt;=Timeline!L5,Headcount!$C$35,0)</f>
        <v>0</v>
      </c>
      <c r="M41" s="4" t="n">
        <f aca="false">IF(Headcount!$D$35&lt;=Timeline!M5,Headcount!$C$35,0)</f>
        <v>0</v>
      </c>
      <c r="N41" s="4" t="n">
        <f aca="false">IF(Headcount!$D$35&lt;=Timeline!N5,Headcount!$C$35,0)</f>
        <v>0</v>
      </c>
      <c r="O41" s="4" t="n">
        <f aca="false">IF(Headcount!$D$35&lt;=Timeline!O5,Headcount!$C$35,0)</f>
        <v>0</v>
      </c>
      <c r="P41" s="4" t="n">
        <f aca="false">IF(Headcount!$D$35&lt;=Timeline!P5,Headcount!$C$35,0)</f>
        <v>0</v>
      </c>
      <c r="Q41" s="4" t="n">
        <f aca="false">IF(Headcount!$D$35&lt;=Timeline!Q5,Headcount!$C$35,0)</f>
        <v>0</v>
      </c>
      <c r="R41" s="4" t="n">
        <f aca="false">IF(Headcount!$D$35&lt;=Timeline!R5,Headcount!$C$35,0)</f>
        <v>0</v>
      </c>
      <c r="S41" s="4" t="n">
        <f aca="false">IF(Headcount!$D$35&lt;=Timeline!S5,Headcount!$C$35,0)</f>
        <v>0</v>
      </c>
      <c r="T41" s="4" t="n">
        <f aca="false">IF(Headcount!$D$35&lt;=Timeline!T5,Headcount!$C$35,0)</f>
        <v>0</v>
      </c>
      <c r="U41" s="4" t="n">
        <f aca="false">IF(Headcount!$D$35&lt;=Timeline!U5,Headcount!$C$35,0)</f>
        <v>0</v>
      </c>
      <c r="V41" s="4" t="n">
        <f aca="false">IF(Headcount!$D$35&lt;=Timeline!V5,Headcount!$C$35,0)</f>
        <v>0</v>
      </c>
      <c r="W41" s="4" t="n">
        <f aca="false">IF(Headcount!$D$35&lt;=Timeline!W5,Headcount!$C$35,0)</f>
        <v>0</v>
      </c>
      <c r="X41" s="4" t="n">
        <f aca="false">IF(Headcount!$D$35&lt;=Timeline!X5,Headcount!$C$35,0)</f>
        <v>0</v>
      </c>
      <c r="Y41" s="4" t="n">
        <f aca="false">IF(Headcount!$D$35&lt;=Timeline!Y5,Headcount!$C$35,0)</f>
        <v>0</v>
      </c>
      <c r="Z41" s="4" t="n">
        <f aca="false">IF(Headcount!$D$35&lt;=Timeline!Z5,Headcount!$C$35,0)</f>
        <v>0</v>
      </c>
      <c r="AA41" s="4" t="n">
        <f aca="false">IF(Headcount!$D$35&lt;=Timeline!AA5,Headcount!$C$35,0)</f>
        <v>0</v>
      </c>
      <c r="AB41" s="4" t="n">
        <f aca="false">IF(Headcount!$D$35&lt;=Timeline!AB5,Headcount!$C$35,0)</f>
        <v>0</v>
      </c>
      <c r="AC41" s="4" t="n">
        <f aca="false">IF(Headcount!$D$35&lt;=DATE(2029,12,31),Headcount!$C$35,0)</f>
        <v>6</v>
      </c>
      <c r="AD41" s="4" t="n">
        <f aca="false">IF(Headcount!$D$35&lt;=DATE(2030,12,31),Headcount!$C$35,0)</f>
        <v>6</v>
      </c>
      <c r="AE41" s="4" t="n">
        <f aca="false">IF(Headcount!$D$35&lt;=DATE(2031,12,31),Headcount!$C$35,0)</f>
        <v>6</v>
      </c>
      <c r="AG41" s="4" t="n">
        <f aca="false">D41</f>
        <v>0</v>
      </c>
      <c r="AH41" s="4" t="n">
        <f aca="false">P41</f>
        <v>0</v>
      </c>
      <c r="AI41" s="4" t="n">
        <f aca="false">AB41</f>
        <v>0</v>
      </c>
      <c r="AJ41" s="4" t="n">
        <f aca="false">AC41</f>
        <v>6</v>
      </c>
      <c r="AK41" s="4" t="n">
        <f aca="false">AD41</f>
        <v>6</v>
      </c>
      <c r="AL41" s="4" t="n">
        <f aca="false">AE41</f>
        <v>6</v>
      </c>
    </row>
    <row r="42" customFormat="false" ht="15" hidden="false" customHeight="false" outlineLevel="0" collapsed="false">
      <c r="A42" s="0" t="str">
        <f aca="false">Headcount!A36</f>
        <v>G&amp;A (finance, legal, people)</v>
      </c>
      <c r="B42" s="2" t="str">
        <f aca="false">Headcount!B36</f>
        <v>G&amp;A</v>
      </c>
      <c r="C42" s="4" t="n">
        <f aca="false">IF(Headcount!$D$36&lt;=Timeline!C5,Headcount!$C$36,0)</f>
        <v>0</v>
      </c>
      <c r="D42" s="4" t="n">
        <f aca="false">IF(Headcount!$D$36&lt;=Timeline!D5,Headcount!$C$36,0)</f>
        <v>0</v>
      </c>
      <c r="E42" s="4" t="n">
        <f aca="false">IF(Headcount!$D$36&lt;=Timeline!E5,Headcount!$C$36,0)</f>
        <v>0</v>
      </c>
      <c r="F42" s="4" t="n">
        <f aca="false">IF(Headcount!$D$36&lt;=Timeline!F5,Headcount!$C$36,0)</f>
        <v>0</v>
      </c>
      <c r="G42" s="4" t="n">
        <f aca="false">IF(Headcount!$D$36&lt;=Timeline!G5,Headcount!$C$36,0)</f>
        <v>0</v>
      </c>
      <c r="H42" s="4" t="n">
        <f aca="false">IF(Headcount!$D$36&lt;=Timeline!H5,Headcount!$C$36,0)</f>
        <v>0</v>
      </c>
      <c r="I42" s="4" t="n">
        <f aca="false">IF(Headcount!$D$36&lt;=Timeline!I5,Headcount!$C$36,0)</f>
        <v>0</v>
      </c>
      <c r="J42" s="4" t="n">
        <f aca="false">IF(Headcount!$D$36&lt;=Timeline!J5,Headcount!$C$36,0)</f>
        <v>0</v>
      </c>
      <c r="K42" s="4" t="n">
        <f aca="false">IF(Headcount!$D$36&lt;=Timeline!K5,Headcount!$C$36,0)</f>
        <v>0</v>
      </c>
      <c r="L42" s="4" t="n">
        <f aca="false">IF(Headcount!$D$36&lt;=Timeline!L5,Headcount!$C$36,0)</f>
        <v>0</v>
      </c>
      <c r="M42" s="4" t="n">
        <f aca="false">IF(Headcount!$D$36&lt;=Timeline!M5,Headcount!$C$36,0)</f>
        <v>0</v>
      </c>
      <c r="N42" s="4" t="n">
        <f aca="false">IF(Headcount!$D$36&lt;=Timeline!N5,Headcount!$C$36,0)</f>
        <v>0</v>
      </c>
      <c r="O42" s="4" t="n">
        <f aca="false">IF(Headcount!$D$36&lt;=Timeline!O5,Headcount!$C$36,0)</f>
        <v>0</v>
      </c>
      <c r="P42" s="4" t="n">
        <f aca="false">IF(Headcount!$D$36&lt;=Timeline!P5,Headcount!$C$36,0)</f>
        <v>0</v>
      </c>
      <c r="Q42" s="4" t="n">
        <f aca="false">IF(Headcount!$D$36&lt;=Timeline!Q5,Headcount!$C$36,0)</f>
        <v>0</v>
      </c>
      <c r="R42" s="4" t="n">
        <f aca="false">IF(Headcount!$D$36&lt;=Timeline!R5,Headcount!$C$36,0)</f>
        <v>0</v>
      </c>
      <c r="S42" s="4" t="n">
        <f aca="false">IF(Headcount!$D$36&lt;=Timeline!S5,Headcount!$C$36,0)</f>
        <v>0</v>
      </c>
      <c r="T42" s="4" t="n">
        <f aca="false">IF(Headcount!$D$36&lt;=Timeline!T5,Headcount!$C$36,0)</f>
        <v>0</v>
      </c>
      <c r="U42" s="4" t="n">
        <f aca="false">IF(Headcount!$D$36&lt;=Timeline!U5,Headcount!$C$36,0)</f>
        <v>0</v>
      </c>
      <c r="V42" s="4" t="n">
        <f aca="false">IF(Headcount!$D$36&lt;=Timeline!V5,Headcount!$C$36,0)</f>
        <v>0</v>
      </c>
      <c r="W42" s="4" t="n">
        <f aca="false">IF(Headcount!$D$36&lt;=Timeline!W5,Headcount!$C$36,0)</f>
        <v>0</v>
      </c>
      <c r="X42" s="4" t="n">
        <f aca="false">IF(Headcount!$D$36&lt;=Timeline!X5,Headcount!$C$36,0)</f>
        <v>0</v>
      </c>
      <c r="Y42" s="4" t="n">
        <f aca="false">IF(Headcount!$D$36&lt;=Timeline!Y5,Headcount!$C$36,0)</f>
        <v>0</v>
      </c>
      <c r="Z42" s="4" t="n">
        <f aca="false">IF(Headcount!$D$36&lt;=Timeline!Z5,Headcount!$C$36,0)</f>
        <v>0</v>
      </c>
      <c r="AA42" s="4" t="n">
        <f aca="false">IF(Headcount!$D$36&lt;=Timeline!AA5,Headcount!$C$36,0)</f>
        <v>0</v>
      </c>
      <c r="AB42" s="4" t="n">
        <f aca="false">IF(Headcount!$D$36&lt;=Timeline!AB5,Headcount!$C$36,0)</f>
        <v>0</v>
      </c>
      <c r="AC42" s="4" t="n">
        <f aca="false">IF(Headcount!$D$36&lt;=DATE(2029,12,31),Headcount!$C$36,0)</f>
        <v>3</v>
      </c>
      <c r="AD42" s="4" t="n">
        <f aca="false">IF(Headcount!$D$36&lt;=DATE(2030,12,31),Headcount!$C$36,0)</f>
        <v>3</v>
      </c>
      <c r="AE42" s="4" t="n">
        <f aca="false">IF(Headcount!$D$36&lt;=DATE(2031,12,31),Headcount!$C$36,0)</f>
        <v>3</v>
      </c>
      <c r="AG42" s="4" t="n">
        <f aca="false">D42</f>
        <v>0</v>
      </c>
      <c r="AH42" s="4" t="n">
        <f aca="false">P42</f>
        <v>0</v>
      </c>
      <c r="AI42" s="4" t="n">
        <f aca="false">AB42</f>
        <v>0</v>
      </c>
      <c r="AJ42" s="4" t="n">
        <f aca="false">AC42</f>
        <v>3</v>
      </c>
      <c r="AK42" s="4" t="n">
        <f aca="false">AD42</f>
        <v>3</v>
      </c>
      <c r="AL42" s="4" t="n">
        <f aca="false">AE42</f>
        <v>3</v>
      </c>
    </row>
    <row r="43" customFormat="false" ht="15" hidden="false" customHeight="false" outlineLevel="0" collapsed="false">
      <c r="A43" s="0" t="str">
        <f aca="false">Headcount!A37</f>
        <v>CFO</v>
      </c>
      <c r="B43" s="2" t="str">
        <f aca="false">Headcount!B37</f>
        <v>G&amp;A</v>
      </c>
      <c r="C43" s="4" t="n">
        <f aca="false">IF(Headcount!$D$37&lt;=Timeline!C5,Headcount!$C$37,0)</f>
        <v>0</v>
      </c>
      <c r="D43" s="4" t="n">
        <f aca="false">IF(Headcount!$D$37&lt;=Timeline!D5,Headcount!$C$37,0)</f>
        <v>0</v>
      </c>
      <c r="E43" s="4" t="n">
        <f aca="false">IF(Headcount!$D$37&lt;=Timeline!E5,Headcount!$C$37,0)</f>
        <v>0</v>
      </c>
      <c r="F43" s="4" t="n">
        <f aca="false">IF(Headcount!$D$37&lt;=Timeline!F5,Headcount!$C$37,0)</f>
        <v>0</v>
      </c>
      <c r="G43" s="4" t="n">
        <f aca="false">IF(Headcount!$D$37&lt;=Timeline!G5,Headcount!$C$37,0)</f>
        <v>0</v>
      </c>
      <c r="H43" s="4" t="n">
        <f aca="false">IF(Headcount!$D$37&lt;=Timeline!H5,Headcount!$C$37,0)</f>
        <v>0</v>
      </c>
      <c r="I43" s="4" t="n">
        <f aca="false">IF(Headcount!$D$37&lt;=Timeline!I5,Headcount!$C$37,0)</f>
        <v>0</v>
      </c>
      <c r="J43" s="4" t="n">
        <f aca="false">IF(Headcount!$D$37&lt;=Timeline!J5,Headcount!$C$37,0)</f>
        <v>0</v>
      </c>
      <c r="K43" s="4" t="n">
        <f aca="false">IF(Headcount!$D$37&lt;=Timeline!K5,Headcount!$C$37,0)</f>
        <v>0</v>
      </c>
      <c r="L43" s="4" t="n">
        <f aca="false">IF(Headcount!$D$37&lt;=Timeline!L5,Headcount!$C$37,0)</f>
        <v>0</v>
      </c>
      <c r="M43" s="4" t="n">
        <f aca="false">IF(Headcount!$D$37&lt;=Timeline!M5,Headcount!$C$37,0)</f>
        <v>0</v>
      </c>
      <c r="N43" s="4" t="n">
        <f aca="false">IF(Headcount!$D$37&lt;=Timeline!N5,Headcount!$C$37,0)</f>
        <v>0</v>
      </c>
      <c r="O43" s="4" t="n">
        <f aca="false">IF(Headcount!$D$37&lt;=Timeline!O5,Headcount!$C$37,0)</f>
        <v>0</v>
      </c>
      <c r="P43" s="4" t="n">
        <f aca="false">IF(Headcount!$D$37&lt;=Timeline!P5,Headcount!$C$37,0)</f>
        <v>0</v>
      </c>
      <c r="Q43" s="4" t="n">
        <f aca="false">IF(Headcount!$D$37&lt;=Timeline!Q5,Headcount!$C$37,0)</f>
        <v>0</v>
      </c>
      <c r="R43" s="4" t="n">
        <f aca="false">IF(Headcount!$D$37&lt;=Timeline!R5,Headcount!$C$37,0)</f>
        <v>0</v>
      </c>
      <c r="S43" s="4" t="n">
        <f aca="false">IF(Headcount!$D$37&lt;=Timeline!S5,Headcount!$C$37,0)</f>
        <v>0</v>
      </c>
      <c r="T43" s="4" t="n">
        <f aca="false">IF(Headcount!$D$37&lt;=Timeline!T5,Headcount!$C$37,0)</f>
        <v>0</v>
      </c>
      <c r="U43" s="4" t="n">
        <f aca="false">IF(Headcount!$D$37&lt;=Timeline!U5,Headcount!$C$37,0)</f>
        <v>0</v>
      </c>
      <c r="V43" s="4" t="n">
        <f aca="false">IF(Headcount!$D$37&lt;=Timeline!V5,Headcount!$C$37,0)</f>
        <v>0</v>
      </c>
      <c r="W43" s="4" t="n">
        <f aca="false">IF(Headcount!$D$37&lt;=Timeline!W5,Headcount!$C$37,0)</f>
        <v>0</v>
      </c>
      <c r="X43" s="4" t="n">
        <f aca="false">IF(Headcount!$D$37&lt;=Timeline!X5,Headcount!$C$37,0)</f>
        <v>0</v>
      </c>
      <c r="Y43" s="4" t="n">
        <f aca="false">IF(Headcount!$D$37&lt;=Timeline!Y5,Headcount!$C$37,0)</f>
        <v>0</v>
      </c>
      <c r="Z43" s="4" t="n">
        <f aca="false">IF(Headcount!$D$37&lt;=Timeline!Z5,Headcount!$C$37,0)</f>
        <v>0</v>
      </c>
      <c r="AA43" s="4" t="n">
        <f aca="false">IF(Headcount!$D$37&lt;=Timeline!AA5,Headcount!$C$37,0)</f>
        <v>0</v>
      </c>
      <c r="AB43" s="4" t="n">
        <f aca="false">IF(Headcount!$D$37&lt;=Timeline!AB5,Headcount!$C$37,0)</f>
        <v>0</v>
      </c>
      <c r="AC43" s="4" t="n">
        <f aca="false">IF(Headcount!$D$37&lt;=DATE(2029,12,31),Headcount!$C$37,0)</f>
        <v>1</v>
      </c>
      <c r="AD43" s="4" t="n">
        <f aca="false">IF(Headcount!$D$37&lt;=DATE(2030,12,31),Headcount!$C$37,0)</f>
        <v>1</v>
      </c>
      <c r="AE43" s="4" t="n">
        <f aca="false">IF(Headcount!$D$37&lt;=DATE(2031,12,31),Headcount!$C$37,0)</f>
        <v>1</v>
      </c>
      <c r="AG43" s="4" t="n">
        <f aca="false">D43</f>
        <v>0</v>
      </c>
      <c r="AH43" s="4" t="n">
        <f aca="false">P43</f>
        <v>0</v>
      </c>
      <c r="AI43" s="4" t="n">
        <f aca="false">AB43</f>
        <v>0</v>
      </c>
      <c r="AJ43" s="4" t="n">
        <f aca="false">AC43</f>
        <v>1</v>
      </c>
      <c r="AK43" s="4" t="n">
        <f aca="false">AD43</f>
        <v>1</v>
      </c>
      <c r="AL43" s="4" t="n">
        <f aca="false">AE43</f>
        <v>1</v>
      </c>
    </row>
    <row r="44" customFormat="false" ht="15" hidden="false" customHeight="false" outlineLevel="0" collapsed="false">
      <c r="A44" s="0" t="str">
        <f aca="false">Headcount!A38</f>
        <v>R&amp;D engineers</v>
      </c>
      <c r="B44" s="2" t="str">
        <f aca="false">Headcount!B38</f>
        <v>R&amp;D</v>
      </c>
      <c r="C44" s="4" t="n">
        <f aca="false">IF(Headcount!$D$38&lt;=Timeline!C5,Headcount!$C$38,0)</f>
        <v>0</v>
      </c>
      <c r="D44" s="4" t="n">
        <f aca="false">IF(Headcount!$D$38&lt;=Timeline!D5,Headcount!$C$38,0)</f>
        <v>0</v>
      </c>
      <c r="E44" s="4" t="n">
        <f aca="false">IF(Headcount!$D$38&lt;=Timeline!E5,Headcount!$C$38,0)</f>
        <v>0</v>
      </c>
      <c r="F44" s="4" t="n">
        <f aca="false">IF(Headcount!$D$38&lt;=Timeline!F5,Headcount!$C$38,0)</f>
        <v>0</v>
      </c>
      <c r="G44" s="4" t="n">
        <f aca="false">IF(Headcount!$D$38&lt;=Timeline!G5,Headcount!$C$38,0)</f>
        <v>0</v>
      </c>
      <c r="H44" s="4" t="n">
        <f aca="false">IF(Headcount!$D$38&lt;=Timeline!H5,Headcount!$C$38,0)</f>
        <v>0</v>
      </c>
      <c r="I44" s="4" t="n">
        <f aca="false">IF(Headcount!$D$38&lt;=Timeline!I5,Headcount!$C$38,0)</f>
        <v>0</v>
      </c>
      <c r="J44" s="4" t="n">
        <f aca="false">IF(Headcount!$D$38&lt;=Timeline!J5,Headcount!$C$38,0)</f>
        <v>0</v>
      </c>
      <c r="K44" s="4" t="n">
        <f aca="false">IF(Headcount!$D$38&lt;=Timeline!K5,Headcount!$C$38,0)</f>
        <v>0</v>
      </c>
      <c r="L44" s="4" t="n">
        <f aca="false">IF(Headcount!$D$38&lt;=Timeline!L5,Headcount!$C$38,0)</f>
        <v>0</v>
      </c>
      <c r="M44" s="4" t="n">
        <f aca="false">IF(Headcount!$D$38&lt;=Timeline!M5,Headcount!$C$38,0)</f>
        <v>0</v>
      </c>
      <c r="N44" s="4" t="n">
        <f aca="false">IF(Headcount!$D$38&lt;=Timeline!N5,Headcount!$C$38,0)</f>
        <v>0</v>
      </c>
      <c r="O44" s="4" t="n">
        <f aca="false">IF(Headcount!$D$38&lt;=Timeline!O5,Headcount!$C$38,0)</f>
        <v>0</v>
      </c>
      <c r="P44" s="4" t="n">
        <f aca="false">IF(Headcount!$D$38&lt;=Timeline!P5,Headcount!$C$38,0)</f>
        <v>0</v>
      </c>
      <c r="Q44" s="4" t="n">
        <f aca="false">IF(Headcount!$D$38&lt;=Timeline!Q5,Headcount!$C$38,0)</f>
        <v>0</v>
      </c>
      <c r="R44" s="4" t="n">
        <f aca="false">IF(Headcount!$D$38&lt;=Timeline!R5,Headcount!$C$38,0)</f>
        <v>0</v>
      </c>
      <c r="S44" s="4" t="n">
        <f aca="false">IF(Headcount!$D$38&lt;=Timeline!S5,Headcount!$C$38,0)</f>
        <v>0</v>
      </c>
      <c r="T44" s="4" t="n">
        <f aca="false">IF(Headcount!$D$38&lt;=Timeline!T5,Headcount!$C$38,0)</f>
        <v>0</v>
      </c>
      <c r="U44" s="4" t="n">
        <f aca="false">IF(Headcount!$D$38&lt;=Timeline!U5,Headcount!$C$38,0)</f>
        <v>0</v>
      </c>
      <c r="V44" s="4" t="n">
        <f aca="false">IF(Headcount!$D$38&lt;=Timeline!V5,Headcount!$C$38,0)</f>
        <v>0</v>
      </c>
      <c r="W44" s="4" t="n">
        <f aca="false">IF(Headcount!$D$38&lt;=Timeline!W5,Headcount!$C$38,0)</f>
        <v>0</v>
      </c>
      <c r="X44" s="4" t="n">
        <f aca="false">IF(Headcount!$D$38&lt;=Timeline!X5,Headcount!$C$38,0)</f>
        <v>0</v>
      </c>
      <c r="Y44" s="4" t="n">
        <f aca="false">IF(Headcount!$D$38&lt;=Timeline!Y5,Headcount!$C$38,0)</f>
        <v>0</v>
      </c>
      <c r="Z44" s="4" t="n">
        <f aca="false">IF(Headcount!$D$38&lt;=Timeline!Z5,Headcount!$C$38,0)</f>
        <v>0</v>
      </c>
      <c r="AA44" s="4" t="n">
        <f aca="false">IF(Headcount!$D$38&lt;=Timeline!AA5,Headcount!$C$38,0)</f>
        <v>0</v>
      </c>
      <c r="AB44" s="4" t="n">
        <f aca="false">IF(Headcount!$D$38&lt;=Timeline!AB5,Headcount!$C$38,0)</f>
        <v>0</v>
      </c>
      <c r="AC44" s="4" t="n">
        <f aca="false">IF(Headcount!$D$38&lt;=DATE(2029,12,31),Headcount!$C$38,0)</f>
        <v>0</v>
      </c>
      <c r="AD44" s="4" t="n">
        <f aca="false">IF(Headcount!$D$38&lt;=DATE(2030,12,31),Headcount!$C$38,0)</f>
        <v>10</v>
      </c>
      <c r="AE44" s="4" t="n">
        <f aca="false">IF(Headcount!$D$38&lt;=DATE(2031,12,31),Headcount!$C$38,0)</f>
        <v>10</v>
      </c>
      <c r="AG44" s="4" t="n">
        <f aca="false">D44</f>
        <v>0</v>
      </c>
      <c r="AH44" s="4" t="n">
        <f aca="false">P44</f>
        <v>0</v>
      </c>
      <c r="AI44" s="4" t="n">
        <f aca="false">AB44</f>
        <v>0</v>
      </c>
      <c r="AJ44" s="4" t="n">
        <f aca="false">AC44</f>
        <v>0</v>
      </c>
      <c r="AK44" s="4" t="n">
        <f aca="false">AD44</f>
        <v>10</v>
      </c>
      <c r="AL44" s="4" t="n">
        <f aca="false">AE44</f>
        <v>10</v>
      </c>
    </row>
    <row r="45" customFormat="false" ht="15" hidden="false" customHeight="false" outlineLevel="0" collapsed="false">
      <c r="A45" s="0" t="str">
        <f aca="false">Headcount!A39</f>
        <v>Content editors</v>
      </c>
      <c r="B45" s="2" t="str">
        <f aca="false">Headcount!B39</f>
        <v>R&amp;D</v>
      </c>
      <c r="C45" s="4" t="n">
        <f aca="false">IF(Headcount!$D$39&lt;=Timeline!C5,Headcount!$C$39,0)</f>
        <v>0</v>
      </c>
      <c r="D45" s="4" t="n">
        <f aca="false">IF(Headcount!$D$39&lt;=Timeline!D5,Headcount!$C$39,0)</f>
        <v>0</v>
      </c>
      <c r="E45" s="4" t="n">
        <f aca="false">IF(Headcount!$D$39&lt;=Timeline!E5,Headcount!$C$39,0)</f>
        <v>0</v>
      </c>
      <c r="F45" s="4" t="n">
        <f aca="false">IF(Headcount!$D$39&lt;=Timeline!F5,Headcount!$C$39,0)</f>
        <v>0</v>
      </c>
      <c r="G45" s="4" t="n">
        <f aca="false">IF(Headcount!$D$39&lt;=Timeline!G5,Headcount!$C$39,0)</f>
        <v>0</v>
      </c>
      <c r="H45" s="4" t="n">
        <f aca="false">IF(Headcount!$D$39&lt;=Timeline!H5,Headcount!$C$39,0)</f>
        <v>0</v>
      </c>
      <c r="I45" s="4" t="n">
        <f aca="false">IF(Headcount!$D$39&lt;=Timeline!I5,Headcount!$C$39,0)</f>
        <v>0</v>
      </c>
      <c r="J45" s="4" t="n">
        <f aca="false">IF(Headcount!$D$39&lt;=Timeline!J5,Headcount!$C$39,0)</f>
        <v>0</v>
      </c>
      <c r="K45" s="4" t="n">
        <f aca="false">IF(Headcount!$D$39&lt;=Timeline!K5,Headcount!$C$39,0)</f>
        <v>0</v>
      </c>
      <c r="L45" s="4" t="n">
        <f aca="false">IF(Headcount!$D$39&lt;=Timeline!L5,Headcount!$C$39,0)</f>
        <v>0</v>
      </c>
      <c r="M45" s="4" t="n">
        <f aca="false">IF(Headcount!$D$39&lt;=Timeline!M5,Headcount!$C$39,0)</f>
        <v>0</v>
      </c>
      <c r="N45" s="4" t="n">
        <f aca="false">IF(Headcount!$D$39&lt;=Timeline!N5,Headcount!$C$39,0)</f>
        <v>0</v>
      </c>
      <c r="O45" s="4" t="n">
        <f aca="false">IF(Headcount!$D$39&lt;=Timeline!O5,Headcount!$C$39,0)</f>
        <v>0</v>
      </c>
      <c r="P45" s="4" t="n">
        <f aca="false">IF(Headcount!$D$39&lt;=Timeline!P5,Headcount!$C$39,0)</f>
        <v>0</v>
      </c>
      <c r="Q45" s="4" t="n">
        <f aca="false">IF(Headcount!$D$39&lt;=Timeline!Q5,Headcount!$C$39,0)</f>
        <v>0</v>
      </c>
      <c r="R45" s="4" t="n">
        <f aca="false">IF(Headcount!$D$39&lt;=Timeline!R5,Headcount!$C$39,0)</f>
        <v>0</v>
      </c>
      <c r="S45" s="4" t="n">
        <f aca="false">IF(Headcount!$D$39&lt;=Timeline!S5,Headcount!$C$39,0)</f>
        <v>0</v>
      </c>
      <c r="T45" s="4" t="n">
        <f aca="false">IF(Headcount!$D$39&lt;=Timeline!T5,Headcount!$C$39,0)</f>
        <v>0</v>
      </c>
      <c r="U45" s="4" t="n">
        <f aca="false">IF(Headcount!$D$39&lt;=Timeline!U5,Headcount!$C$39,0)</f>
        <v>0</v>
      </c>
      <c r="V45" s="4" t="n">
        <f aca="false">IF(Headcount!$D$39&lt;=Timeline!V5,Headcount!$C$39,0)</f>
        <v>0</v>
      </c>
      <c r="W45" s="4" t="n">
        <f aca="false">IF(Headcount!$D$39&lt;=Timeline!W5,Headcount!$C$39,0)</f>
        <v>0</v>
      </c>
      <c r="X45" s="4" t="n">
        <f aca="false">IF(Headcount!$D$39&lt;=Timeline!X5,Headcount!$C$39,0)</f>
        <v>0</v>
      </c>
      <c r="Y45" s="4" t="n">
        <f aca="false">IF(Headcount!$D$39&lt;=Timeline!Y5,Headcount!$C$39,0)</f>
        <v>0</v>
      </c>
      <c r="Z45" s="4" t="n">
        <f aca="false">IF(Headcount!$D$39&lt;=Timeline!Z5,Headcount!$C$39,0)</f>
        <v>0</v>
      </c>
      <c r="AA45" s="4" t="n">
        <f aca="false">IF(Headcount!$D$39&lt;=Timeline!AA5,Headcount!$C$39,0)</f>
        <v>0</v>
      </c>
      <c r="AB45" s="4" t="n">
        <f aca="false">IF(Headcount!$D$39&lt;=Timeline!AB5,Headcount!$C$39,0)</f>
        <v>0</v>
      </c>
      <c r="AC45" s="4" t="n">
        <f aca="false">IF(Headcount!$D$39&lt;=DATE(2029,12,31),Headcount!$C$39,0)</f>
        <v>0</v>
      </c>
      <c r="AD45" s="4" t="n">
        <f aca="false">IF(Headcount!$D$39&lt;=DATE(2030,12,31),Headcount!$C$39,0)</f>
        <v>4</v>
      </c>
      <c r="AE45" s="4" t="n">
        <f aca="false">IF(Headcount!$D$39&lt;=DATE(2031,12,31),Headcount!$C$39,0)</f>
        <v>4</v>
      </c>
      <c r="AG45" s="4" t="n">
        <f aca="false">D45</f>
        <v>0</v>
      </c>
      <c r="AH45" s="4" t="n">
        <f aca="false">P45</f>
        <v>0</v>
      </c>
      <c r="AI45" s="4" t="n">
        <f aca="false">AB45</f>
        <v>0</v>
      </c>
      <c r="AJ45" s="4" t="n">
        <f aca="false">AC45</f>
        <v>0</v>
      </c>
      <c r="AK45" s="4" t="n">
        <f aca="false">AD45</f>
        <v>4</v>
      </c>
      <c r="AL45" s="4" t="n">
        <f aca="false">AE45</f>
        <v>4</v>
      </c>
    </row>
    <row r="46" customFormat="false" ht="15" hidden="false" customHeight="false" outlineLevel="0" collapsed="false">
      <c r="A46" s="0" t="str">
        <f aca="false">Headcount!A40</f>
        <v>S&amp;M team</v>
      </c>
      <c r="B46" s="2" t="str">
        <f aca="false">Headcount!B40</f>
        <v>S&amp;M</v>
      </c>
      <c r="C46" s="4" t="n">
        <f aca="false">IF(Headcount!$D$40&lt;=Timeline!C5,Headcount!$C$40,0)</f>
        <v>0</v>
      </c>
      <c r="D46" s="4" t="n">
        <f aca="false">IF(Headcount!$D$40&lt;=Timeline!D5,Headcount!$C$40,0)</f>
        <v>0</v>
      </c>
      <c r="E46" s="4" t="n">
        <f aca="false">IF(Headcount!$D$40&lt;=Timeline!E5,Headcount!$C$40,0)</f>
        <v>0</v>
      </c>
      <c r="F46" s="4" t="n">
        <f aca="false">IF(Headcount!$D$40&lt;=Timeline!F5,Headcount!$C$40,0)</f>
        <v>0</v>
      </c>
      <c r="G46" s="4" t="n">
        <f aca="false">IF(Headcount!$D$40&lt;=Timeline!G5,Headcount!$C$40,0)</f>
        <v>0</v>
      </c>
      <c r="H46" s="4" t="n">
        <f aca="false">IF(Headcount!$D$40&lt;=Timeline!H5,Headcount!$C$40,0)</f>
        <v>0</v>
      </c>
      <c r="I46" s="4" t="n">
        <f aca="false">IF(Headcount!$D$40&lt;=Timeline!I5,Headcount!$C$40,0)</f>
        <v>0</v>
      </c>
      <c r="J46" s="4" t="n">
        <f aca="false">IF(Headcount!$D$40&lt;=Timeline!J5,Headcount!$C$40,0)</f>
        <v>0</v>
      </c>
      <c r="K46" s="4" t="n">
        <f aca="false">IF(Headcount!$D$40&lt;=Timeline!K5,Headcount!$C$40,0)</f>
        <v>0</v>
      </c>
      <c r="L46" s="4" t="n">
        <f aca="false">IF(Headcount!$D$40&lt;=Timeline!L5,Headcount!$C$40,0)</f>
        <v>0</v>
      </c>
      <c r="M46" s="4" t="n">
        <f aca="false">IF(Headcount!$D$40&lt;=Timeline!M5,Headcount!$C$40,0)</f>
        <v>0</v>
      </c>
      <c r="N46" s="4" t="n">
        <f aca="false">IF(Headcount!$D$40&lt;=Timeline!N5,Headcount!$C$40,0)</f>
        <v>0</v>
      </c>
      <c r="O46" s="4" t="n">
        <f aca="false">IF(Headcount!$D$40&lt;=Timeline!O5,Headcount!$C$40,0)</f>
        <v>0</v>
      </c>
      <c r="P46" s="4" t="n">
        <f aca="false">IF(Headcount!$D$40&lt;=Timeline!P5,Headcount!$C$40,0)</f>
        <v>0</v>
      </c>
      <c r="Q46" s="4" t="n">
        <f aca="false">IF(Headcount!$D$40&lt;=Timeline!Q5,Headcount!$C$40,0)</f>
        <v>0</v>
      </c>
      <c r="R46" s="4" t="n">
        <f aca="false">IF(Headcount!$D$40&lt;=Timeline!R5,Headcount!$C$40,0)</f>
        <v>0</v>
      </c>
      <c r="S46" s="4" t="n">
        <f aca="false">IF(Headcount!$D$40&lt;=Timeline!S5,Headcount!$C$40,0)</f>
        <v>0</v>
      </c>
      <c r="T46" s="4" t="n">
        <f aca="false">IF(Headcount!$D$40&lt;=Timeline!T5,Headcount!$C$40,0)</f>
        <v>0</v>
      </c>
      <c r="U46" s="4" t="n">
        <f aca="false">IF(Headcount!$D$40&lt;=Timeline!U5,Headcount!$C$40,0)</f>
        <v>0</v>
      </c>
      <c r="V46" s="4" t="n">
        <f aca="false">IF(Headcount!$D$40&lt;=Timeline!V5,Headcount!$C$40,0)</f>
        <v>0</v>
      </c>
      <c r="W46" s="4" t="n">
        <f aca="false">IF(Headcount!$D$40&lt;=Timeline!W5,Headcount!$C$40,0)</f>
        <v>0</v>
      </c>
      <c r="X46" s="4" t="n">
        <f aca="false">IF(Headcount!$D$40&lt;=Timeline!X5,Headcount!$C$40,0)</f>
        <v>0</v>
      </c>
      <c r="Y46" s="4" t="n">
        <f aca="false">IF(Headcount!$D$40&lt;=Timeline!Y5,Headcount!$C$40,0)</f>
        <v>0</v>
      </c>
      <c r="Z46" s="4" t="n">
        <f aca="false">IF(Headcount!$D$40&lt;=Timeline!Z5,Headcount!$C$40,0)</f>
        <v>0</v>
      </c>
      <c r="AA46" s="4" t="n">
        <f aca="false">IF(Headcount!$D$40&lt;=Timeline!AA5,Headcount!$C$40,0)</f>
        <v>0</v>
      </c>
      <c r="AB46" s="4" t="n">
        <f aca="false">IF(Headcount!$D$40&lt;=Timeline!AB5,Headcount!$C$40,0)</f>
        <v>0</v>
      </c>
      <c r="AC46" s="4" t="n">
        <f aca="false">IF(Headcount!$D$40&lt;=DATE(2029,12,31),Headcount!$C$40,0)</f>
        <v>0</v>
      </c>
      <c r="AD46" s="4" t="n">
        <f aca="false">IF(Headcount!$D$40&lt;=DATE(2030,12,31),Headcount!$C$40,0)</f>
        <v>6</v>
      </c>
      <c r="AE46" s="4" t="n">
        <f aca="false">IF(Headcount!$D$40&lt;=DATE(2031,12,31),Headcount!$C$40,0)</f>
        <v>6</v>
      </c>
      <c r="AG46" s="4" t="n">
        <f aca="false">D46</f>
        <v>0</v>
      </c>
      <c r="AH46" s="4" t="n">
        <f aca="false">P46</f>
        <v>0</v>
      </c>
      <c r="AI46" s="4" t="n">
        <f aca="false">AB46</f>
        <v>0</v>
      </c>
      <c r="AJ46" s="4" t="n">
        <f aca="false">AC46</f>
        <v>0</v>
      </c>
      <c r="AK46" s="4" t="n">
        <f aca="false">AD46</f>
        <v>6</v>
      </c>
      <c r="AL46" s="4" t="n">
        <f aca="false">AE46</f>
        <v>6</v>
      </c>
    </row>
    <row r="47" customFormat="false" ht="15" hidden="false" customHeight="false" outlineLevel="0" collapsed="false">
      <c r="A47" s="0" t="str">
        <f aca="false">Headcount!A41</f>
        <v>Ops / CS</v>
      </c>
      <c r="B47" s="2" t="str">
        <f aca="false">Headcount!B41</f>
        <v>Ops &amp; CS</v>
      </c>
      <c r="C47" s="4" t="n">
        <f aca="false">IF(Headcount!$D$41&lt;=Timeline!C5,Headcount!$C$41,0)</f>
        <v>0</v>
      </c>
      <c r="D47" s="4" t="n">
        <f aca="false">IF(Headcount!$D$41&lt;=Timeline!D5,Headcount!$C$41,0)</f>
        <v>0</v>
      </c>
      <c r="E47" s="4" t="n">
        <f aca="false">IF(Headcount!$D$41&lt;=Timeline!E5,Headcount!$C$41,0)</f>
        <v>0</v>
      </c>
      <c r="F47" s="4" t="n">
        <f aca="false">IF(Headcount!$D$41&lt;=Timeline!F5,Headcount!$C$41,0)</f>
        <v>0</v>
      </c>
      <c r="G47" s="4" t="n">
        <f aca="false">IF(Headcount!$D$41&lt;=Timeline!G5,Headcount!$C$41,0)</f>
        <v>0</v>
      </c>
      <c r="H47" s="4" t="n">
        <f aca="false">IF(Headcount!$D$41&lt;=Timeline!H5,Headcount!$C$41,0)</f>
        <v>0</v>
      </c>
      <c r="I47" s="4" t="n">
        <f aca="false">IF(Headcount!$D$41&lt;=Timeline!I5,Headcount!$C$41,0)</f>
        <v>0</v>
      </c>
      <c r="J47" s="4" t="n">
        <f aca="false">IF(Headcount!$D$41&lt;=Timeline!J5,Headcount!$C$41,0)</f>
        <v>0</v>
      </c>
      <c r="K47" s="4" t="n">
        <f aca="false">IF(Headcount!$D$41&lt;=Timeline!K5,Headcount!$C$41,0)</f>
        <v>0</v>
      </c>
      <c r="L47" s="4" t="n">
        <f aca="false">IF(Headcount!$D$41&lt;=Timeline!L5,Headcount!$C$41,0)</f>
        <v>0</v>
      </c>
      <c r="M47" s="4" t="n">
        <f aca="false">IF(Headcount!$D$41&lt;=Timeline!M5,Headcount!$C$41,0)</f>
        <v>0</v>
      </c>
      <c r="N47" s="4" t="n">
        <f aca="false">IF(Headcount!$D$41&lt;=Timeline!N5,Headcount!$C$41,0)</f>
        <v>0</v>
      </c>
      <c r="O47" s="4" t="n">
        <f aca="false">IF(Headcount!$D$41&lt;=Timeline!O5,Headcount!$C$41,0)</f>
        <v>0</v>
      </c>
      <c r="P47" s="4" t="n">
        <f aca="false">IF(Headcount!$D$41&lt;=Timeline!P5,Headcount!$C$41,0)</f>
        <v>0</v>
      </c>
      <c r="Q47" s="4" t="n">
        <f aca="false">IF(Headcount!$D$41&lt;=Timeline!Q5,Headcount!$C$41,0)</f>
        <v>0</v>
      </c>
      <c r="R47" s="4" t="n">
        <f aca="false">IF(Headcount!$D$41&lt;=Timeline!R5,Headcount!$C$41,0)</f>
        <v>0</v>
      </c>
      <c r="S47" s="4" t="n">
        <f aca="false">IF(Headcount!$D$41&lt;=Timeline!S5,Headcount!$C$41,0)</f>
        <v>0</v>
      </c>
      <c r="T47" s="4" t="n">
        <f aca="false">IF(Headcount!$D$41&lt;=Timeline!T5,Headcount!$C$41,0)</f>
        <v>0</v>
      </c>
      <c r="U47" s="4" t="n">
        <f aca="false">IF(Headcount!$D$41&lt;=Timeline!U5,Headcount!$C$41,0)</f>
        <v>0</v>
      </c>
      <c r="V47" s="4" t="n">
        <f aca="false">IF(Headcount!$D$41&lt;=Timeline!V5,Headcount!$C$41,0)</f>
        <v>0</v>
      </c>
      <c r="W47" s="4" t="n">
        <f aca="false">IF(Headcount!$D$41&lt;=Timeline!W5,Headcount!$C$41,0)</f>
        <v>0</v>
      </c>
      <c r="X47" s="4" t="n">
        <f aca="false">IF(Headcount!$D$41&lt;=Timeline!X5,Headcount!$C$41,0)</f>
        <v>0</v>
      </c>
      <c r="Y47" s="4" t="n">
        <f aca="false">IF(Headcount!$D$41&lt;=Timeline!Y5,Headcount!$C$41,0)</f>
        <v>0</v>
      </c>
      <c r="Z47" s="4" t="n">
        <f aca="false">IF(Headcount!$D$41&lt;=Timeline!Z5,Headcount!$C$41,0)</f>
        <v>0</v>
      </c>
      <c r="AA47" s="4" t="n">
        <f aca="false">IF(Headcount!$D$41&lt;=Timeline!AA5,Headcount!$C$41,0)</f>
        <v>0</v>
      </c>
      <c r="AB47" s="4" t="n">
        <f aca="false">IF(Headcount!$D$41&lt;=Timeline!AB5,Headcount!$C$41,0)</f>
        <v>0</v>
      </c>
      <c r="AC47" s="4" t="n">
        <f aca="false">IF(Headcount!$D$41&lt;=DATE(2029,12,31),Headcount!$C$41,0)</f>
        <v>0</v>
      </c>
      <c r="AD47" s="4" t="n">
        <f aca="false">IF(Headcount!$D$41&lt;=DATE(2030,12,31),Headcount!$C$41,0)</f>
        <v>8</v>
      </c>
      <c r="AE47" s="4" t="n">
        <f aca="false">IF(Headcount!$D$41&lt;=DATE(2031,12,31),Headcount!$C$41,0)</f>
        <v>8</v>
      </c>
      <c r="AG47" s="4" t="n">
        <f aca="false">D47</f>
        <v>0</v>
      </c>
      <c r="AH47" s="4" t="n">
        <f aca="false">P47</f>
        <v>0</v>
      </c>
      <c r="AI47" s="4" t="n">
        <f aca="false">AB47</f>
        <v>0</v>
      </c>
      <c r="AJ47" s="4" t="n">
        <f aca="false">AC47</f>
        <v>0</v>
      </c>
      <c r="AK47" s="4" t="n">
        <f aca="false">AD47</f>
        <v>8</v>
      </c>
      <c r="AL47" s="4" t="n">
        <f aca="false">AE47</f>
        <v>8</v>
      </c>
    </row>
    <row r="48" customFormat="false" ht="15" hidden="false" customHeight="false" outlineLevel="0" collapsed="false">
      <c r="A48" s="0" t="str">
        <f aca="false">Headcount!A42</f>
        <v>G&amp;A</v>
      </c>
      <c r="B48" s="2" t="str">
        <f aca="false">Headcount!B42</f>
        <v>G&amp;A</v>
      </c>
      <c r="C48" s="4" t="n">
        <f aca="false">IF(Headcount!$D$42&lt;=Timeline!C5,Headcount!$C$42,0)</f>
        <v>0</v>
      </c>
      <c r="D48" s="4" t="n">
        <f aca="false">IF(Headcount!$D$42&lt;=Timeline!D5,Headcount!$C$42,0)</f>
        <v>0</v>
      </c>
      <c r="E48" s="4" t="n">
        <f aca="false">IF(Headcount!$D$42&lt;=Timeline!E5,Headcount!$C$42,0)</f>
        <v>0</v>
      </c>
      <c r="F48" s="4" t="n">
        <f aca="false">IF(Headcount!$D$42&lt;=Timeline!F5,Headcount!$C$42,0)</f>
        <v>0</v>
      </c>
      <c r="G48" s="4" t="n">
        <f aca="false">IF(Headcount!$D$42&lt;=Timeline!G5,Headcount!$C$42,0)</f>
        <v>0</v>
      </c>
      <c r="H48" s="4" t="n">
        <f aca="false">IF(Headcount!$D$42&lt;=Timeline!H5,Headcount!$C$42,0)</f>
        <v>0</v>
      </c>
      <c r="I48" s="4" t="n">
        <f aca="false">IF(Headcount!$D$42&lt;=Timeline!I5,Headcount!$C$42,0)</f>
        <v>0</v>
      </c>
      <c r="J48" s="4" t="n">
        <f aca="false">IF(Headcount!$D$42&lt;=Timeline!J5,Headcount!$C$42,0)</f>
        <v>0</v>
      </c>
      <c r="K48" s="4" t="n">
        <f aca="false">IF(Headcount!$D$42&lt;=Timeline!K5,Headcount!$C$42,0)</f>
        <v>0</v>
      </c>
      <c r="L48" s="4" t="n">
        <f aca="false">IF(Headcount!$D$42&lt;=Timeline!L5,Headcount!$C$42,0)</f>
        <v>0</v>
      </c>
      <c r="M48" s="4" t="n">
        <f aca="false">IF(Headcount!$D$42&lt;=Timeline!M5,Headcount!$C$42,0)</f>
        <v>0</v>
      </c>
      <c r="N48" s="4" t="n">
        <f aca="false">IF(Headcount!$D$42&lt;=Timeline!N5,Headcount!$C$42,0)</f>
        <v>0</v>
      </c>
      <c r="O48" s="4" t="n">
        <f aca="false">IF(Headcount!$D$42&lt;=Timeline!O5,Headcount!$C$42,0)</f>
        <v>0</v>
      </c>
      <c r="P48" s="4" t="n">
        <f aca="false">IF(Headcount!$D$42&lt;=Timeline!P5,Headcount!$C$42,0)</f>
        <v>0</v>
      </c>
      <c r="Q48" s="4" t="n">
        <f aca="false">IF(Headcount!$D$42&lt;=Timeline!Q5,Headcount!$C$42,0)</f>
        <v>0</v>
      </c>
      <c r="R48" s="4" t="n">
        <f aca="false">IF(Headcount!$D$42&lt;=Timeline!R5,Headcount!$C$42,0)</f>
        <v>0</v>
      </c>
      <c r="S48" s="4" t="n">
        <f aca="false">IF(Headcount!$D$42&lt;=Timeline!S5,Headcount!$C$42,0)</f>
        <v>0</v>
      </c>
      <c r="T48" s="4" t="n">
        <f aca="false">IF(Headcount!$D$42&lt;=Timeline!T5,Headcount!$C$42,0)</f>
        <v>0</v>
      </c>
      <c r="U48" s="4" t="n">
        <f aca="false">IF(Headcount!$D$42&lt;=Timeline!U5,Headcount!$C$42,0)</f>
        <v>0</v>
      </c>
      <c r="V48" s="4" t="n">
        <f aca="false">IF(Headcount!$D$42&lt;=Timeline!V5,Headcount!$C$42,0)</f>
        <v>0</v>
      </c>
      <c r="W48" s="4" t="n">
        <f aca="false">IF(Headcount!$D$42&lt;=Timeline!W5,Headcount!$C$42,0)</f>
        <v>0</v>
      </c>
      <c r="X48" s="4" t="n">
        <f aca="false">IF(Headcount!$D$42&lt;=Timeline!X5,Headcount!$C$42,0)</f>
        <v>0</v>
      </c>
      <c r="Y48" s="4" t="n">
        <f aca="false">IF(Headcount!$D$42&lt;=Timeline!Y5,Headcount!$C$42,0)</f>
        <v>0</v>
      </c>
      <c r="Z48" s="4" t="n">
        <f aca="false">IF(Headcount!$D$42&lt;=Timeline!Z5,Headcount!$C$42,0)</f>
        <v>0</v>
      </c>
      <c r="AA48" s="4" t="n">
        <f aca="false">IF(Headcount!$D$42&lt;=Timeline!AA5,Headcount!$C$42,0)</f>
        <v>0</v>
      </c>
      <c r="AB48" s="4" t="n">
        <f aca="false">IF(Headcount!$D$42&lt;=Timeline!AB5,Headcount!$C$42,0)</f>
        <v>0</v>
      </c>
      <c r="AC48" s="4" t="n">
        <f aca="false">IF(Headcount!$D$42&lt;=DATE(2029,12,31),Headcount!$C$42,0)</f>
        <v>0</v>
      </c>
      <c r="AD48" s="4" t="n">
        <f aca="false">IF(Headcount!$D$42&lt;=DATE(2030,12,31),Headcount!$C$42,0)</f>
        <v>3</v>
      </c>
      <c r="AE48" s="4" t="n">
        <f aca="false">IF(Headcount!$D$42&lt;=DATE(2031,12,31),Headcount!$C$42,0)</f>
        <v>3</v>
      </c>
      <c r="AG48" s="4" t="n">
        <f aca="false">D48</f>
        <v>0</v>
      </c>
      <c r="AH48" s="4" t="n">
        <f aca="false">P48</f>
        <v>0</v>
      </c>
      <c r="AI48" s="4" t="n">
        <f aca="false">AB48</f>
        <v>0</v>
      </c>
      <c r="AJ48" s="4" t="n">
        <f aca="false">AC48</f>
        <v>0</v>
      </c>
      <c r="AK48" s="4" t="n">
        <f aca="false">AD48</f>
        <v>3</v>
      </c>
      <c r="AL48" s="4" t="n">
        <f aca="false">AE48</f>
        <v>3</v>
      </c>
    </row>
    <row r="49" customFormat="false" ht="15" hidden="false" customHeight="false" outlineLevel="0" collapsed="false">
      <c r="A49" s="0" t="str">
        <f aca="false">Headcount!A43</f>
        <v>R&amp;D engineers</v>
      </c>
      <c r="B49" s="2" t="str">
        <f aca="false">Headcount!B43</f>
        <v>R&amp;D</v>
      </c>
      <c r="C49" s="4" t="n">
        <f aca="false">IF(Headcount!$D$43&lt;=Timeline!C5,Headcount!$C$43,0)</f>
        <v>0</v>
      </c>
      <c r="D49" s="4" t="n">
        <f aca="false">IF(Headcount!$D$43&lt;=Timeline!D5,Headcount!$C$43,0)</f>
        <v>0</v>
      </c>
      <c r="E49" s="4" t="n">
        <f aca="false">IF(Headcount!$D$43&lt;=Timeline!E5,Headcount!$C$43,0)</f>
        <v>0</v>
      </c>
      <c r="F49" s="4" t="n">
        <f aca="false">IF(Headcount!$D$43&lt;=Timeline!F5,Headcount!$C$43,0)</f>
        <v>0</v>
      </c>
      <c r="G49" s="4" t="n">
        <f aca="false">IF(Headcount!$D$43&lt;=Timeline!G5,Headcount!$C$43,0)</f>
        <v>0</v>
      </c>
      <c r="H49" s="4" t="n">
        <f aca="false">IF(Headcount!$D$43&lt;=Timeline!H5,Headcount!$C$43,0)</f>
        <v>0</v>
      </c>
      <c r="I49" s="4" t="n">
        <f aca="false">IF(Headcount!$D$43&lt;=Timeline!I5,Headcount!$C$43,0)</f>
        <v>0</v>
      </c>
      <c r="J49" s="4" t="n">
        <f aca="false">IF(Headcount!$D$43&lt;=Timeline!J5,Headcount!$C$43,0)</f>
        <v>0</v>
      </c>
      <c r="K49" s="4" t="n">
        <f aca="false">IF(Headcount!$D$43&lt;=Timeline!K5,Headcount!$C$43,0)</f>
        <v>0</v>
      </c>
      <c r="L49" s="4" t="n">
        <f aca="false">IF(Headcount!$D$43&lt;=Timeline!L5,Headcount!$C$43,0)</f>
        <v>0</v>
      </c>
      <c r="M49" s="4" t="n">
        <f aca="false">IF(Headcount!$D$43&lt;=Timeline!M5,Headcount!$C$43,0)</f>
        <v>0</v>
      </c>
      <c r="N49" s="4" t="n">
        <f aca="false">IF(Headcount!$D$43&lt;=Timeline!N5,Headcount!$C$43,0)</f>
        <v>0</v>
      </c>
      <c r="O49" s="4" t="n">
        <f aca="false">IF(Headcount!$D$43&lt;=Timeline!O5,Headcount!$C$43,0)</f>
        <v>0</v>
      </c>
      <c r="P49" s="4" t="n">
        <f aca="false">IF(Headcount!$D$43&lt;=Timeline!P5,Headcount!$C$43,0)</f>
        <v>0</v>
      </c>
      <c r="Q49" s="4" t="n">
        <f aca="false">IF(Headcount!$D$43&lt;=Timeline!Q5,Headcount!$C$43,0)</f>
        <v>0</v>
      </c>
      <c r="R49" s="4" t="n">
        <f aca="false">IF(Headcount!$D$43&lt;=Timeline!R5,Headcount!$C$43,0)</f>
        <v>0</v>
      </c>
      <c r="S49" s="4" t="n">
        <f aca="false">IF(Headcount!$D$43&lt;=Timeline!S5,Headcount!$C$43,0)</f>
        <v>0</v>
      </c>
      <c r="T49" s="4" t="n">
        <f aca="false">IF(Headcount!$D$43&lt;=Timeline!T5,Headcount!$C$43,0)</f>
        <v>0</v>
      </c>
      <c r="U49" s="4" t="n">
        <f aca="false">IF(Headcount!$D$43&lt;=Timeline!U5,Headcount!$C$43,0)</f>
        <v>0</v>
      </c>
      <c r="V49" s="4" t="n">
        <f aca="false">IF(Headcount!$D$43&lt;=Timeline!V5,Headcount!$C$43,0)</f>
        <v>0</v>
      </c>
      <c r="W49" s="4" t="n">
        <f aca="false">IF(Headcount!$D$43&lt;=Timeline!W5,Headcount!$C$43,0)</f>
        <v>0</v>
      </c>
      <c r="X49" s="4" t="n">
        <f aca="false">IF(Headcount!$D$43&lt;=Timeline!X5,Headcount!$C$43,0)</f>
        <v>0</v>
      </c>
      <c r="Y49" s="4" t="n">
        <f aca="false">IF(Headcount!$D$43&lt;=Timeline!Y5,Headcount!$C$43,0)</f>
        <v>0</v>
      </c>
      <c r="Z49" s="4" t="n">
        <f aca="false">IF(Headcount!$D$43&lt;=Timeline!Z5,Headcount!$C$43,0)</f>
        <v>0</v>
      </c>
      <c r="AA49" s="4" t="n">
        <f aca="false">IF(Headcount!$D$43&lt;=Timeline!AA5,Headcount!$C$43,0)</f>
        <v>0</v>
      </c>
      <c r="AB49" s="4" t="n">
        <f aca="false">IF(Headcount!$D$43&lt;=Timeline!AB5,Headcount!$C$43,0)</f>
        <v>0</v>
      </c>
      <c r="AC49" s="4" t="n">
        <f aca="false">IF(Headcount!$D$43&lt;=DATE(2029,12,31),Headcount!$C$43,0)</f>
        <v>0</v>
      </c>
      <c r="AD49" s="4" t="n">
        <f aca="false">IF(Headcount!$D$43&lt;=DATE(2030,12,31),Headcount!$C$43,0)</f>
        <v>0</v>
      </c>
      <c r="AE49" s="4" t="n">
        <f aca="false">IF(Headcount!$D$43&lt;=DATE(2031,12,31),Headcount!$C$43,0)</f>
        <v>10</v>
      </c>
      <c r="AG49" s="4" t="n">
        <f aca="false">D49</f>
        <v>0</v>
      </c>
      <c r="AH49" s="4" t="n">
        <f aca="false">P49</f>
        <v>0</v>
      </c>
      <c r="AI49" s="4" t="n">
        <f aca="false">AB49</f>
        <v>0</v>
      </c>
      <c r="AJ49" s="4" t="n">
        <f aca="false">AC49</f>
        <v>0</v>
      </c>
      <c r="AK49" s="4" t="n">
        <f aca="false">AD49</f>
        <v>0</v>
      </c>
      <c r="AL49" s="4" t="n">
        <f aca="false">AE49</f>
        <v>10</v>
      </c>
    </row>
    <row r="50" customFormat="false" ht="15" hidden="false" customHeight="false" outlineLevel="0" collapsed="false">
      <c r="A50" s="0" t="str">
        <f aca="false">Headcount!A44</f>
        <v>S&amp;M team</v>
      </c>
      <c r="B50" s="2" t="str">
        <f aca="false">Headcount!B44</f>
        <v>S&amp;M</v>
      </c>
      <c r="C50" s="4" t="n">
        <f aca="false">IF(Headcount!$D$44&lt;=Timeline!C5,Headcount!$C$44,0)</f>
        <v>0</v>
      </c>
      <c r="D50" s="4" t="n">
        <f aca="false">IF(Headcount!$D$44&lt;=Timeline!D5,Headcount!$C$44,0)</f>
        <v>0</v>
      </c>
      <c r="E50" s="4" t="n">
        <f aca="false">IF(Headcount!$D$44&lt;=Timeline!E5,Headcount!$C$44,0)</f>
        <v>0</v>
      </c>
      <c r="F50" s="4" t="n">
        <f aca="false">IF(Headcount!$D$44&lt;=Timeline!F5,Headcount!$C$44,0)</f>
        <v>0</v>
      </c>
      <c r="G50" s="4" t="n">
        <f aca="false">IF(Headcount!$D$44&lt;=Timeline!G5,Headcount!$C$44,0)</f>
        <v>0</v>
      </c>
      <c r="H50" s="4" t="n">
        <f aca="false">IF(Headcount!$D$44&lt;=Timeline!H5,Headcount!$C$44,0)</f>
        <v>0</v>
      </c>
      <c r="I50" s="4" t="n">
        <f aca="false">IF(Headcount!$D$44&lt;=Timeline!I5,Headcount!$C$44,0)</f>
        <v>0</v>
      </c>
      <c r="J50" s="4" t="n">
        <f aca="false">IF(Headcount!$D$44&lt;=Timeline!J5,Headcount!$C$44,0)</f>
        <v>0</v>
      </c>
      <c r="K50" s="4" t="n">
        <f aca="false">IF(Headcount!$D$44&lt;=Timeline!K5,Headcount!$C$44,0)</f>
        <v>0</v>
      </c>
      <c r="L50" s="4" t="n">
        <f aca="false">IF(Headcount!$D$44&lt;=Timeline!L5,Headcount!$C$44,0)</f>
        <v>0</v>
      </c>
      <c r="M50" s="4" t="n">
        <f aca="false">IF(Headcount!$D$44&lt;=Timeline!M5,Headcount!$C$44,0)</f>
        <v>0</v>
      </c>
      <c r="N50" s="4" t="n">
        <f aca="false">IF(Headcount!$D$44&lt;=Timeline!N5,Headcount!$C$44,0)</f>
        <v>0</v>
      </c>
      <c r="O50" s="4" t="n">
        <f aca="false">IF(Headcount!$D$44&lt;=Timeline!O5,Headcount!$C$44,0)</f>
        <v>0</v>
      </c>
      <c r="P50" s="4" t="n">
        <f aca="false">IF(Headcount!$D$44&lt;=Timeline!P5,Headcount!$C$44,0)</f>
        <v>0</v>
      </c>
      <c r="Q50" s="4" t="n">
        <f aca="false">IF(Headcount!$D$44&lt;=Timeline!Q5,Headcount!$C$44,0)</f>
        <v>0</v>
      </c>
      <c r="R50" s="4" t="n">
        <f aca="false">IF(Headcount!$D$44&lt;=Timeline!R5,Headcount!$C$44,0)</f>
        <v>0</v>
      </c>
      <c r="S50" s="4" t="n">
        <f aca="false">IF(Headcount!$D$44&lt;=Timeline!S5,Headcount!$C$44,0)</f>
        <v>0</v>
      </c>
      <c r="T50" s="4" t="n">
        <f aca="false">IF(Headcount!$D$44&lt;=Timeline!T5,Headcount!$C$44,0)</f>
        <v>0</v>
      </c>
      <c r="U50" s="4" t="n">
        <f aca="false">IF(Headcount!$D$44&lt;=Timeline!U5,Headcount!$C$44,0)</f>
        <v>0</v>
      </c>
      <c r="V50" s="4" t="n">
        <f aca="false">IF(Headcount!$D$44&lt;=Timeline!V5,Headcount!$C$44,0)</f>
        <v>0</v>
      </c>
      <c r="W50" s="4" t="n">
        <f aca="false">IF(Headcount!$D$44&lt;=Timeline!W5,Headcount!$C$44,0)</f>
        <v>0</v>
      </c>
      <c r="X50" s="4" t="n">
        <f aca="false">IF(Headcount!$D$44&lt;=Timeline!X5,Headcount!$C$44,0)</f>
        <v>0</v>
      </c>
      <c r="Y50" s="4" t="n">
        <f aca="false">IF(Headcount!$D$44&lt;=Timeline!Y5,Headcount!$C$44,0)</f>
        <v>0</v>
      </c>
      <c r="Z50" s="4" t="n">
        <f aca="false">IF(Headcount!$D$44&lt;=Timeline!Z5,Headcount!$C$44,0)</f>
        <v>0</v>
      </c>
      <c r="AA50" s="4" t="n">
        <f aca="false">IF(Headcount!$D$44&lt;=Timeline!AA5,Headcount!$C$44,0)</f>
        <v>0</v>
      </c>
      <c r="AB50" s="4" t="n">
        <f aca="false">IF(Headcount!$D$44&lt;=Timeline!AB5,Headcount!$C$44,0)</f>
        <v>0</v>
      </c>
      <c r="AC50" s="4" t="n">
        <f aca="false">IF(Headcount!$D$44&lt;=DATE(2029,12,31),Headcount!$C$44,0)</f>
        <v>0</v>
      </c>
      <c r="AD50" s="4" t="n">
        <f aca="false">IF(Headcount!$D$44&lt;=DATE(2030,12,31),Headcount!$C$44,0)</f>
        <v>0</v>
      </c>
      <c r="AE50" s="4" t="n">
        <f aca="false">IF(Headcount!$D$44&lt;=DATE(2031,12,31),Headcount!$C$44,0)</f>
        <v>6</v>
      </c>
      <c r="AG50" s="4" t="n">
        <f aca="false">D50</f>
        <v>0</v>
      </c>
      <c r="AH50" s="4" t="n">
        <f aca="false">P50</f>
        <v>0</v>
      </c>
      <c r="AI50" s="4" t="n">
        <f aca="false">AB50</f>
        <v>0</v>
      </c>
      <c r="AJ50" s="4" t="n">
        <f aca="false">AC50</f>
        <v>0</v>
      </c>
      <c r="AK50" s="4" t="n">
        <f aca="false">AD50</f>
        <v>0</v>
      </c>
      <c r="AL50" s="4" t="n">
        <f aca="false">AE50</f>
        <v>6</v>
      </c>
    </row>
    <row r="51" customFormat="false" ht="15" hidden="false" customHeight="false" outlineLevel="0" collapsed="false">
      <c r="A51" s="0" t="str">
        <f aca="false">Headcount!A45</f>
        <v>Ops / CS</v>
      </c>
      <c r="B51" s="2" t="str">
        <f aca="false">Headcount!B45</f>
        <v>Ops &amp; CS</v>
      </c>
      <c r="C51" s="4" t="n">
        <f aca="false">IF(Headcount!$D$45&lt;=Timeline!C5,Headcount!$C$45,0)</f>
        <v>0</v>
      </c>
      <c r="D51" s="4" t="n">
        <f aca="false">IF(Headcount!$D$45&lt;=Timeline!D5,Headcount!$C$45,0)</f>
        <v>0</v>
      </c>
      <c r="E51" s="4" t="n">
        <f aca="false">IF(Headcount!$D$45&lt;=Timeline!E5,Headcount!$C$45,0)</f>
        <v>0</v>
      </c>
      <c r="F51" s="4" t="n">
        <f aca="false">IF(Headcount!$D$45&lt;=Timeline!F5,Headcount!$C$45,0)</f>
        <v>0</v>
      </c>
      <c r="G51" s="4" t="n">
        <f aca="false">IF(Headcount!$D$45&lt;=Timeline!G5,Headcount!$C$45,0)</f>
        <v>0</v>
      </c>
      <c r="H51" s="4" t="n">
        <f aca="false">IF(Headcount!$D$45&lt;=Timeline!H5,Headcount!$C$45,0)</f>
        <v>0</v>
      </c>
      <c r="I51" s="4" t="n">
        <f aca="false">IF(Headcount!$D$45&lt;=Timeline!I5,Headcount!$C$45,0)</f>
        <v>0</v>
      </c>
      <c r="J51" s="4" t="n">
        <f aca="false">IF(Headcount!$D$45&lt;=Timeline!J5,Headcount!$C$45,0)</f>
        <v>0</v>
      </c>
      <c r="K51" s="4" t="n">
        <f aca="false">IF(Headcount!$D$45&lt;=Timeline!K5,Headcount!$C$45,0)</f>
        <v>0</v>
      </c>
      <c r="L51" s="4" t="n">
        <f aca="false">IF(Headcount!$D$45&lt;=Timeline!L5,Headcount!$C$45,0)</f>
        <v>0</v>
      </c>
      <c r="M51" s="4" t="n">
        <f aca="false">IF(Headcount!$D$45&lt;=Timeline!M5,Headcount!$C$45,0)</f>
        <v>0</v>
      </c>
      <c r="N51" s="4" t="n">
        <f aca="false">IF(Headcount!$D$45&lt;=Timeline!N5,Headcount!$C$45,0)</f>
        <v>0</v>
      </c>
      <c r="O51" s="4" t="n">
        <f aca="false">IF(Headcount!$D$45&lt;=Timeline!O5,Headcount!$C$45,0)</f>
        <v>0</v>
      </c>
      <c r="P51" s="4" t="n">
        <f aca="false">IF(Headcount!$D$45&lt;=Timeline!P5,Headcount!$C$45,0)</f>
        <v>0</v>
      </c>
      <c r="Q51" s="4" t="n">
        <f aca="false">IF(Headcount!$D$45&lt;=Timeline!Q5,Headcount!$C$45,0)</f>
        <v>0</v>
      </c>
      <c r="R51" s="4" t="n">
        <f aca="false">IF(Headcount!$D$45&lt;=Timeline!R5,Headcount!$C$45,0)</f>
        <v>0</v>
      </c>
      <c r="S51" s="4" t="n">
        <f aca="false">IF(Headcount!$D$45&lt;=Timeline!S5,Headcount!$C$45,0)</f>
        <v>0</v>
      </c>
      <c r="T51" s="4" t="n">
        <f aca="false">IF(Headcount!$D$45&lt;=Timeline!T5,Headcount!$C$45,0)</f>
        <v>0</v>
      </c>
      <c r="U51" s="4" t="n">
        <f aca="false">IF(Headcount!$D$45&lt;=Timeline!U5,Headcount!$C$45,0)</f>
        <v>0</v>
      </c>
      <c r="V51" s="4" t="n">
        <f aca="false">IF(Headcount!$D$45&lt;=Timeline!V5,Headcount!$C$45,0)</f>
        <v>0</v>
      </c>
      <c r="W51" s="4" t="n">
        <f aca="false">IF(Headcount!$D$45&lt;=Timeline!W5,Headcount!$C$45,0)</f>
        <v>0</v>
      </c>
      <c r="X51" s="4" t="n">
        <f aca="false">IF(Headcount!$D$45&lt;=Timeline!X5,Headcount!$C$45,0)</f>
        <v>0</v>
      </c>
      <c r="Y51" s="4" t="n">
        <f aca="false">IF(Headcount!$D$45&lt;=Timeline!Y5,Headcount!$C$45,0)</f>
        <v>0</v>
      </c>
      <c r="Z51" s="4" t="n">
        <f aca="false">IF(Headcount!$D$45&lt;=Timeline!Z5,Headcount!$C$45,0)</f>
        <v>0</v>
      </c>
      <c r="AA51" s="4" t="n">
        <f aca="false">IF(Headcount!$D$45&lt;=Timeline!AA5,Headcount!$C$45,0)</f>
        <v>0</v>
      </c>
      <c r="AB51" s="4" t="n">
        <f aca="false">IF(Headcount!$D$45&lt;=Timeline!AB5,Headcount!$C$45,0)</f>
        <v>0</v>
      </c>
      <c r="AC51" s="4" t="n">
        <f aca="false">IF(Headcount!$D$45&lt;=DATE(2029,12,31),Headcount!$C$45,0)</f>
        <v>0</v>
      </c>
      <c r="AD51" s="4" t="n">
        <f aca="false">IF(Headcount!$D$45&lt;=DATE(2030,12,31),Headcount!$C$45,0)</f>
        <v>0</v>
      </c>
      <c r="AE51" s="4" t="n">
        <f aca="false">IF(Headcount!$D$45&lt;=DATE(2031,12,31),Headcount!$C$45,0)</f>
        <v>10</v>
      </c>
      <c r="AG51" s="4" t="n">
        <f aca="false">D51</f>
        <v>0</v>
      </c>
      <c r="AH51" s="4" t="n">
        <f aca="false">P51</f>
        <v>0</v>
      </c>
      <c r="AI51" s="4" t="n">
        <f aca="false">AB51</f>
        <v>0</v>
      </c>
      <c r="AJ51" s="4" t="n">
        <f aca="false">AC51</f>
        <v>0</v>
      </c>
      <c r="AK51" s="4" t="n">
        <f aca="false">AD51</f>
        <v>0</v>
      </c>
      <c r="AL51" s="4" t="n">
        <f aca="false">AE51</f>
        <v>10</v>
      </c>
    </row>
    <row r="52" customFormat="false" ht="15" hidden="false" customHeight="false" outlineLevel="0" collapsed="false">
      <c r="A52" s="0" t="str">
        <f aca="false">Headcount!A46</f>
        <v>G&amp;A</v>
      </c>
      <c r="B52" s="2" t="str">
        <f aca="false">Headcount!B46</f>
        <v>G&amp;A</v>
      </c>
      <c r="C52" s="4" t="n">
        <f aca="false">IF(Headcount!$D$46&lt;=Timeline!C5,Headcount!$C$46,0)</f>
        <v>0</v>
      </c>
      <c r="D52" s="4" t="n">
        <f aca="false">IF(Headcount!$D$46&lt;=Timeline!D5,Headcount!$C$46,0)</f>
        <v>0</v>
      </c>
      <c r="E52" s="4" t="n">
        <f aca="false">IF(Headcount!$D$46&lt;=Timeline!E5,Headcount!$C$46,0)</f>
        <v>0</v>
      </c>
      <c r="F52" s="4" t="n">
        <f aca="false">IF(Headcount!$D$46&lt;=Timeline!F5,Headcount!$C$46,0)</f>
        <v>0</v>
      </c>
      <c r="G52" s="4" t="n">
        <f aca="false">IF(Headcount!$D$46&lt;=Timeline!G5,Headcount!$C$46,0)</f>
        <v>0</v>
      </c>
      <c r="H52" s="4" t="n">
        <f aca="false">IF(Headcount!$D$46&lt;=Timeline!H5,Headcount!$C$46,0)</f>
        <v>0</v>
      </c>
      <c r="I52" s="4" t="n">
        <f aca="false">IF(Headcount!$D$46&lt;=Timeline!I5,Headcount!$C$46,0)</f>
        <v>0</v>
      </c>
      <c r="J52" s="4" t="n">
        <f aca="false">IF(Headcount!$D$46&lt;=Timeline!J5,Headcount!$C$46,0)</f>
        <v>0</v>
      </c>
      <c r="K52" s="4" t="n">
        <f aca="false">IF(Headcount!$D$46&lt;=Timeline!K5,Headcount!$C$46,0)</f>
        <v>0</v>
      </c>
      <c r="L52" s="4" t="n">
        <f aca="false">IF(Headcount!$D$46&lt;=Timeline!L5,Headcount!$C$46,0)</f>
        <v>0</v>
      </c>
      <c r="M52" s="4" t="n">
        <f aca="false">IF(Headcount!$D$46&lt;=Timeline!M5,Headcount!$C$46,0)</f>
        <v>0</v>
      </c>
      <c r="N52" s="4" t="n">
        <f aca="false">IF(Headcount!$D$46&lt;=Timeline!N5,Headcount!$C$46,0)</f>
        <v>0</v>
      </c>
      <c r="O52" s="4" t="n">
        <f aca="false">IF(Headcount!$D$46&lt;=Timeline!O5,Headcount!$C$46,0)</f>
        <v>0</v>
      </c>
      <c r="P52" s="4" t="n">
        <f aca="false">IF(Headcount!$D$46&lt;=Timeline!P5,Headcount!$C$46,0)</f>
        <v>0</v>
      </c>
      <c r="Q52" s="4" t="n">
        <f aca="false">IF(Headcount!$D$46&lt;=Timeline!Q5,Headcount!$C$46,0)</f>
        <v>0</v>
      </c>
      <c r="R52" s="4" t="n">
        <f aca="false">IF(Headcount!$D$46&lt;=Timeline!R5,Headcount!$C$46,0)</f>
        <v>0</v>
      </c>
      <c r="S52" s="4" t="n">
        <f aca="false">IF(Headcount!$D$46&lt;=Timeline!S5,Headcount!$C$46,0)</f>
        <v>0</v>
      </c>
      <c r="T52" s="4" t="n">
        <f aca="false">IF(Headcount!$D$46&lt;=Timeline!T5,Headcount!$C$46,0)</f>
        <v>0</v>
      </c>
      <c r="U52" s="4" t="n">
        <f aca="false">IF(Headcount!$D$46&lt;=Timeline!U5,Headcount!$C$46,0)</f>
        <v>0</v>
      </c>
      <c r="V52" s="4" t="n">
        <f aca="false">IF(Headcount!$D$46&lt;=Timeline!V5,Headcount!$C$46,0)</f>
        <v>0</v>
      </c>
      <c r="W52" s="4" t="n">
        <f aca="false">IF(Headcount!$D$46&lt;=Timeline!W5,Headcount!$C$46,0)</f>
        <v>0</v>
      </c>
      <c r="X52" s="4" t="n">
        <f aca="false">IF(Headcount!$D$46&lt;=Timeline!X5,Headcount!$C$46,0)</f>
        <v>0</v>
      </c>
      <c r="Y52" s="4" t="n">
        <f aca="false">IF(Headcount!$D$46&lt;=Timeline!Y5,Headcount!$C$46,0)</f>
        <v>0</v>
      </c>
      <c r="Z52" s="4" t="n">
        <f aca="false">IF(Headcount!$D$46&lt;=Timeline!Z5,Headcount!$C$46,0)</f>
        <v>0</v>
      </c>
      <c r="AA52" s="4" t="n">
        <f aca="false">IF(Headcount!$D$46&lt;=Timeline!AA5,Headcount!$C$46,0)</f>
        <v>0</v>
      </c>
      <c r="AB52" s="4" t="n">
        <f aca="false">IF(Headcount!$D$46&lt;=Timeline!AB5,Headcount!$C$46,0)</f>
        <v>0</v>
      </c>
      <c r="AC52" s="4" t="n">
        <f aca="false">IF(Headcount!$D$46&lt;=DATE(2029,12,31),Headcount!$C$46,0)</f>
        <v>0</v>
      </c>
      <c r="AD52" s="4" t="n">
        <f aca="false">IF(Headcount!$D$46&lt;=DATE(2030,12,31),Headcount!$C$46,0)</f>
        <v>0</v>
      </c>
      <c r="AE52" s="4" t="n">
        <f aca="false">IF(Headcount!$D$46&lt;=DATE(2031,12,31),Headcount!$C$46,0)</f>
        <v>3</v>
      </c>
      <c r="AG52" s="4" t="n">
        <f aca="false">D52</f>
        <v>0</v>
      </c>
      <c r="AH52" s="4" t="n">
        <f aca="false">P52</f>
        <v>0</v>
      </c>
      <c r="AI52" s="4" t="n">
        <f aca="false">AB52</f>
        <v>0</v>
      </c>
      <c r="AJ52" s="4" t="n">
        <f aca="false">AC52</f>
        <v>0</v>
      </c>
      <c r="AK52" s="4" t="n">
        <f aca="false">AD52</f>
        <v>0</v>
      </c>
      <c r="AL52" s="4" t="n">
        <f aca="false">AE52</f>
        <v>3</v>
      </c>
    </row>
    <row r="54" customFormat="false" ht="15" hidden="false" customHeight="false" outlineLevel="0" collapsed="false">
      <c r="A54" s="8" t="s">
        <v>595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customFormat="false" ht="15" hidden="false" customHeight="false" outlineLevel="0" collapsed="false">
      <c r="A55" s="0" t="str">
        <f aca="false">Headcount!A4</f>
        <v>Founder &amp; CEO (Nimit Jain)</v>
      </c>
      <c r="B55" s="2" t="str">
        <f aca="false">Headcount!B4</f>
        <v>G&amp;A</v>
      </c>
      <c r="C55" s="4" t="n">
        <f aca="false">IF(Headcount!$D$4&lt;=Timeline!C5,Headcount!$C$4*Headcount!$E$4/12*(1+burden)*(1+salary_infl)^MAX(0,2026-2027),0)</f>
        <v>9375</v>
      </c>
      <c r="D55" s="4" t="n">
        <f aca="false">IF(Headcount!$D$4&lt;=Timeline!D5,Headcount!$C$4*Headcount!$E$4/12*(1+burden)*(1+salary_infl)^MAX(0,2026-2027),0)</f>
        <v>9375</v>
      </c>
      <c r="E55" s="4" t="n">
        <f aca="false">IF(Headcount!$D$4&lt;=Timeline!E5,Headcount!$C$4*Headcount!$E$4/12*(1+burden)*(1+salary_infl)^MAX(0,2027-2027),0)</f>
        <v>9375</v>
      </c>
      <c r="F55" s="4" t="n">
        <f aca="false">IF(Headcount!$D$4&lt;=Timeline!F5,Headcount!$C$4*Headcount!$E$4/12*(1+burden)*(1+salary_infl)^MAX(0,2027-2027),0)</f>
        <v>9375</v>
      </c>
      <c r="G55" s="4" t="n">
        <f aca="false">IF(Headcount!$D$4&lt;=Timeline!G5,Headcount!$C$4*Headcount!$E$4/12*(1+burden)*(1+salary_infl)^MAX(0,2027-2027),0)</f>
        <v>9375</v>
      </c>
      <c r="H55" s="4" t="n">
        <f aca="false">IF(Headcount!$D$4&lt;=Timeline!H5,Headcount!$C$4*Headcount!$E$4/12*(1+burden)*(1+salary_infl)^MAX(0,2027-2027),0)</f>
        <v>9375</v>
      </c>
      <c r="I55" s="4" t="n">
        <f aca="false">IF(Headcount!$D$4&lt;=Timeline!I5,Headcount!$C$4*Headcount!$E$4/12*(1+burden)*(1+salary_infl)^MAX(0,2027-2027),0)</f>
        <v>9375</v>
      </c>
      <c r="J55" s="4" t="n">
        <f aca="false">IF(Headcount!$D$4&lt;=Timeline!J5,Headcount!$C$4*Headcount!$E$4/12*(1+burden)*(1+salary_infl)^MAX(0,2027-2027),0)</f>
        <v>9375</v>
      </c>
      <c r="K55" s="4" t="n">
        <f aca="false">IF(Headcount!$D$4&lt;=Timeline!K5,Headcount!$C$4*Headcount!$E$4/12*(1+burden)*(1+salary_infl)^MAX(0,2027-2027),0)</f>
        <v>9375</v>
      </c>
      <c r="L55" s="4" t="n">
        <f aca="false">IF(Headcount!$D$4&lt;=Timeline!L5,Headcount!$C$4*Headcount!$E$4/12*(1+burden)*(1+salary_infl)^MAX(0,2027-2027),0)</f>
        <v>9375</v>
      </c>
      <c r="M55" s="4" t="n">
        <f aca="false">IF(Headcount!$D$4&lt;=Timeline!M5,Headcount!$C$4*Headcount!$E$4/12*(1+burden)*(1+salary_infl)^MAX(0,2027-2027),0)</f>
        <v>9375</v>
      </c>
      <c r="N55" s="4" t="n">
        <f aca="false">IF(Headcount!$D$4&lt;=Timeline!N5,Headcount!$C$4*Headcount!$E$4/12*(1+burden)*(1+salary_infl)^MAX(0,2027-2027),0)</f>
        <v>9375</v>
      </c>
      <c r="O55" s="4" t="n">
        <f aca="false">IF(Headcount!$D$4&lt;=Timeline!O5,Headcount!$C$4*Headcount!$E$4/12*(1+burden)*(1+salary_infl)^MAX(0,2027-2027),0)</f>
        <v>9375</v>
      </c>
      <c r="P55" s="4" t="n">
        <f aca="false">IF(Headcount!$D$4&lt;=Timeline!P5,Headcount!$C$4*Headcount!$E$4/12*(1+burden)*(1+salary_infl)^MAX(0,2027-2027),0)</f>
        <v>9375</v>
      </c>
      <c r="Q55" s="4" t="n">
        <f aca="false">IF(Headcount!$D$4&lt;=Timeline!Q5,Headcount!$C$4*Headcount!$E$4/12*(1+burden)*(1+salary_infl)^MAX(0,2028-2027),0)</f>
        <v>9656.25</v>
      </c>
      <c r="R55" s="4" t="n">
        <f aca="false">IF(Headcount!$D$4&lt;=Timeline!R5,Headcount!$C$4*Headcount!$E$4/12*(1+burden)*(1+salary_infl)^MAX(0,2028-2027),0)</f>
        <v>9656.25</v>
      </c>
      <c r="S55" s="4" t="n">
        <f aca="false">IF(Headcount!$D$4&lt;=Timeline!S5,Headcount!$C$4*Headcount!$E$4/12*(1+burden)*(1+salary_infl)^MAX(0,2028-2027),0)</f>
        <v>9656.25</v>
      </c>
      <c r="T55" s="4" t="n">
        <f aca="false">IF(Headcount!$D$4&lt;=Timeline!T5,Headcount!$C$4*Headcount!$E$4/12*(1+burden)*(1+salary_infl)^MAX(0,2028-2027),0)</f>
        <v>9656.25</v>
      </c>
      <c r="U55" s="4" t="n">
        <f aca="false">IF(Headcount!$D$4&lt;=Timeline!U5,Headcount!$C$4*Headcount!$E$4/12*(1+burden)*(1+salary_infl)^MAX(0,2028-2027),0)</f>
        <v>9656.25</v>
      </c>
      <c r="V55" s="4" t="n">
        <f aca="false">IF(Headcount!$D$4&lt;=Timeline!V5,Headcount!$C$4*Headcount!$E$4/12*(1+burden)*(1+salary_infl)^MAX(0,2028-2027),0)</f>
        <v>9656.25</v>
      </c>
      <c r="W55" s="4" t="n">
        <f aca="false">IF(Headcount!$D$4&lt;=Timeline!W5,Headcount!$C$4*Headcount!$E$4/12*(1+burden)*(1+salary_infl)^MAX(0,2028-2027),0)</f>
        <v>9656.25</v>
      </c>
      <c r="X55" s="4" t="n">
        <f aca="false">IF(Headcount!$D$4&lt;=Timeline!X5,Headcount!$C$4*Headcount!$E$4/12*(1+burden)*(1+salary_infl)^MAX(0,2028-2027),0)</f>
        <v>9656.25</v>
      </c>
      <c r="Y55" s="4" t="n">
        <f aca="false">IF(Headcount!$D$4&lt;=Timeline!Y5,Headcount!$C$4*Headcount!$E$4/12*(1+burden)*(1+salary_infl)^MAX(0,2028-2027),0)</f>
        <v>9656.25</v>
      </c>
      <c r="Z55" s="4" t="n">
        <f aca="false">IF(Headcount!$D$4&lt;=Timeline!Z5,Headcount!$C$4*Headcount!$E$4/12*(1+burden)*(1+salary_infl)^MAX(0,2028-2027),0)</f>
        <v>9656.25</v>
      </c>
      <c r="AA55" s="4" t="n">
        <f aca="false">IF(Headcount!$D$4&lt;=Timeline!AA5,Headcount!$C$4*Headcount!$E$4/12*(1+burden)*(1+salary_infl)^MAX(0,2028-2027),0)</f>
        <v>9656.25</v>
      </c>
      <c r="AB55" s="4" t="n">
        <f aca="false">IF(Headcount!$D$4&lt;=Timeline!AB5,Headcount!$C$4*Headcount!$E$4/12*(1+burden)*(1+salary_infl)^MAX(0,2028-2027),0)</f>
        <v>9656.25</v>
      </c>
      <c r="AC55" s="4" t="n">
        <f aca="false">Headcount!$C$4*Headcount!$E$4*(1+burden)*(1+salary_infl)^MAX(0,2029-2027)*MAX(0,MIN(12,(2029-YEAR(Headcount!$D$4))*12+13-MONTH(Headcount!$D$4)))/12</f>
        <v>119351.25</v>
      </c>
      <c r="AD55" s="4" t="n">
        <f aca="false">Headcount!$C$4*Headcount!$E$4*(1+burden)*(1+salary_infl)^MAX(0,2030-2027)*MAX(0,MIN(12,(2030-YEAR(Headcount!$D$4))*12+13-MONTH(Headcount!$D$4)))/12</f>
        <v>122931.7875</v>
      </c>
      <c r="AE55" s="4" t="n">
        <f aca="false">Headcount!$C$4*Headcount!$E$4*(1+burden)*(1+salary_infl)^MAX(0,2031-2027)*MAX(0,MIN(12,(2031-YEAR(Headcount!$D$4))*12+13-MONTH(Headcount!$D$4)))/12</f>
        <v>126619.741125</v>
      </c>
      <c r="AG55" s="4" t="n">
        <f aca="false">SUMIF($C$3:$AE$3,AG$3,$C55:$AE55)</f>
        <v>18750</v>
      </c>
      <c r="AH55" s="4" t="n">
        <f aca="false">SUMIF($C$3:$AE$3,AH$3,$C55:$AE55)</f>
        <v>112500</v>
      </c>
      <c r="AI55" s="4" t="n">
        <f aca="false">SUMIF($C$3:$AE$3,AI$3,$C55:$AE55)</f>
        <v>115875</v>
      </c>
      <c r="AJ55" s="4" t="n">
        <f aca="false">SUMIF($C$3:$AE$3,AJ$3,$C55:$AE55)</f>
        <v>119351.25</v>
      </c>
      <c r="AK55" s="4" t="n">
        <f aca="false">SUMIF($C$3:$AE$3,AK$3,$C55:$AE55)</f>
        <v>122931.7875</v>
      </c>
      <c r="AL55" s="4" t="n">
        <f aca="false">SUMIF($C$3:$AE$3,AL$3,$C55:$AE55)</f>
        <v>126619.741125</v>
      </c>
    </row>
    <row r="56" customFormat="false" ht="15" hidden="false" customHeight="false" outlineLevel="0" collapsed="false">
      <c r="A56" s="0" t="str">
        <f aca="false">Headcount!A5</f>
        <v>Founding Eng -- Embedded / firmware</v>
      </c>
      <c r="B56" s="2" t="str">
        <f aca="false">Headcount!B5</f>
        <v>R&amp;D</v>
      </c>
      <c r="C56" s="4" t="n">
        <f aca="false">IF(Headcount!$D$5&lt;=Timeline!C5,Headcount!$C$5*Headcount!$E$5/12*(1+burden)*(1+salary_infl)^MAX(0,2026-2027),0)</f>
        <v>15625</v>
      </c>
      <c r="D56" s="4" t="n">
        <f aca="false">IF(Headcount!$D$5&lt;=Timeline!D5,Headcount!$C$5*Headcount!$E$5/12*(1+burden)*(1+salary_infl)^MAX(0,2026-2027),0)</f>
        <v>15625</v>
      </c>
      <c r="E56" s="4" t="n">
        <f aca="false">IF(Headcount!$D$5&lt;=Timeline!E5,Headcount!$C$5*Headcount!$E$5/12*(1+burden)*(1+salary_infl)^MAX(0,2027-2027),0)</f>
        <v>15625</v>
      </c>
      <c r="F56" s="4" t="n">
        <f aca="false">IF(Headcount!$D$5&lt;=Timeline!F5,Headcount!$C$5*Headcount!$E$5/12*(1+burden)*(1+salary_infl)^MAX(0,2027-2027),0)</f>
        <v>15625</v>
      </c>
      <c r="G56" s="4" t="n">
        <f aca="false">IF(Headcount!$D$5&lt;=Timeline!G5,Headcount!$C$5*Headcount!$E$5/12*(1+burden)*(1+salary_infl)^MAX(0,2027-2027),0)</f>
        <v>15625</v>
      </c>
      <c r="H56" s="4" t="n">
        <f aca="false">IF(Headcount!$D$5&lt;=Timeline!H5,Headcount!$C$5*Headcount!$E$5/12*(1+burden)*(1+salary_infl)^MAX(0,2027-2027),0)</f>
        <v>15625</v>
      </c>
      <c r="I56" s="4" t="n">
        <f aca="false">IF(Headcount!$D$5&lt;=Timeline!I5,Headcount!$C$5*Headcount!$E$5/12*(1+burden)*(1+salary_infl)^MAX(0,2027-2027),0)</f>
        <v>15625</v>
      </c>
      <c r="J56" s="4" t="n">
        <f aca="false">IF(Headcount!$D$5&lt;=Timeline!J5,Headcount!$C$5*Headcount!$E$5/12*(1+burden)*(1+salary_infl)^MAX(0,2027-2027),0)</f>
        <v>15625</v>
      </c>
      <c r="K56" s="4" t="n">
        <f aca="false">IF(Headcount!$D$5&lt;=Timeline!K5,Headcount!$C$5*Headcount!$E$5/12*(1+burden)*(1+salary_infl)^MAX(0,2027-2027),0)</f>
        <v>15625</v>
      </c>
      <c r="L56" s="4" t="n">
        <f aca="false">IF(Headcount!$D$5&lt;=Timeline!L5,Headcount!$C$5*Headcount!$E$5/12*(1+burden)*(1+salary_infl)^MAX(0,2027-2027),0)</f>
        <v>15625</v>
      </c>
      <c r="M56" s="4" t="n">
        <f aca="false">IF(Headcount!$D$5&lt;=Timeline!M5,Headcount!$C$5*Headcount!$E$5/12*(1+burden)*(1+salary_infl)^MAX(0,2027-2027),0)</f>
        <v>15625</v>
      </c>
      <c r="N56" s="4" t="n">
        <f aca="false">IF(Headcount!$D$5&lt;=Timeline!N5,Headcount!$C$5*Headcount!$E$5/12*(1+burden)*(1+salary_infl)^MAX(0,2027-2027),0)</f>
        <v>15625</v>
      </c>
      <c r="O56" s="4" t="n">
        <f aca="false">IF(Headcount!$D$5&lt;=Timeline!O5,Headcount!$C$5*Headcount!$E$5/12*(1+burden)*(1+salary_infl)^MAX(0,2027-2027),0)</f>
        <v>15625</v>
      </c>
      <c r="P56" s="4" t="n">
        <f aca="false">IF(Headcount!$D$5&lt;=Timeline!P5,Headcount!$C$5*Headcount!$E$5/12*(1+burden)*(1+salary_infl)^MAX(0,2027-2027),0)</f>
        <v>15625</v>
      </c>
      <c r="Q56" s="4" t="n">
        <f aca="false">IF(Headcount!$D$5&lt;=Timeline!Q5,Headcount!$C$5*Headcount!$E$5/12*(1+burden)*(1+salary_infl)^MAX(0,2028-2027),0)</f>
        <v>16093.75</v>
      </c>
      <c r="R56" s="4" t="n">
        <f aca="false">IF(Headcount!$D$5&lt;=Timeline!R5,Headcount!$C$5*Headcount!$E$5/12*(1+burden)*(1+salary_infl)^MAX(0,2028-2027),0)</f>
        <v>16093.75</v>
      </c>
      <c r="S56" s="4" t="n">
        <f aca="false">IF(Headcount!$D$5&lt;=Timeline!S5,Headcount!$C$5*Headcount!$E$5/12*(1+burden)*(1+salary_infl)^MAX(0,2028-2027),0)</f>
        <v>16093.75</v>
      </c>
      <c r="T56" s="4" t="n">
        <f aca="false">IF(Headcount!$D$5&lt;=Timeline!T5,Headcount!$C$5*Headcount!$E$5/12*(1+burden)*(1+salary_infl)^MAX(0,2028-2027),0)</f>
        <v>16093.75</v>
      </c>
      <c r="U56" s="4" t="n">
        <f aca="false">IF(Headcount!$D$5&lt;=Timeline!U5,Headcount!$C$5*Headcount!$E$5/12*(1+burden)*(1+salary_infl)^MAX(0,2028-2027),0)</f>
        <v>16093.75</v>
      </c>
      <c r="V56" s="4" t="n">
        <f aca="false">IF(Headcount!$D$5&lt;=Timeline!V5,Headcount!$C$5*Headcount!$E$5/12*(1+burden)*(1+salary_infl)^MAX(0,2028-2027),0)</f>
        <v>16093.75</v>
      </c>
      <c r="W56" s="4" t="n">
        <f aca="false">IF(Headcount!$D$5&lt;=Timeline!W5,Headcount!$C$5*Headcount!$E$5/12*(1+burden)*(1+salary_infl)^MAX(0,2028-2027),0)</f>
        <v>16093.75</v>
      </c>
      <c r="X56" s="4" t="n">
        <f aca="false">IF(Headcount!$D$5&lt;=Timeline!X5,Headcount!$C$5*Headcount!$E$5/12*(1+burden)*(1+salary_infl)^MAX(0,2028-2027),0)</f>
        <v>16093.75</v>
      </c>
      <c r="Y56" s="4" t="n">
        <f aca="false">IF(Headcount!$D$5&lt;=Timeline!Y5,Headcount!$C$5*Headcount!$E$5/12*(1+burden)*(1+salary_infl)^MAX(0,2028-2027),0)</f>
        <v>16093.75</v>
      </c>
      <c r="Z56" s="4" t="n">
        <f aca="false">IF(Headcount!$D$5&lt;=Timeline!Z5,Headcount!$C$5*Headcount!$E$5/12*(1+burden)*(1+salary_infl)^MAX(0,2028-2027),0)</f>
        <v>16093.75</v>
      </c>
      <c r="AA56" s="4" t="n">
        <f aca="false">IF(Headcount!$D$5&lt;=Timeline!AA5,Headcount!$C$5*Headcount!$E$5/12*(1+burden)*(1+salary_infl)^MAX(0,2028-2027),0)</f>
        <v>16093.75</v>
      </c>
      <c r="AB56" s="4" t="n">
        <f aca="false">IF(Headcount!$D$5&lt;=Timeline!AB5,Headcount!$C$5*Headcount!$E$5/12*(1+burden)*(1+salary_infl)^MAX(0,2028-2027),0)</f>
        <v>16093.75</v>
      </c>
      <c r="AC56" s="4" t="n">
        <f aca="false">Headcount!$C$5*Headcount!$E$5*(1+burden)*(1+salary_infl)^MAX(0,2029-2027)*MAX(0,MIN(12,(2029-YEAR(Headcount!$D$5))*12+13-MONTH(Headcount!$D$5)))/12</f>
        <v>198918.75</v>
      </c>
      <c r="AD56" s="4" t="n">
        <f aca="false">Headcount!$C$5*Headcount!$E$5*(1+burden)*(1+salary_infl)^MAX(0,2030-2027)*MAX(0,MIN(12,(2030-YEAR(Headcount!$D$5))*12+13-MONTH(Headcount!$D$5)))/12</f>
        <v>204886.3125</v>
      </c>
      <c r="AE56" s="4" t="n">
        <f aca="false">Headcount!$C$5*Headcount!$E$5*(1+burden)*(1+salary_infl)^MAX(0,2031-2027)*MAX(0,MIN(12,(2031-YEAR(Headcount!$D$5))*12+13-MONTH(Headcount!$D$5)))/12</f>
        <v>211032.901875</v>
      </c>
      <c r="AG56" s="4" t="n">
        <f aca="false">SUMIF($C$3:$AE$3,AG$3,$C56:$AE56)</f>
        <v>31250</v>
      </c>
      <c r="AH56" s="4" t="n">
        <f aca="false">SUMIF($C$3:$AE$3,AH$3,$C56:$AE56)</f>
        <v>187500</v>
      </c>
      <c r="AI56" s="4" t="n">
        <f aca="false">SUMIF($C$3:$AE$3,AI$3,$C56:$AE56)</f>
        <v>193125</v>
      </c>
      <c r="AJ56" s="4" t="n">
        <f aca="false">SUMIF($C$3:$AE$3,AJ$3,$C56:$AE56)</f>
        <v>198918.75</v>
      </c>
      <c r="AK56" s="4" t="n">
        <f aca="false">SUMIF($C$3:$AE$3,AK$3,$C56:$AE56)</f>
        <v>204886.3125</v>
      </c>
      <c r="AL56" s="4" t="n">
        <f aca="false">SUMIF($C$3:$AE$3,AL$3,$C56:$AE56)</f>
        <v>211032.901875</v>
      </c>
    </row>
    <row r="57" customFormat="false" ht="15" hidden="false" customHeight="false" outlineLevel="0" collapsed="false">
      <c r="A57" s="0" t="str">
        <f aca="false">Headcount!A6</f>
        <v>Founding Eng -- AI / story engine</v>
      </c>
      <c r="B57" s="2" t="str">
        <f aca="false">Headcount!B6</f>
        <v>R&amp;D</v>
      </c>
      <c r="C57" s="4" t="n">
        <f aca="false">IF(Headcount!$D$6&lt;=Timeline!C5,Headcount!$C$6*Headcount!$E$6/12*(1+burden)*(1+salary_infl)^MAX(0,2026-2027),0)</f>
        <v>0</v>
      </c>
      <c r="D57" s="4" t="n">
        <f aca="false">IF(Headcount!$D$6&lt;=Timeline!D5,Headcount!$C$6*Headcount!$E$6/12*(1+burden)*(1+salary_infl)^MAX(0,2026-2027),0)</f>
        <v>16666.6666666667</v>
      </c>
      <c r="E57" s="4" t="n">
        <f aca="false">IF(Headcount!$D$6&lt;=Timeline!E5,Headcount!$C$6*Headcount!$E$6/12*(1+burden)*(1+salary_infl)^MAX(0,2027-2027),0)</f>
        <v>16666.6666666667</v>
      </c>
      <c r="F57" s="4" t="n">
        <f aca="false">IF(Headcount!$D$6&lt;=Timeline!F5,Headcount!$C$6*Headcount!$E$6/12*(1+burden)*(1+salary_infl)^MAX(0,2027-2027),0)</f>
        <v>16666.6666666667</v>
      </c>
      <c r="G57" s="4" t="n">
        <f aca="false">IF(Headcount!$D$6&lt;=Timeline!G5,Headcount!$C$6*Headcount!$E$6/12*(1+burden)*(1+salary_infl)^MAX(0,2027-2027),0)</f>
        <v>16666.6666666667</v>
      </c>
      <c r="H57" s="4" t="n">
        <f aca="false">IF(Headcount!$D$6&lt;=Timeline!H5,Headcount!$C$6*Headcount!$E$6/12*(1+burden)*(1+salary_infl)^MAX(0,2027-2027),0)</f>
        <v>16666.6666666667</v>
      </c>
      <c r="I57" s="4" t="n">
        <f aca="false">IF(Headcount!$D$6&lt;=Timeline!I5,Headcount!$C$6*Headcount!$E$6/12*(1+burden)*(1+salary_infl)^MAX(0,2027-2027),0)</f>
        <v>16666.6666666667</v>
      </c>
      <c r="J57" s="4" t="n">
        <f aca="false">IF(Headcount!$D$6&lt;=Timeline!J5,Headcount!$C$6*Headcount!$E$6/12*(1+burden)*(1+salary_infl)^MAX(0,2027-2027),0)</f>
        <v>16666.6666666667</v>
      </c>
      <c r="K57" s="4" t="n">
        <f aca="false">IF(Headcount!$D$6&lt;=Timeline!K5,Headcount!$C$6*Headcount!$E$6/12*(1+burden)*(1+salary_infl)^MAX(0,2027-2027),0)</f>
        <v>16666.6666666667</v>
      </c>
      <c r="L57" s="4" t="n">
        <f aca="false">IF(Headcount!$D$6&lt;=Timeline!L5,Headcount!$C$6*Headcount!$E$6/12*(1+burden)*(1+salary_infl)^MAX(0,2027-2027),0)</f>
        <v>16666.6666666667</v>
      </c>
      <c r="M57" s="4" t="n">
        <f aca="false">IF(Headcount!$D$6&lt;=Timeline!M5,Headcount!$C$6*Headcount!$E$6/12*(1+burden)*(1+salary_infl)^MAX(0,2027-2027),0)</f>
        <v>16666.6666666667</v>
      </c>
      <c r="N57" s="4" t="n">
        <f aca="false">IF(Headcount!$D$6&lt;=Timeline!N5,Headcount!$C$6*Headcount!$E$6/12*(1+burden)*(1+salary_infl)^MAX(0,2027-2027),0)</f>
        <v>16666.6666666667</v>
      </c>
      <c r="O57" s="4" t="n">
        <f aca="false">IF(Headcount!$D$6&lt;=Timeline!O5,Headcount!$C$6*Headcount!$E$6/12*(1+burden)*(1+salary_infl)^MAX(0,2027-2027),0)</f>
        <v>16666.6666666667</v>
      </c>
      <c r="P57" s="4" t="n">
        <f aca="false">IF(Headcount!$D$6&lt;=Timeline!P5,Headcount!$C$6*Headcount!$E$6/12*(1+burden)*(1+salary_infl)^MAX(0,2027-2027),0)</f>
        <v>16666.6666666667</v>
      </c>
      <c r="Q57" s="4" t="n">
        <f aca="false">IF(Headcount!$D$6&lt;=Timeline!Q5,Headcount!$C$6*Headcount!$E$6/12*(1+burden)*(1+salary_infl)^MAX(0,2028-2027),0)</f>
        <v>17166.6666666667</v>
      </c>
      <c r="R57" s="4" t="n">
        <f aca="false">IF(Headcount!$D$6&lt;=Timeline!R5,Headcount!$C$6*Headcount!$E$6/12*(1+burden)*(1+salary_infl)^MAX(0,2028-2027),0)</f>
        <v>17166.6666666667</v>
      </c>
      <c r="S57" s="4" t="n">
        <f aca="false">IF(Headcount!$D$6&lt;=Timeline!S5,Headcount!$C$6*Headcount!$E$6/12*(1+burden)*(1+salary_infl)^MAX(0,2028-2027),0)</f>
        <v>17166.6666666667</v>
      </c>
      <c r="T57" s="4" t="n">
        <f aca="false">IF(Headcount!$D$6&lt;=Timeline!T5,Headcount!$C$6*Headcount!$E$6/12*(1+burden)*(1+salary_infl)^MAX(0,2028-2027),0)</f>
        <v>17166.6666666667</v>
      </c>
      <c r="U57" s="4" t="n">
        <f aca="false">IF(Headcount!$D$6&lt;=Timeline!U5,Headcount!$C$6*Headcount!$E$6/12*(1+burden)*(1+salary_infl)^MAX(0,2028-2027),0)</f>
        <v>17166.6666666667</v>
      </c>
      <c r="V57" s="4" t="n">
        <f aca="false">IF(Headcount!$D$6&lt;=Timeline!V5,Headcount!$C$6*Headcount!$E$6/12*(1+burden)*(1+salary_infl)^MAX(0,2028-2027),0)</f>
        <v>17166.6666666667</v>
      </c>
      <c r="W57" s="4" t="n">
        <f aca="false">IF(Headcount!$D$6&lt;=Timeline!W5,Headcount!$C$6*Headcount!$E$6/12*(1+burden)*(1+salary_infl)^MAX(0,2028-2027),0)</f>
        <v>17166.6666666667</v>
      </c>
      <c r="X57" s="4" t="n">
        <f aca="false">IF(Headcount!$D$6&lt;=Timeline!X5,Headcount!$C$6*Headcount!$E$6/12*(1+burden)*(1+salary_infl)^MAX(0,2028-2027),0)</f>
        <v>17166.6666666667</v>
      </c>
      <c r="Y57" s="4" t="n">
        <f aca="false">IF(Headcount!$D$6&lt;=Timeline!Y5,Headcount!$C$6*Headcount!$E$6/12*(1+burden)*(1+salary_infl)^MAX(0,2028-2027),0)</f>
        <v>17166.6666666667</v>
      </c>
      <c r="Z57" s="4" t="n">
        <f aca="false">IF(Headcount!$D$6&lt;=Timeline!Z5,Headcount!$C$6*Headcount!$E$6/12*(1+burden)*(1+salary_infl)^MAX(0,2028-2027),0)</f>
        <v>17166.6666666667</v>
      </c>
      <c r="AA57" s="4" t="n">
        <f aca="false">IF(Headcount!$D$6&lt;=Timeline!AA5,Headcount!$C$6*Headcount!$E$6/12*(1+burden)*(1+salary_infl)^MAX(0,2028-2027),0)</f>
        <v>17166.6666666667</v>
      </c>
      <c r="AB57" s="4" t="n">
        <f aca="false">IF(Headcount!$D$6&lt;=Timeline!AB5,Headcount!$C$6*Headcount!$E$6/12*(1+burden)*(1+salary_infl)^MAX(0,2028-2027),0)</f>
        <v>17166.6666666667</v>
      </c>
      <c r="AC57" s="4" t="n">
        <f aca="false">Headcount!$C$6*Headcount!$E$6*(1+burden)*(1+salary_infl)^MAX(0,2029-2027)*MAX(0,MIN(12,(2029-YEAR(Headcount!$D$6))*12+13-MONTH(Headcount!$D$6)))/12</f>
        <v>212180</v>
      </c>
      <c r="AD57" s="4" t="n">
        <f aca="false">Headcount!$C$6*Headcount!$E$6*(1+burden)*(1+salary_infl)^MAX(0,2030-2027)*MAX(0,MIN(12,(2030-YEAR(Headcount!$D$6))*12+13-MONTH(Headcount!$D$6)))/12</f>
        <v>218545.4</v>
      </c>
      <c r="AE57" s="4" t="n">
        <f aca="false">Headcount!$C$6*Headcount!$E$6*(1+burden)*(1+salary_infl)^MAX(0,2031-2027)*MAX(0,MIN(12,(2031-YEAR(Headcount!$D$6))*12+13-MONTH(Headcount!$D$6)))/12</f>
        <v>225101.762</v>
      </c>
      <c r="AG57" s="4" t="n">
        <f aca="false">SUMIF($C$3:$AE$3,AG$3,$C57:$AE57)</f>
        <v>16666.6666666667</v>
      </c>
      <c r="AH57" s="4" t="n">
        <f aca="false">SUMIF($C$3:$AE$3,AH$3,$C57:$AE57)</f>
        <v>200000</v>
      </c>
      <c r="AI57" s="4" t="n">
        <f aca="false">SUMIF($C$3:$AE$3,AI$3,$C57:$AE57)</f>
        <v>206000</v>
      </c>
      <c r="AJ57" s="4" t="n">
        <f aca="false">SUMIF($C$3:$AE$3,AJ$3,$C57:$AE57)</f>
        <v>212180</v>
      </c>
      <c r="AK57" s="4" t="n">
        <f aca="false">SUMIF($C$3:$AE$3,AK$3,$C57:$AE57)</f>
        <v>218545.4</v>
      </c>
      <c r="AL57" s="4" t="n">
        <f aca="false">SUMIF($C$3:$AE$3,AL$3,$C57:$AE57)</f>
        <v>225101.762</v>
      </c>
    </row>
    <row r="58" customFormat="false" ht="15" hidden="false" customHeight="false" outlineLevel="0" collapsed="false">
      <c r="A58" s="0" t="str">
        <f aca="false">Headcount!A7</f>
        <v>Founding Eng -- mobile app / backend</v>
      </c>
      <c r="B58" s="2" t="str">
        <f aca="false">Headcount!B7</f>
        <v>R&amp;D</v>
      </c>
      <c r="C58" s="4" t="n">
        <f aca="false">IF(Headcount!$D$7&lt;=Timeline!C5,Headcount!$C$7*Headcount!$E$7/12*(1+burden)*(1+salary_infl)^MAX(0,2026-2027),0)</f>
        <v>0</v>
      </c>
      <c r="D58" s="4" t="n">
        <f aca="false">IF(Headcount!$D$7&lt;=Timeline!D5,Headcount!$C$7*Headcount!$E$7/12*(1+burden)*(1+salary_infl)^MAX(0,2026-2027),0)</f>
        <v>0</v>
      </c>
      <c r="E58" s="4" t="n">
        <f aca="false">IF(Headcount!$D$7&lt;=Timeline!E5,Headcount!$C$7*Headcount!$E$7/12*(1+burden)*(1+salary_infl)^MAX(0,2027-2027),0)</f>
        <v>14583.3333333333</v>
      </c>
      <c r="F58" s="4" t="n">
        <f aca="false">IF(Headcount!$D$7&lt;=Timeline!F5,Headcount!$C$7*Headcount!$E$7/12*(1+burden)*(1+salary_infl)^MAX(0,2027-2027),0)</f>
        <v>14583.3333333333</v>
      </c>
      <c r="G58" s="4" t="n">
        <f aca="false">IF(Headcount!$D$7&lt;=Timeline!G5,Headcount!$C$7*Headcount!$E$7/12*(1+burden)*(1+salary_infl)^MAX(0,2027-2027),0)</f>
        <v>14583.3333333333</v>
      </c>
      <c r="H58" s="4" t="n">
        <f aca="false">IF(Headcount!$D$7&lt;=Timeline!H5,Headcount!$C$7*Headcount!$E$7/12*(1+burden)*(1+salary_infl)^MAX(0,2027-2027),0)</f>
        <v>14583.3333333333</v>
      </c>
      <c r="I58" s="4" t="n">
        <f aca="false">IF(Headcount!$D$7&lt;=Timeline!I5,Headcount!$C$7*Headcount!$E$7/12*(1+burden)*(1+salary_infl)^MAX(0,2027-2027),0)</f>
        <v>14583.3333333333</v>
      </c>
      <c r="J58" s="4" t="n">
        <f aca="false">IF(Headcount!$D$7&lt;=Timeline!J5,Headcount!$C$7*Headcount!$E$7/12*(1+burden)*(1+salary_infl)^MAX(0,2027-2027),0)</f>
        <v>14583.3333333333</v>
      </c>
      <c r="K58" s="4" t="n">
        <f aca="false">IF(Headcount!$D$7&lt;=Timeline!K5,Headcount!$C$7*Headcount!$E$7/12*(1+burden)*(1+salary_infl)^MAX(0,2027-2027),0)</f>
        <v>14583.3333333333</v>
      </c>
      <c r="L58" s="4" t="n">
        <f aca="false">IF(Headcount!$D$7&lt;=Timeline!L5,Headcount!$C$7*Headcount!$E$7/12*(1+burden)*(1+salary_infl)^MAX(0,2027-2027),0)</f>
        <v>14583.3333333333</v>
      </c>
      <c r="M58" s="4" t="n">
        <f aca="false">IF(Headcount!$D$7&lt;=Timeline!M5,Headcount!$C$7*Headcount!$E$7/12*(1+burden)*(1+salary_infl)^MAX(0,2027-2027),0)</f>
        <v>14583.3333333333</v>
      </c>
      <c r="N58" s="4" t="n">
        <f aca="false">IF(Headcount!$D$7&lt;=Timeline!N5,Headcount!$C$7*Headcount!$E$7/12*(1+burden)*(1+salary_infl)^MAX(0,2027-2027),0)</f>
        <v>14583.3333333333</v>
      </c>
      <c r="O58" s="4" t="n">
        <f aca="false">IF(Headcount!$D$7&lt;=Timeline!O5,Headcount!$C$7*Headcount!$E$7/12*(1+burden)*(1+salary_infl)^MAX(0,2027-2027),0)</f>
        <v>14583.3333333333</v>
      </c>
      <c r="P58" s="4" t="n">
        <f aca="false">IF(Headcount!$D$7&lt;=Timeline!P5,Headcount!$C$7*Headcount!$E$7/12*(1+burden)*(1+salary_infl)^MAX(0,2027-2027),0)</f>
        <v>14583.3333333333</v>
      </c>
      <c r="Q58" s="4" t="n">
        <f aca="false">IF(Headcount!$D$7&lt;=Timeline!Q5,Headcount!$C$7*Headcount!$E$7/12*(1+burden)*(1+salary_infl)^MAX(0,2028-2027),0)</f>
        <v>15020.8333333333</v>
      </c>
      <c r="R58" s="4" t="n">
        <f aca="false">IF(Headcount!$D$7&lt;=Timeline!R5,Headcount!$C$7*Headcount!$E$7/12*(1+burden)*(1+salary_infl)^MAX(0,2028-2027),0)</f>
        <v>15020.8333333333</v>
      </c>
      <c r="S58" s="4" t="n">
        <f aca="false">IF(Headcount!$D$7&lt;=Timeline!S5,Headcount!$C$7*Headcount!$E$7/12*(1+burden)*(1+salary_infl)^MAX(0,2028-2027),0)</f>
        <v>15020.8333333333</v>
      </c>
      <c r="T58" s="4" t="n">
        <f aca="false">IF(Headcount!$D$7&lt;=Timeline!T5,Headcount!$C$7*Headcount!$E$7/12*(1+burden)*(1+salary_infl)^MAX(0,2028-2027),0)</f>
        <v>15020.8333333333</v>
      </c>
      <c r="U58" s="4" t="n">
        <f aca="false">IF(Headcount!$D$7&lt;=Timeline!U5,Headcount!$C$7*Headcount!$E$7/12*(1+burden)*(1+salary_infl)^MAX(0,2028-2027),0)</f>
        <v>15020.8333333333</v>
      </c>
      <c r="V58" s="4" t="n">
        <f aca="false">IF(Headcount!$D$7&lt;=Timeline!V5,Headcount!$C$7*Headcount!$E$7/12*(1+burden)*(1+salary_infl)^MAX(0,2028-2027),0)</f>
        <v>15020.8333333333</v>
      </c>
      <c r="W58" s="4" t="n">
        <f aca="false">IF(Headcount!$D$7&lt;=Timeline!W5,Headcount!$C$7*Headcount!$E$7/12*(1+burden)*(1+salary_infl)^MAX(0,2028-2027),0)</f>
        <v>15020.8333333333</v>
      </c>
      <c r="X58" s="4" t="n">
        <f aca="false">IF(Headcount!$D$7&lt;=Timeline!X5,Headcount!$C$7*Headcount!$E$7/12*(1+burden)*(1+salary_infl)^MAX(0,2028-2027),0)</f>
        <v>15020.8333333333</v>
      </c>
      <c r="Y58" s="4" t="n">
        <f aca="false">IF(Headcount!$D$7&lt;=Timeline!Y5,Headcount!$C$7*Headcount!$E$7/12*(1+burden)*(1+salary_infl)^MAX(0,2028-2027),0)</f>
        <v>15020.8333333333</v>
      </c>
      <c r="Z58" s="4" t="n">
        <f aca="false">IF(Headcount!$D$7&lt;=Timeline!Z5,Headcount!$C$7*Headcount!$E$7/12*(1+burden)*(1+salary_infl)^MAX(0,2028-2027),0)</f>
        <v>15020.8333333333</v>
      </c>
      <c r="AA58" s="4" t="n">
        <f aca="false">IF(Headcount!$D$7&lt;=Timeline!AA5,Headcount!$C$7*Headcount!$E$7/12*(1+burden)*(1+salary_infl)^MAX(0,2028-2027),0)</f>
        <v>15020.8333333333</v>
      </c>
      <c r="AB58" s="4" t="n">
        <f aca="false">IF(Headcount!$D$7&lt;=Timeline!AB5,Headcount!$C$7*Headcount!$E$7/12*(1+burden)*(1+salary_infl)^MAX(0,2028-2027),0)</f>
        <v>15020.8333333333</v>
      </c>
      <c r="AC58" s="4" t="n">
        <f aca="false">Headcount!$C$7*Headcount!$E$7*(1+burden)*(1+salary_infl)^MAX(0,2029-2027)*MAX(0,MIN(12,(2029-YEAR(Headcount!$D$7))*12+13-MONTH(Headcount!$D$7)))/12</f>
        <v>185657.5</v>
      </c>
      <c r="AD58" s="4" t="n">
        <f aca="false">Headcount!$C$7*Headcount!$E$7*(1+burden)*(1+salary_infl)^MAX(0,2030-2027)*MAX(0,MIN(12,(2030-YEAR(Headcount!$D$7))*12+13-MONTH(Headcount!$D$7)))/12</f>
        <v>191227.225</v>
      </c>
      <c r="AE58" s="4" t="n">
        <f aca="false">Headcount!$C$7*Headcount!$E$7*(1+burden)*(1+salary_infl)^MAX(0,2031-2027)*MAX(0,MIN(12,(2031-YEAR(Headcount!$D$7))*12+13-MONTH(Headcount!$D$7)))/12</f>
        <v>196964.04175</v>
      </c>
      <c r="AG58" s="4" t="n">
        <f aca="false">SUMIF($C$3:$AE$3,AG$3,$C58:$AE58)</f>
        <v>0</v>
      </c>
      <c r="AH58" s="4" t="n">
        <f aca="false">SUMIF($C$3:$AE$3,AH$3,$C58:$AE58)</f>
        <v>175000</v>
      </c>
      <c r="AI58" s="4" t="n">
        <f aca="false">SUMIF($C$3:$AE$3,AI$3,$C58:$AE58)</f>
        <v>180250</v>
      </c>
      <c r="AJ58" s="4" t="n">
        <f aca="false">SUMIF($C$3:$AE$3,AJ$3,$C58:$AE58)</f>
        <v>185657.5</v>
      </c>
      <c r="AK58" s="4" t="n">
        <f aca="false">SUMIF($C$3:$AE$3,AK$3,$C58:$AE58)</f>
        <v>191227.225</v>
      </c>
      <c r="AL58" s="4" t="n">
        <f aca="false">SUMIF($C$3:$AE$3,AL$3,$C58:$AE58)</f>
        <v>196964.04175</v>
      </c>
    </row>
    <row r="59" customFormat="false" ht="15" hidden="false" customHeight="false" outlineLevel="0" collapsed="false">
      <c r="A59" s="0" t="str">
        <f aca="false">Headcount!A8</f>
        <v>Hardware lead (systems/EE, ODM mgmt)</v>
      </c>
      <c r="B59" s="2" t="str">
        <f aca="false">Headcount!B8</f>
        <v>R&amp;D</v>
      </c>
      <c r="C59" s="4" t="n">
        <f aca="false">IF(Headcount!$D$8&lt;=Timeline!C5,Headcount!$C$8*Headcount!$E$8/12*(1+burden)*(1+salary_infl)^MAX(0,2026-2027),0)</f>
        <v>0</v>
      </c>
      <c r="D59" s="4" t="n">
        <f aca="false">IF(Headcount!$D$8&lt;=Timeline!D5,Headcount!$C$8*Headcount!$E$8/12*(1+burden)*(1+salary_infl)^MAX(0,2026-2027),0)</f>
        <v>0</v>
      </c>
      <c r="E59" s="4" t="n">
        <f aca="false">IF(Headcount!$D$8&lt;=Timeline!E5,Headcount!$C$8*Headcount!$E$8/12*(1+burden)*(1+salary_infl)^MAX(0,2027-2027),0)</f>
        <v>17187.5</v>
      </c>
      <c r="F59" s="4" t="n">
        <f aca="false">IF(Headcount!$D$8&lt;=Timeline!F5,Headcount!$C$8*Headcount!$E$8/12*(1+burden)*(1+salary_infl)^MAX(0,2027-2027),0)</f>
        <v>17187.5</v>
      </c>
      <c r="G59" s="4" t="n">
        <f aca="false">IF(Headcount!$D$8&lt;=Timeline!G5,Headcount!$C$8*Headcount!$E$8/12*(1+burden)*(1+salary_infl)^MAX(0,2027-2027),0)</f>
        <v>17187.5</v>
      </c>
      <c r="H59" s="4" t="n">
        <f aca="false">IF(Headcount!$D$8&lt;=Timeline!H5,Headcount!$C$8*Headcount!$E$8/12*(1+burden)*(1+salary_infl)^MAX(0,2027-2027),0)</f>
        <v>17187.5</v>
      </c>
      <c r="I59" s="4" t="n">
        <f aca="false">IF(Headcount!$D$8&lt;=Timeline!I5,Headcount!$C$8*Headcount!$E$8/12*(1+burden)*(1+salary_infl)^MAX(0,2027-2027),0)</f>
        <v>17187.5</v>
      </c>
      <c r="J59" s="4" t="n">
        <f aca="false">IF(Headcount!$D$8&lt;=Timeline!J5,Headcount!$C$8*Headcount!$E$8/12*(1+burden)*(1+salary_infl)^MAX(0,2027-2027),0)</f>
        <v>17187.5</v>
      </c>
      <c r="K59" s="4" t="n">
        <f aca="false">IF(Headcount!$D$8&lt;=Timeline!K5,Headcount!$C$8*Headcount!$E$8/12*(1+burden)*(1+salary_infl)^MAX(0,2027-2027),0)</f>
        <v>17187.5</v>
      </c>
      <c r="L59" s="4" t="n">
        <f aca="false">IF(Headcount!$D$8&lt;=Timeline!L5,Headcount!$C$8*Headcount!$E$8/12*(1+burden)*(1+salary_infl)^MAX(0,2027-2027),0)</f>
        <v>17187.5</v>
      </c>
      <c r="M59" s="4" t="n">
        <f aca="false">IF(Headcount!$D$8&lt;=Timeline!M5,Headcount!$C$8*Headcount!$E$8/12*(1+burden)*(1+salary_infl)^MAX(0,2027-2027),0)</f>
        <v>17187.5</v>
      </c>
      <c r="N59" s="4" t="n">
        <f aca="false">IF(Headcount!$D$8&lt;=Timeline!N5,Headcount!$C$8*Headcount!$E$8/12*(1+burden)*(1+salary_infl)^MAX(0,2027-2027),0)</f>
        <v>17187.5</v>
      </c>
      <c r="O59" s="4" t="n">
        <f aca="false">IF(Headcount!$D$8&lt;=Timeline!O5,Headcount!$C$8*Headcount!$E$8/12*(1+burden)*(1+salary_infl)^MAX(0,2027-2027),0)</f>
        <v>17187.5</v>
      </c>
      <c r="P59" s="4" t="n">
        <f aca="false">IF(Headcount!$D$8&lt;=Timeline!P5,Headcount!$C$8*Headcount!$E$8/12*(1+burden)*(1+salary_infl)^MAX(0,2027-2027),0)</f>
        <v>17187.5</v>
      </c>
      <c r="Q59" s="4" t="n">
        <f aca="false">IF(Headcount!$D$8&lt;=Timeline!Q5,Headcount!$C$8*Headcount!$E$8/12*(1+burden)*(1+salary_infl)^MAX(0,2028-2027),0)</f>
        <v>17703.125</v>
      </c>
      <c r="R59" s="4" t="n">
        <f aca="false">IF(Headcount!$D$8&lt;=Timeline!R5,Headcount!$C$8*Headcount!$E$8/12*(1+burden)*(1+salary_infl)^MAX(0,2028-2027),0)</f>
        <v>17703.125</v>
      </c>
      <c r="S59" s="4" t="n">
        <f aca="false">IF(Headcount!$D$8&lt;=Timeline!S5,Headcount!$C$8*Headcount!$E$8/12*(1+burden)*(1+salary_infl)^MAX(0,2028-2027),0)</f>
        <v>17703.125</v>
      </c>
      <c r="T59" s="4" t="n">
        <f aca="false">IF(Headcount!$D$8&lt;=Timeline!T5,Headcount!$C$8*Headcount!$E$8/12*(1+burden)*(1+salary_infl)^MAX(0,2028-2027),0)</f>
        <v>17703.125</v>
      </c>
      <c r="U59" s="4" t="n">
        <f aca="false">IF(Headcount!$D$8&lt;=Timeline!U5,Headcount!$C$8*Headcount!$E$8/12*(1+burden)*(1+salary_infl)^MAX(0,2028-2027),0)</f>
        <v>17703.125</v>
      </c>
      <c r="V59" s="4" t="n">
        <f aca="false">IF(Headcount!$D$8&lt;=Timeline!V5,Headcount!$C$8*Headcount!$E$8/12*(1+burden)*(1+salary_infl)^MAX(0,2028-2027),0)</f>
        <v>17703.125</v>
      </c>
      <c r="W59" s="4" t="n">
        <f aca="false">IF(Headcount!$D$8&lt;=Timeline!W5,Headcount!$C$8*Headcount!$E$8/12*(1+burden)*(1+salary_infl)^MAX(0,2028-2027),0)</f>
        <v>17703.125</v>
      </c>
      <c r="X59" s="4" t="n">
        <f aca="false">IF(Headcount!$D$8&lt;=Timeline!X5,Headcount!$C$8*Headcount!$E$8/12*(1+burden)*(1+salary_infl)^MAX(0,2028-2027),0)</f>
        <v>17703.125</v>
      </c>
      <c r="Y59" s="4" t="n">
        <f aca="false">IF(Headcount!$D$8&lt;=Timeline!Y5,Headcount!$C$8*Headcount!$E$8/12*(1+burden)*(1+salary_infl)^MAX(0,2028-2027),0)</f>
        <v>17703.125</v>
      </c>
      <c r="Z59" s="4" t="n">
        <f aca="false">IF(Headcount!$D$8&lt;=Timeline!Z5,Headcount!$C$8*Headcount!$E$8/12*(1+burden)*(1+salary_infl)^MAX(0,2028-2027),0)</f>
        <v>17703.125</v>
      </c>
      <c r="AA59" s="4" t="n">
        <f aca="false">IF(Headcount!$D$8&lt;=Timeline!AA5,Headcount!$C$8*Headcount!$E$8/12*(1+burden)*(1+salary_infl)^MAX(0,2028-2027),0)</f>
        <v>17703.125</v>
      </c>
      <c r="AB59" s="4" t="n">
        <f aca="false">IF(Headcount!$D$8&lt;=Timeline!AB5,Headcount!$C$8*Headcount!$E$8/12*(1+burden)*(1+salary_infl)^MAX(0,2028-2027),0)</f>
        <v>17703.125</v>
      </c>
      <c r="AC59" s="4" t="n">
        <f aca="false">Headcount!$C$8*Headcount!$E$8*(1+burden)*(1+salary_infl)^MAX(0,2029-2027)*MAX(0,MIN(12,(2029-YEAR(Headcount!$D$8))*12+13-MONTH(Headcount!$D$8)))/12</f>
        <v>218810.625</v>
      </c>
      <c r="AD59" s="4" t="n">
        <f aca="false">Headcount!$C$8*Headcount!$E$8*(1+burden)*(1+salary_infl)^MAX(0,2030-2027)*MAX(0,MIN(12,(2030-YEAR(Headcount!$D$8))*12+13-MONTH(Headcount!$D$8)))/12</f>
        <v>225374.94375</v>
      </c>
      <c r="AE59" s="4" t="n">
        <f aca="false">Headcount!$C$8*Headcount!$E$8*(1+burden)*(1+salary_infl)^MAX(0,2031-2027)*MAX(0,MIN(12,(2031-YEAR(Headcount!$D$8))*12+13-MONTH(Headcount!$D$8)))/12</f>
        <v>232136.1920625</v>
      </c>
      <c r="AG59" s="4" t="n">
        <f aca="false">SUMIF($C$3:$AE$3,AG$3,$C59:$AE59)</f>
        <v>0</v>
      </c>
      <c r="AH59" s="4" t="n">
        <f aca="false">SUMIF($C$3:$AE$3,AH$3,$C59:$AE59)</f>
        <v>206250</v>
      </c>
      <c r="AI59" s="4" t="n">
        <f aca="false">SUMIF($C$3:$AE$3,AI$3,$C59:$AE59)</f>
        <v>212437.5</v>
      </c>
      <c r="AJ59" s="4" t="n">
        <f aca="false">SUMIF($C$3:$AE$3,AJ$3,$C59:$AE59)</f>
        <v>218810.625</v>
      </c>
      <c r="AK59" s="4" t="n">
        <f aca="false">SUMIF($C$3:$AE$3,AK$3,$C59:$AE59)</f>
        <v>225374.94375</v>
      </c>
      <c r="AL59" s="4" t="n">
        <f aca="false">SUMIF($C$3:$AE$3,AL$3,$C59:$AE59)</f>
        <v>232136.1920625</v>
      </c>
    </row>
    <row r="60" customFormat="false" ht="15" hidden="false" customHeight="false" outlineLevel="0" collapsed="false">
      <c r="A60" s="0" t="str">
        <f aca="false">Headcount!A9</f>
        <v>Community &amp; Kickstarter lead</v>
      </c>
      <c r="B60" s="2" t="str">
        <f aca="false">Headcount!B9</f>
        <v>S&amp;M</v>
      </c>
      <c r="C60" s="4" t="n">
        <f aca="false">IF(Headcount!$D$9&lt;=Timeline!C5,Headcount!$C$9*Headcount!$E$9/12*(1+burden)*(1+salary_infl)^MAX(0,2026-2027),0)</f>
        <v>0</v>
      </c>
      <c r="D60" s="4" t="n">
        <f aca="false">IF(Headcount!$D$9&lt;=Timeline!D5,Headcount!$C$9*Headcount!$E$9/12*(1+burden)*(1+salary_infl)^MAX(0,2026-2027),0)</f>
        <v>0</v>
      </c>
      <c r="E60" s="4" t="n">
        <f aca="false">IF(Headcount!$D$9&lt;=Timeline!E5,Headcount!$C$9*Headcount!$E$9/12*(1+burden)*(1+salary_infl)^MAX(0,2027-2027),0)</f>
        <v>0</v>
      </c>
      <c r="F60" s="4" t="n">
        <f aca="false">IF(Headcount!$D$9&lt;=Timeline!F5,Headcount!$C$9*Headcount!$E$9/12*(1+burden)*(1+salary_infl)^MAX(0,2027-2027),0)</f>
        <v>9895.83333333333</v>
      </c>
      <c r="G60" s="4" t="n">
        <f aca="false">IF(Headcount!$D$9&lt;=Timeline!G5,Headcount!$C$9*Headcount!$E$9/12*(1+burden)*(1+salary_infl)^MAX(0,2027-2027),0)</f>
        <v>9895.83333333333</v>
      </c>
      <c r="H60" s="4" t="n">
        <f aca="false">IF(Headcount!$D$9&lt;=Timeline!H5,Headcount!$C$9*Headcount!$E$9/12*(1+burden)*(1+salary_infl)^MAX(0,2027-2027),0)</f>
        <v>9895.83333333333</v>
      </c>
      <c r="I60" s="4" t="n">
        <f aca="false">IF(Headcount!$D$9&lt;=Timeline!I5,Headcount!$C$9*Headcount!$E$9/12*(1+burden)*(1+salary_infl)^MAX(0,2027-2027),0)</f>
        <v>9895.83333333333</v>
      </c>
      <c r="J60" s="4" t="n">
        <f aca="false">IF(Headcount!$D$9&lt;=Timeline!J5,Headcount!$C$9*Headcount!$E$9/12*(1+burden)*(1+salary_infl)^MAX(0,2027-2027),0)</f>
        <v>9895.83333333333</v>
      </c>
      <c r="K60" s="4" t="n">
        <f aca="false">IF(Headcount!$D$9&lt;=Timeline!K5,Headcount!$C$9*Headcount!$E$9/12*(1+burden)*(1+salary_infl)^MAX(0,2027-2027),0)</f>
        <v>9895.83333333333</v>
      </c>
      <c r="L60" s="4" t="n">
        <f aca="false">IF(Headcount!$D$9&lt;=Timeline!L5,Headcount!$C$9*Headcount!$E$9/12*(1+burden)*(1+salary_infl)^MAX(0,2027-2027),0)</f>
        <v>9895.83333333333</v>
      </c>
      <c r="M60" s="4" t="n">
        <f aca="false">IF(Headcount!$D$9&lt;=Timeline!M5,Headcount!$C$9*Headcount!$E$9/12*(1+burden)*(1+salary_infl)^MAX(0,2027-2027),0)</f>
        <v>9895.83333333333</v>
      </c>
      <c r="N60" s="4" t="n">
        <f aca="false">IF(Headcount!$D$9&lt;=Timeline!N5,Headcount!$C$9*Headcount!$E$9/12*(1+burden)*(1+salary_infl)^MAX(0,2027-2027),0)</f>
        <v>9895.83333333333</v>
      </c>
      <c r="O60" s="4" t="n">
        <f aca="false">IF(Headcount!$D$9&lt;=Timeline!O5,Headcount!$C$9*Headcount!$E$9/12*(1+burden)*(1+salary_infl)^MAX(0,2027-2027),0)</f>
        <v>9895.83333333333</v>
      </c>
      <c r="P60" s="4" t="n">
        <f aca="false">IF(Headcount!$D$9&lt;=Timeline!P5,Headcount!$C$9*Headcount!$E$9/12*(1+burden)*(1+salary_infl)^MAX(0,2027-2027),0)</f>
        <v>9895.83333333333</v>
      </c>
      <c r="Q60" s="4" t="n">
        <f aca="false">IF(Headcount!$D$9&lt;=Timeline!Q5,Headcount!$C$9*Headcount!$E$9/12*(1+burden)*(1+salary_infl)^MAX(0,2028-2027),0)</f>
        <v>10192.7083333333</v>
      </c>
      <c r="R60" s="4" t="n">
        <f aca="false">IF(Headcount!$D$9&lt;=Timeline!R5,Headcount!$C$9*Headcount!$E$9/12*(1+burden)*(1+salary_infl)^MAX(0,2028-2027),0)</f>
        <v>10192.7083333333</v>
      </c>
      <c r="S60" s="4" t="n">
        <f aca="false">IF(Headcount!$D$9&lt;=Timeline!S5,Headcount!$C$9*Headcount!$E$9/12*(1+burden)*(1+salary_infl)^MAX(0,2028-2027),0)</f>
        <v>10192.7083333333</v>
      </c>
      <c r="T60" s="4" t="n">
        <f aca="false">IF(Headcount!$D$9&lt;=Timeline!T5,Headcount!$C$9*Headcount!$E$9/12*(1+burden)*(1+salary_infl)^MAX(0,2028-2027),0)</f>
        <v>10192.7083333333</v>
      </c>
      <c r="U60" s="4" t="n">
        <f aca="false">IF(Headcount!$D$9&lt;=Timeline!U5,Headcount!$C$9*Headcount!$E$9/12*(1+burden)*(1+salary_infl)^MAX(0,2028-2027),0)</f>
        <v>10192.7083333333</v>
      </c>
      <c r="V60" s="4" t="n">
        <f aca="false">IF(Headcount!$D$9&lt;=Timeline!V5,Headcount!$C$9*Headcount!$E$9/12*(1+burden)*(1+salary_infl)^MAX(0,2028-2027),0)</f>
        <v>10192.7083333333</v>
      </c>
      <c r="W60" s="4" t="n">
        <f aca="false">IF(Headcount!$D$9&lt;=Timeline!W5,Headcount!$C$9*Headcount!$E$9/12*(1+burden)*(1+salary_infl)^MAX(0,2028-2027),0)</f>
        <v>10192.7083333333</v>
      </c>
      <c r="X60" s="4" t="n">
        <f aca="false">IF(Headcount!$D$9&lt;=Timeline!X5,Headcount!$C$9*Headcount!$E$9/12*(1+burden)*(1+salary_infl)^MAX(0,2028-2027),0)</f>
        <v>10192.7083333333</v>
      </c>
      <c r="Y60" s="4" t="n">
        <f aca="false">IF(Headcount!$D$9&lt;=Timeline!Y5,Headcount!$C$9*Headcount!$E$9/12*(1+burden)*(1+salary_infl)^MAX(0,2028-2027),0)</f>
        <v>10192.7083333333</v>
      </c>
      <c r="Z60" s="4" t="n">
        <f aca="false">IF(Headcount!$D$9&lt;=Timeline!Z5,Headcount!$C$9*Headcount!$E$9/12*(1+burden)*(1+salary_infl)^MAX(0,2028-2027),0)</f>
        <v>10192.7083333333</v>
      </c>
      <c r="AA60" s="4" t="n">
        <f aca="false">IF(Headcount!$D$9&lt;=Timeline!AA5,Headcount!$C$9*Headcount!$E$9/12*(1+burden)*(1+salary_infl)^MAX(0,2028-2027),0)</f>
        <v>10192.7083333333</v>
      </c>
      <c r="AB60" s="4" t="n">
        <f aca="false">IF(Headcount!$D$9&lt;=Timeline!AB5,Headcount!$C$9*Headcount!$E$9/12*(1+burden)*(1+salary_infl)^MAX(0,2028-2027),0)</f>
        <v>10192.7083333333</v>
      </c>
      <c r="AC60" s="4" t="n">
        <f aca="false">Headcount!$C$9*Headcount!$E$9*(1+burden)*(1+salary_infl)^MAX(0,2029-2027)*MAX(0,MIN(12,(2029-YEAR(Headcount!$D$9))*12+13-MONTH(Headcount!$D$9)))/12</f>
        <v>125981.875</v>
      </c>
      <c r="AD60" s="4" t="n">
        <f aca="false">Headcount!$C$9*Headcount!$E$9*(1+burden)*(1+salary_infl)^MAX(0,2030-2027)*MAX(0,MIN(12,(2030-YEAR(Headcount!$D$9))*12+13-MONTH(Headcount!$D$9)))/12</f>
        <v>129761.33125</v>
      </c>
      <c r="AE60" s="4" t="n">
        <f aca="false">Headcount!$C$9*Headcount!$E$9*(1+burden)*(1+salary_infl)^MAX(0,2031-2027)*MAX(0,MIN(12,(2031-YEAR(Headcount!$D$9))*12+13-MONTH(Headcount!$D$9)))/12</f>
        <v>133654.1711875</v>
      </c>
      <c r="AG60" s="4" t="n">
        <f aca="false">SUMIF($C$3:$AE$3,AG$3,$C60:$AE60)</f>
        <v>0</v>
      </c>
      <c r="AH60" s="4" t="n">
        <f aca="false">SUMIF($C$3:$AE$3,AH$3,$C60:$AE60)</f>
        <v>108854.166666667</v>
      </c>
      <c r="AI60" s="4" t="n">
        <f aca="false">SUMIF($C$3:$AE$3,AI$3,$C60:$AE60)</f>
        <v>122312.5</v>
      </c>
      <c r="AJ60" s="4" t="n">
        <f aca="false">SUMIF($C$3:$AE$3,AJ$3,$C60:$AE60)</f>
        <v>125981.875</v>
      </c>
      <c r="AK60" s="4" t="n">
        <f aca="false">SUMIF($C$3:$AE$3,AK$3,$C60:$AE60)</f>
        <v>129761.33125</v>
      </c>
      <c r="AL60" s="4" t="n">
        <f aca="false">SUMIF($C$3:$AE$3,AL$3,$C60:$AE60)</f>
        <v>133654.1711875</v>
      </c>
    </row>
    <row r="61" customFormat="false" ht="15" hidden="false" customHeight="false" outlineLevel="0" collapsed="false">
      <c r="A61" s="0" t="str">
        <f aca="false">Headcount!A10</f>
        <v>Content editor / historian (City Packs)</v>
      </c>
      <c r="B61" s="2" t="str">
        <f aca="false">Headcount!B10</f>
        <v>R&amp;D</v>
      </c>
      <c r="C61" s="4" t="n">
        <f aca="false">IF(Headcount!$D$10&lt;=Timeline!C5,Headcount!$C$10*Headcount!$E$10/12*(1+burden)*(1+salary_infl)^MAX(0,2026-2027),0)</f>
        <v>0</v>
      </c>
      <c r="D61" s="4" t="n">
        <f aca="false">IF(Headcount!$D$10&lt;=Timeline!D5,Headcount!$C$10*Headcount!$E$10/12*(1+burden)*(1+salary_infl)^MAX(0,2026-2027),0)</f>
        <v>0</v>
      </c>
      <c r="E61" s="4" t="n">
        <f aca="false">IF(Headcount!$D$10&lt;=Timeline!E5,Headcount!$C$10*Headcount!$E$10/12*(1+burden)*(1+salary_infl)^MAX(0,2027-2027),0)</f>
        <v>0</v>
      </c>
      <c r="F61" s="4" t="n">
        <f aca="false">IF(Headcount!$D$10&lt;=Timeline!F5,Headcount!$C$10*Headcount!$E$10/12*(1+burden)*(1+salary_infl)^MAX(0,2027-2027),0)</f>
        <v>0</v>
      </c>
      <c r="G61" s="4" t="n">
        <f aca="false">IF(Headcount!$D$10&lt;=Timeline!G5,Headcount!$C$10*Headcount!$E$10/12*(1+burden)*(1+salary_infl)^MAX(0,2027-2027),0)</f>
        <v>7812.5</v>
      </c>
      <c r="H61" s="4" t="n">
        <f aca="false">IF(Headcount!$D$10&lt;=Timeline!H5,Headcount!$C$10*Headcount!$E$10/12*(1+burden)*(1+salary_infl)^MAX(0,2027-2027),0)</f>
        <v>7812.5</v>
      </c>
      <c r="I61" s="4" t="n">
        <f aca="false">IF(Headcount!$D$10&lt;=Timeline!I5,Headcount!$C$10*Headcount!$E$10/12*(1+burden)*(1+salary_infl)^MAX(0,2027-2027),0)</f>
        <v>7812.5</v>
      </c>
      <c r="J61" s="4" t="n">
        <f aca="false">IF(Headcount!$D$10&lt;=Timeline!J5,Headcount!$C$10*Headcount!$E$10/12*(1+burden)*(1+salary_infl)^MAX(0,2027-2027),0)</f>
        <v>7812.5</v>
      </c>
      <c r="K61" s="4" t="n">
        <f aca="false">IF(Headcount!$D$10&lt;=Timeline!K5,Headcount!$C$10*Headcount!$E$10/12*(1+burden)*(1+salary_infl)^MAX(0,2027-2027),0)</f>
        <v>7812.5</v>
      </c>
      <c r="L61" s="4" t="n">
        <f aca="false">IF(Headcount!$D$10&lt;=Timeline!L5,Headcount!$C$10*Headcount!$E$10/12*(1+burden)*(1+salary_infl)^MAX(0,2027-2027),0)</f>
        <v>7812.5</v>
      </c>
      <c r="M61" s="4" t="n">
        <f aca="false">IF(Headcount!$D$10&lt;=Timeline!M5,Headcount!$C$10*Headcount!$E$10/12*(1+burden)*(1+salary_infl)^MAX(0,2027-2027),0)</f>
        <v>7812.5</v>
      </c>
      <c r="N61" s="4" t="n">
        <f aca="false">IF(Headcount!$D$10&lt;=Timeline!N5,Headcount!$C$10*Headcount!$E$10/12*(1+burden)*(1+salary_infl)^MAX(0,2027-2027),0)</f>
        <v>7812.5</v>
      </c>
      <c r="O61" s="4" t="n">
        <f aca="false">IF(Headcount!$D$10&lt;=Timeline!O5,Headcount!$C$10*Headcount!$E$10/12*(1+burden)*(1+salary_infl)^MAX(0,2027-2027),0)</f>
        <v>7812.5</v>
      </c>
      <c r="P61" s="4" t="n">
        <f aca="false">IF(Headcount!$D$10&lt;=Timeline!P5,Headcount!$C$10*Headcount!$E$10/12*(1+burden)*(1+salary_infl)^MAX(0,2027-2027),0)</f>
        <v>7812.5</v>
      </c>
      <c r="Q61" s="4" t="n">
        <f aca="false">IF(Headcount!$D$10&lt;=Timeline!Q5,Headcount!$C$10*Headcount!$E$10/12*(1+burden)*(1+salary_infl)^MAX(0,2028-2027),0)</f>
        <v>8046.875</v>
      </c>
      <c r="R61" s="4" t="n">
        <f aca="false">IF(Headcount!$D$10&lt;=Timeline!R5,Headcount!$C$10*Headcount!$E$10/12*(1+burden)*(1+salary_infl)^MAX(0,2028-2027),0)</f>
        <v>8046.875</v>
      </c>
      <c r="S61" s="4" t="n">
        <f aca="false">IF(Headcount!$D$10&lt;=Timeline!S5,Headcount!$C$10*Headcount!$E$10/12*(1+burden)*(1+salary_infl)^MAX(0,2028-2027),0)</f>
        <v>8046.875</v>
      </c>
      <c r="T61" s="4" t="n">
        <f aca="false">IF(Headcount!$D$10&lt;=Timeline!T5,Headcount!$C$10*Headcount!$E$10/12*(1+burden)*(1+salary_infl)^MAX(0,2028-2027),0)</f>
        <v>8046.875</v>
      </c>
      <c r="U61" s="4" t="n">
        <f aca="false">IF(Headcount!$D$10&lt;=Timeline!U5,Headcount!$C$10*Headcount!$E$10/12*(1+burden)*(1+salary_infl)^MAX(0,2028-2027),0)</f>
        <v>8046.875</v>
      </c>
      <c r="V61" s="4" t="n">
        <f aca="false">IF(Headcount!$D$10&lt;=Timeline!V5,Headcount!$C$10*Headcount!$E$10/12*(1+burden)*(1+salary_infl)^MAX(0,2028-2027),0)</f>
        <v>8046.875</v>
      </c>
      <c r="W61" s="4" t="n">
        <f aca="false">IF(Headcount!$D$10&lt;=Timeline!W5,Headcount!$C$10*Headcount!$E$10/12*(1+burden)*(1+salary_infl)^MAX(0,2028-2027),0)</f>
        <v>8046.875</v>
      </c>
      <c r="X61" s="4" t="n">
        <f aca="false">IF(Headcount!$D$10&lt;=Timeline!X5,Headcount!$C$10*Headcount!$E$10/12*(1+burden)*(1+salary_infl)^MAX(0,2028-2027),0)</f>
        <v>8046.875</v>
      </c>
      <c r="Y61" s="4" t="n">
        <f aca="false">IF(Headcount!$D$10&lt;=Timeline!Y5,Headcount!$C$10*Headcount!$E$10/12*(1+burden)*(1+salary_infl)^MAX(0,2028-2027),0)</f>
        <v>8046.875</v>
      </c>
      <c r="Z61" s="4" t="n">
        <f aca="false">IF(Headcount!$D$10&lt;=Timeline!Z5,Headcount!$C$10*Headcount!$E$10/12*(1+burden)*(1+salary_infl)^MAX(0,2028-2027),0)</f>
        <v>8046.875</v>
      </c>
      <c r="AA61" s="4" t="n">
        <f aca="false">IF(Headcount!$D$10&lt;=Timeline!AA5,Headcount!$C$10*Headcount!$E$10/12*(1+burden)*(1+salary_infl)^MAX(0,2028-2027),0)</f>
        <v>8046.875</v>
      </c>
      <c r="AB61" s="4" t="n">
        <f aca="false">IF(Headcount!$D$10&lt;=Timeline!AB5,Headcount!$C$10*Headcount!$E$10/12*(1+burden)*(1+salary_infl)^MAX(0,2028-2027),0)</f>
        <v>8046.875</v>
      </c>
      <c r="AC61" s="4" t="n">
        <f aca="false">Headcount!$C$10*Headcount!$E$10*(1+burden)*(1+salary_infl)^MAX(0,2029-2027)*MAX(0,MIN(12,(2029-YEAR(Headcount!$D$10))*12+13-MONTH(Headcount!$D$10)))/12</f>
        <v>99459.375</v>
      </c>
      <c r="AD61" s="4" t="n">
        <f aca="false">Headcount!$C$10*Headcount!$E$10*(1+burden)*(1+salary_infl)^MAX(0,2030-2027)*MAX(0,MIN(12,(2030-YEAR(Headcount!$D$10))*12+13-MONTH(Headcount!$D$10)))/12</f>
        <v>102443.15625</v>
      </c>
      <c r="AE61" s="4" t="n">
        <f aca="false">Headcount!$C$10*Headcount!$E$10*(1+burden)*(1+salary_infl)^MAX(0,2031-2027)*MAX(0,MIN(12,(2031-YEAR(Headcount!$D$10))*12+13-MONTH(Headcount!$D$10)))/12</f>
        <v>105516.4509375</v>
      </c>
      <c r="AG61" s="4" t="n">
        <f aca="false">SUMIF($C$3:$AE$3,AG$3,$C61:$AE61)</f>
        <v>0</v>
      </c>
      <c r="AH61" s="4" t="n">
        <f aca="false">SUMIF($C$3:$AE$3,AH$3,$C61:$AE61)</f>
        <v>78125</v>
      </c>
      <c r="AI61" s="4" t="n">
        <f aca="false">SUMIF($C$3:$AE$3,AI$3,$C61:$AE61)</f>
        <v>96562.5</v>
      </c>
      <c r="AJ61" s="4" t="n">
        <f aca="false">SUMIF($C$3:$AE$3,AJ$3,$C61:$AE61)</f>
        <v>99459.375</v>
      </c>
      <c r="AK61" s="4" t="n">
        <f aca="false">SUMIF($C$3:$AE$3,AK$3,$C61:$AE61)</f>
        <v>102443.15625</v>
      </c>
      <c r="AL61" s="4" t="n">
        <f aca="false">SUMIF($C$3:$AE$3,AL$3,$C61:$AE61)</f>
        <v>105516.4509375</v>
      </c>
    </row>
    <row r="62" customFormat="false" ht="15" hidden="false" customHeight="false" outlineLevel="0" collapsed="false">
      <c r="A62" s="0" t="str">
        <f aca="false">Headcount!A11</f>
        <v>Head of operations &amp; supply chain</v>
      </c>
      <c r="B62" s="2" t="str">
        <f aca="false">Headcount!B11</f>
        <v>Ops &amp; CS</v>
      </c>
      <c r="C62" s="4" t="n">
        <f aca="false">IF(Headcount!$D$11&lt;=Timeline!C5,Headcount!$C$11*Headcount!$E$11/12*(1+burden)*(1+salary_infl)^MAX(0,2026-2027),0)</f>
        <v>0</v>
      </c>
      <c r="D62" s="4" t="n">
        <f aca="false">IF(Headcount!$D$11&lt;=Timeline!D5,Headcount!$C$11*Headcount!$E$11/12*(1+burden)*(1+salary_infl)^MAX(0,2026-2027),0)</f>
        <v>0</v>
      </c>
      <c r="E62" s="4" t="n">
        <f aca="false">IF(Headcount!$D$11&lt;=Timeline!E5,Headcount!$C$11*Headcount!$E$11/12*(1+burden)*(1+salary_infl)^MAX(0,2027-2027),0)</f>
        <v>0</v>
      </c>
      <c r="F62" s="4" t="n">
        <f aca="false">IF(Headcount!$D$11&lt;=Timeline!F5,Headcount!$C$11*Headcount!$E$11/12*(1+burden)*(1+salary_infl)^MAX(0,2027-2027),0)</f>
        <v>0</v>
      </c>
      <c r="G62" s="4" t="n">
        <f aca="false">IF(Headcount!$D$11&lt;=Timeline!G5,Headcount!$C$11*Headcount!$E$11/12*(1+burden)*(1+salary_infl)^MAX(0,2027-2027),0)</f>
        <v>0</v>
      </c>
      <c r="H62" s="4" t="n">
        <f aca="false">IF(Headcount!$D$11&lt;=Timeline!H5,Headcount!$C$11*Headcount!$E$11/12*(1+burden)*(1+salary_infl)^MAX(0,2027-2027),0)</f>
        <v>0</v>
      </c>
      <c r="I62" s="4" t="n">
        <f aca="false">IF(Headcount!$D$11&lt;=Timeline!I5,Headcount!$C$11*Headcount!$E$11/12*(1+burden)*(1+salary_infl)^MAX(0,2027-2027),0)</f>
        <v>0</v>
      </c>
      <c r="J62" s="4" t="n">
        <f aca="false">IF(Headcount!$D$11&lt;=Timeline!J5,Headcount!$C$11*Headcount!$E$11/12*(1+burden)*(1+salary_infl)^MAX(0,2027-2027),0)</f>
        <v>0</v>
      </c>
      <c r="K62" s="4" t="n">
        <f aca="false">IF(Headcount!$D$11&lt;=Timeline!K5,Headcount!$C$11*Headcount!$E$11/12*(1+burden)*(1+salary_infl)^MAX(0,2027-2027),0)</f>
        <v>0</v>
      </c>
      <c r="L62" s="4" t="n">
        <f aca="false">IF(Headcount!$D$11&lt;=Timeline!L5,Headcount!$C$11*Headcount!$E$11/12*(1+burden)*(1+salary_infl)^MAX(0,2027-2027),0)</f>
        <v>16666.6666666667</v>
      </c>
      <c r="M62" s="4" t="n">
        <f aca="false">IF(Headcount!$D$11&lt;=Timeline!M5,Headcount!$C$11*Headcount!$E$11/12*(1+burden)*(1+salary_infl)^MAX(0,2027-2027),0)</f>
        <v>16666.6666666667</v>
      </c>
      <c r="N62" s="4" t="n">
        <f aca="false">IF(Headcount!$D$11&lt;=Timeline!N5,Headcount!$C$11*Headcount!$E$11/12*(1+burden)*(1+salary_infl)^MAX(0,2027-2027),0)</f>
        <v>16666.6666666667</v>
      </c>
      <c r="O62" s="4" t="n">
        <f aca="false">IF(Headcount!$D$11&lt;=Timeline!O5,Headcount!$C$11*Headcount!$E$11/12*(1+burden)*(1+salary_infl)^MAX(0,2027-2027),0)</f>
        <v>16666.6666666667</v>
      </c>
      <c r="P62" s="4" t="n">
        <f aca="false">IF(Headcount!$D$11&lt;=Timeline!P5,Headcount!$C$11*Headcount!$E$11/12*(1+burden)*(1+salary_infl)^MAX(0,2027-2027),0)</f>
        <v>16666.6666666667</v>
      </c>
      <c r="Q62" s="4" t="n">
        <f aca="false">IF(Headcount!$D$11&lt;=Timeline!Q5,Headcount!$C$11*Headcount!$E$11/12*(1+burden)*(1+salary_infl)^MAX(0,2028-2027),0)</f>
        <v>17166.6666666667</v>
      </c>
      <c r="R62" s="4" t="n">
        <f aca="false">IF(Headcount!$D$11&lt;=Timeline!R5,Headcount!$C$11*Headcount!$E$11/12*(1+burden)*(1+salary_infl)^MAX(0,2028-2027),0)</f>
        <v>17166.6666666667</v>
      </c>
      <c r="S62" s="4" t="n">
        <f aca="false">IF(Headcount!$D$11&lt;=Timeline!S5,Headcount!$C$11*Headcount!$E$11/12*(1+burden)*(1+salary_infl)^MAX(0,2028-2027),0)</f>
        <v>17166.6666666667</v>
      </c>
      <c r="T62" s="4" t="n">
        <f aca="false">IF(Headcount!$D$11&lt;=Timeline!T5,Headcount!$C$11*Headcount!$E$11/12*(1+burden)*(1+salary_infl)^MAX(0,2028-2027),0)</f>
        <v>17166.6666666667</v>
      </c>
      <c r="U62" s="4" t="n">
        <f aca="false">IF(Headcount!$D$11&lt;=Timeline!U5,Headcount!$C$11*Headcount!$E$11/12*(1+burden)*(1+salary_infl)^MAX(0,2028-2027),0)</f>
        <v>17166.6666666667</v>
      </c>
      <c r="V62" s="4" t="n">
        <f aca="false">IF(Headcount!$D$11&lt;=Timeline!V5,Headcount!$C$11*Headcount!$E$11/12*(1+burden)*(1+salary_infl)^MAX(0,2028-2027),0)</f>
        <v>17166.6666666667</v>
      </c>
      <c r="W62" s="4" t="n">
        <f aca="false">IF(Headcount!$D$11&lt;=Timeline!W5,Headcount!$C$11*Headcount!$E$11/12*(1+burden)*(1+salary_infl)^MAX(0,2028-2027),0)</f>
        <v>17166.6666666667</v>
      </c>
      <c r="X62" s="4" t="n">
        <f aca="false">IF(Headcount!$D$11&lt;=Timeline!X5,Headcount!$C$11*Headcount!$E$11/12*(1+burden)*(1+salary_infl)^MAX(0,2028-2027),0)</f>
        <v>17166.6666666667</v>
      </c>
      <c r="Y62" s="4" t="n">
        <f aca="false">IF(Headcount!$D$11&lt;=Timeline!Y5,Headcount!$C$11*Headcount!$E$11/12*(1+burden)*(1+salary_infl)^MAX(0,2028-2027),0)</f>
        <v>17166.6666666667</v>
      </c>
      <c r="Z62" s="4" t="n">
        <f aca="false">IF(Headcount!$D$11&lt;=Timeline!Z5,Headcount!$C$11*Headcount!$E$11/12*(1+burden)*(1+salary_infl)^MAX(0,2028-2027),0)</f>
        <v>17166.6666666667</v>
      </c>
      <c r="AA62" s="4" t="n">
        <f aca="false">IF(Headcount!$D$11&lt;=Timeline!AA5,Headcount!$C$11*Headcount!$E$11/12*(1+burden)*(1+salary_infl)^MAX(0,2028-2027),0)</f>
        <v>17166.6666666667</v>
      </c>
      <c r="AB62" s="4" t="n">
        <f aca="false">IF(Headcount!$D$11&lt;=Timeline!AB5,Headcount!$C$11*Headcount!$E$11/12*(1+burden)*(1+salary_infl)^MAX(0,2028-2027),0)</f>
        <v>17166.6666666667</v>
      </c>
      <c r="AC62" s="4" t="n">
        <f aca="false">Headcount!$C$11*Headcount!$E$11*(1+burden)*(1+salary_infl)^MAX(0,2029-2027)*MAX(0,MIN(12,(2029-YEAR(Headcount!$D$11))*12+13-MONTH(Headcount!$D$11)))/12</f>
        <v>212180</v>
      </c>
      <c r="AD62" s="4" t="n">
        <f aca="false">Headcount!$C$11*Headcount!$E$11*(1+burden)*(1+salary_infl)^MAX(0,2030-2027)*MAX(0,MIN(12,(2030-YEAR(Headcount!$D$11))*12+13-MONTH(Headcount!$D$11)))/12</f>
        <v>218545.4</v>
      </c>
      <c r="AE62" s="4" t="n">
        <f aca="false">Headcount!$C$11*Headcount!$E$11*(1+burden)*(1+salary_infl)^MAX(0,2031-2027)*MAX(0,MIN(12,(2031-YEAR(Headcount!$D$11))*12+13-MONTH(Headcount!$D$11)))/12</f>
        <v>225101.762</v>
      </c>
      <c r="AG62" s="4" t="n">
        <f aca="false">SUMIF($C$3:$AE$3,AG$3,$C62:$AE62)</f>
        <v>0</v>
      </c>
      <c r="AH62" s="4" t="n">
        <f aca="false">SUMIF($C$3:$AE$3,AH$3,$C62:$AE62)</f>
        <v>83333.3333333333</v>
      </c>
      <c r="AI62" s="4" t="n">
        <f aca="false">SUMIF($C$3:$AE$3,AI$3,$C62:$AE62)</f>
        <v>206000</v>
      </c>
      <c r="AJ62" s="4" t="n">
        <f aca="false">SUMIF($C$3:$AE$3,AJ$3,$C62:$AE62)</f>
        <v>212180</v>
      </c>
      <c r="AK62" s="4" t="n">
        <f aca="false">SUMIF($C$3:$AE$3,AK$3,$C62:$AE62)</f>
        <v>218545.4</v>
      </c>
      <c r="AL62" s="4" t="n">
        <f aca="false">SUMIF($C$3:$AE$3,AL$3,$C62:$AE62)</f>
        <v>225101.762</v>
      </c>
    </row>
    <row r="63" customFormat="false" ht="15" hidden="false" customHeight="false" outlineLevel="0" collapsed="false">
      <c r="A63" s="0" t="str">
        <f aca="false">Headcount!A12</f>
        <v>Firmware engineer #2</v>
      </c>
      <c r="B63" s="2" t="str">
        <f aca="false">Headcount!B12</f>
        <v>R&amp;D</v>
      </c>
      <c r="C63" s="4" t="n">
        <f aca="false">IF(Headcount!$D$12&lt;=Timeline!C5,Headcount!$C$12*Headcount!$E$12/12*(1+burden)*(1+salary_infl)^MAX(0,2026-2027),0)</f>
        <v>0</v>
      </c>
      <c r="D63" s="4" t="n">
        <f aca="false">IF(Headcount!$D$12&lt;=Timeline!D5,Headcount!$C$12*Headcount!$E$12/12*(1+burden)*(1+salary_infl)^MAX(0,2026-2027),0)</f>
        <v>0</v>
      </c>
      <c r="E63" s="4" t="n">
        <f aca="false">IF(Headcount!$D$12&lt;=Timeline!E5,Headcount!$C$12*Headcount!$E$12/12*(1+burden)*(1+salary_infl)^MAX(0,2027-2027),0)</f>
        <v>0</v>
      </c>
      <c r="F63" s="4" t="n">
        <f aca="false">IF(Headcount!$D$12&lt;=Timeline!F5,Headcount!$C$12*Headcount!$E$12/12*(1+burden)*(1+salary_infl)^MAX(0,2027-2027),0)</f>
        <v>0</v>
      </c>
      <c r="G63" s="4" t="n">
        <f aca="false">IF(Headcount!$D$12&lt;=Timeline!G5,Headcount!$C$12*Headcount!$E$12/12*(1+burden)*(1+salary_infl)^MAX(0,2027-2027),0)</f>
        <v>0</v>
      </c>
      <c r="H63" s="4" t="n">
        <f aca="false">IF(Headcount!$D$12&lt;=Timeline!H5,Headcount!$C$12*Headcount!$E$12/12*(1+burden)*(1+salary_infl)^MAX(0,2027-2027),0)</f>
        <v>0</v>
      </c>
      <c r="I63" s="4" t="n">
        <f aca="false">IF(Headcount!$D$12&lt;=Timeline!I5,Headcount!$C$12*Headcount!$E$12/12*(1+burden)*(1+salary_infl)^MAX(0,2027-2027),0)</f>
        <v>0</v>
      </c>
      <c r="J63" s="4" t="n">
        <f aca="false">IF(Headcount!$D$12&lt;=Timeline!J5,Headcount!$C$12*Headcount!$E$12/12*(1+burden)*(1+salary_infl)^MAX(0,2027-2027),0)</f>
        <v>0</v>
      </c>
      <c r="K63" s="4" t="n">
        <f aca="false">IF(Headcount!$D$12&lt;=Timeline!K5,Headcount!$C$12*Headcount!$E$12/12*(1+burden)*(1+salary_infl)^MAX(0,2027-2027),0)</f>
        <v>0</v>
      </c>
      <c r="L63" s="4" t="n">
        <f aca="false">IF(Headcount!$D$12&lt;=Timeline!L5,Headcount!$C$12*Headcount!$E$12/12*(1+burden)*(1+salary_infl)^MAX(0,2027-2027),0)</f>
        <v>14583.3333333333</v>
      </c>
      <c r="M63" s="4" t="n">
        <f aca="false">IF(Headcount!$D$12&lt;=Timeline!M5,Headcount!$C$12*Headcount!$E$12/12*(1+burden)*(1+salary_infl)^MAX(0,2027-2027),0)</f>
        <v>14583.3333333333</v>
      </c>
      <c r="N63" s="4" t="n">
        <f aca="false">IF(Headcount!$D$12&lt;=Timeline!N5,Headcount!$C$12*Headcount!$E$12/12*(1+burden)*(1+salary_infl)^MAX(0,2027-2027),0)</f>
        <v>14583.3333333333</v>
      </c>
      <c r="O63" s="4" t="n">
        <f aca="false">IF(Headcount!$D$12&lt;=Timeline!O5,Headcount!$C$12*Headcount!$E$12/12*(1+burden)*(1+salary_infl)^MAX(0,2027-2027),0)</f>
        <v>14583.3333333333</v>
      </c>
      <c r="P63" s="4" t="n">
        <f aca="false">IF(Headcount!$D$12&lt;=Timeline!P5,Headcount!$C$12*Headcount!$E$12/12*(1+burden)*(1+salary_infl)^MAX(0,2027-2027),0)</f>
        <v>14583.3333333333</v>
      </c>
      <c r="Q63" s="4" t="n">
        <f aca="false">IF(Headcount!$D$12&lt;=Timeline!Q5,Headcount!$C$12*Headcount!$E$12/12*(1+burden)*(1+salary_infl)^MAX(0,2028-2027),0)</f>
        <v>15020.8333333333</v>
      </c>
      <c r="R63" s="4" t="n">
        <f aca="false">IF(Headcount!$D$12&lt;=Timeline!R5,Headcount!$C$12*Headcount!$E$12/12*(1+burden)*(1+salary_infl)^MAX(0,2028-2027),0)</f>
        <v>15020.8333333333</v>
      </c>
      <c r="S63" s="4" t="n">
        <f aca="false">IF(Headcount!$D$12&lt;=Timeline!S5,Headcount!$C$12*Headcount!$E$12/12*(1+burden)*(1+salary_infl)^MAX(0,2028-2027),0)</f>
        <v>15020.8333333333</v>
      </c>
      <c r="T63" s="4" t="n">
        <f aca="false">IF(Headcount!$D$12&lt;=Timeline!T5,Headcount!$C$12*Headcount!$E$12/12*(1+burden)*(1+salary_infl)^MAX(0,2028-2027),0)</f>
        <v>15020.8333333333</v>
      </c>
      <c r="U63" s="4" t="n">
        <f aca="false">IF(Headcount!$D$12&lt;=Timeline!U5,Headcount!$C$12*Headcount!$E$12/12*(1+burden)*(1+salary_infl)^MAX(0,2028-2027),0)</f>
        <v>15020.8333333333</v>
      </c>
      <c r="V63" s="4" t="n">
        <f aca="false">IF(Headcount!$D$12&lt;=Timeline!V5,Headcount!$C$12*Headcount!$E$12/12*(1+burden)*(1+salary_infl)^MAX(0,2028-2027),0)</f>
        <v>15020.8333333333</v>
      </c>
      <c r="W63" s="4" t="n">
        <f aca="false">IF(Headcount!$D$12&lt;=Timeline!W5,Headcount!$C$12*Headcount!$E$12/12*(1+burden)*(1+salary_infl)^MAX(0,2028-2027),0)</f>
        <v>15020.8333333333</v>
      </c>
      <c r="X63" s="4" t="n">
        <f aca="false">IF(Headcount!$D$12&lt;=Timeline!X5,Headcount!$C$12*Headcount!$E$12/12*(1+burden)*(1+salary_infl)^MAX(0,2028-2027),0)</f>
        <v>15020.8333333333</v>
      </c>
      <c r="Y63" s="4" t="n">
        <f aca="false">IF(Headcount!$D$12&lt;=Timeline!Y5,Headcount!$C$12*Headcount!$E$12/12*(1+burden)*(1+salary_infl)^MAX(0,2028-2027),0)</f>
        <v>15020.8333333333</v>
      </c>
      <c r="Z63" s="4" t="n">
        <f aca="false">IF(Headcount!$D$12&lt;=Timeline!Z5,Headcount!$C$12*Headcount!$E$12/12*(1+burden)*(1+salary_infl)^MAX(0,2028-2027),0)</f>
        <v>15020.8333333333</v>
      </c>
      <c r="AA63" s="4" t="n">
        <f aca="false">IF(Headcount!$D$12&lt;=Timeline!AA5,Headcount!$C$12*Headcount!$E$12/12*(1+burden)*(1+salary_infl)^MAX(0,2028-2027),0)</f>
        <v>15020.8333333333</v>
      </c>
      <c r="AB63" s="4" t="n">
        <f aca="false">IF(Headcount!$D$12&lt;=Timeline!AB5,Headcount!$C$12*Headcount!$E$12/12*(1+burden)*(1+salary_infl)^MAX(0,2028-2027),0)</f>
        <v>15020.8333333333</v>
      </c>
      <c r="AC63" s="4" t="n">
        <f aca="false">Headcount!$C$12*Headcount!$E$12*(1+burden)*(1+salary_infl)^MAX(0,2029-2027)*MAX(0,MIN(12,(2029-YEAR(Headcount!$D$12))*12+13-MONTH(Headcount!$D$12)))/12</f>
        <v>185657.5</v>
      </c>
      <c r="AD63" s="4" t="n">
        <f aca="false">Headcount!$C$12*Headcount!$E$12*(1+burden)*(1+salary_infl)^MAX(0,2030-2027)*MAX(0,MIN(12,(2030-YEAR(Headcount!$D$12))*12+13-MONTH(Headcount!$D$12)))/12</f>
        <v>191227.225</v>
      </c>
      <c r="AE63" s="4" t="n">
        <f aca="false">Headcount!$C$12*Headcount!$E$12*(1+burden)*(1+salary_infl)^MAX(0,2031-2027)*MAX(0,MIN(12,(2031-YEAR(Headcount!$D$12))*12+13-MONTH(Headcount!$D$12)))/12</f>
        <v>196964.04175</v>
      </c>
      <c r="AG63" s="4" t="n">
        <f aca="false">SUMIF($C$3:$AE$3,AG$3,$C63:$AE63)</f>
        <v>0</v>
      </c>
      <c r="AH63" s="4" t="n">
        <f aca="false">SUMIF($C$3:$AE$3,AH$3,$C63:$AE63)</f>
        <v>72916.6666666667</v>
      </c>
      <c r="AI63" s="4" t="n">
        <f aca="false">SUMIF($C$3:$AE$3,AI$3,$C63:$AE63)</f>
        <v>180250</v>
      </c>
      <c r="AJ63" s="4" t="n">
        <f aca="false">SUMIF($C$3:$AE$3,AJ$3,$C63:$AE63)</f>
        <v>185657.5</v>
      </c>
      <c r="AK63" s="4" t="n">
        <f aca="false">SUMIF($C$3:$AE$3,AK$3,$C63:$AE63)</f>
        <v>191227.225</v>
      </c>
      <c r="AL63" s="4" t="n">
        <f aca="false">SUMIF($C$3:$AE$3,AL$3,$C63:$AE63)</f>
        <v>196964.04175</v>
      </c>
    </row>
    <row r="64" customFormat="false" ht="15" hidden="false" customHeight="false" outlineLevel="0" collapsed="false">
      <c r="A64" s="0" t="str">
        <f aca="false">Headcount!A13</f>
        <v>Map Vision / sensor-fusion engineer</v>
      </c>
      <c r="B64" s="2" t="str">
        <f aca="false">Headcount!B13</f>
        <v>R&amp;D</v>
      </c>
      <c r="C64" s="4" t="n">
        <f aca="false">IF(Headcount!$D$13&lt;=Timeline!C5,Headcount!$C$13*Headcount!$E$13/12*(1+burden)*(1+salary_infl)^MAX(0,2026-2027),0)</f>
        <v>0</v>
      </c>
      <c r="D64" s="4" t="n">
        <f aca="false">IF(Headcount!$D$13&lt;=Timeline!D5,Headcount!$C$13*Headcount!$E$13/12*(1+burden)*(1+salary_infl)^MAX(0,2026-2027),0)</f>
        <v>0</v>
      </c>
      <c r="E64" s="4" t="n">
        <f aca="false">IF(Headcount!$D$13&lt;=Timeline!E5,Headcount!$C$13*Headcount!$E$13/12*(1+burden)*(1+salary_infl)^MAX(0,2027-2027),0)</f>
        <v>0</v>
      </c>
      <c r="F64" s="4" t="n">
        <f aca="false">IF(Headcount!$D$13&lt;=Timeline!F5,Headcount!$C$13*Headcount!$E$13/12*(1+burden)*(1+salary_infl)^MAX(0,2027-2027),0)</f>
        <v>0</v>
      </c>
      <c r="G64" s="4" t="n">
        <f aca="false">IF(Headcount!$D$13&lt;=Timeline!G5,Headcount!$C$13*Headcount!$E$13/12*(1+burden)*(1+salary_infl)^MAX(0,2027-2027),0)</f>
        <v>0</v>
      </c>
      <c r="H64" s="4" t="n">
        <f aca="false">IF(Headcount!$D$13&lt;=Timeline!H5,Headcount!$C$13*Headcount!$E$13/12*(1+burden)*(1+salary_infl)^MAX(0,2027-2027),0)</f>
        <v>0</v>
      </c>
      <c r="I64" s="4" t="n">
        <f aca="false">IF(Headcount!$D$13&lt;=Timeline!I5,Headcount!$C$13*Headcount!$E$13/12*(1+burden)*(1+salary_infl)^MAX(0,2027-2027),0)</f>
        <v>0</v>
      </c>
      <c r="J64" s="4" t="n">
        <f aca="false">IF(Headcount!$D$13&lt;=Timeline!J5,Headcount!$C$13*Headcount!$E$13/12*(1+burden)*(1+salary_infl)^MAX(0,2027-2027),0)</f>
        <v>0</v>
      </c>
      <c r="K64" s="4" t="n">
        <f aca="false">IF(Headcount!$D$13&lt;=Timeline!K5,Headcount!$C$13*Headcount!$E$13/12*(1+burden)*(1+salary_infl)^MAX(0,2027-2027),0)</f>
        <v>0</v>
      </c>
      <c r="L64" s="4" t="n">
        <f aca="false">IF(Headcount!$D$13&lt;=Timeline!L5,Headcount!$C$13*Headcount!$E$13/12*(1+burden)*(1+salary_infl)^MAX(0,2027-2027),0)</f>
        <v>0</v>
      </c>
      <c r="M64" s="4" t="n">
        <f aca="false">IF(Headcount!$D$13&lt;=Timeline!M5,Headcount!$C$13*Headcount!$E$13/12*(1+burden)*(1+salary_infl)^MAX(0,2027-2027),0)</f>
        <v>16666.6666666667</v>
      </c>
      <c r="N64" s="4" t="n">
        <f aca="false">IF(Headcount!$D$13&lt;=Timeline!N5,Headcount!$C$13*Headcount!$E$13/12*(1+burden)*(1+salary_infl)^MAX(0,2027-2027),0)</f>
        <v>16666.6666666667</v>
      </c>
      <c r="O64" s="4" t="n">
        <f aca="false">IF(Headcount!$D$13&lt;=Timeline!O5,Headcount!$C$13*Headcount!$E$13/12*(1+burden)*(1+salary_infl)^MAX(0,2027-2027),0)</f>
        <v>16666.6666666667</v>
      </c>
      <c r="P64" s="4" t="n">
        <f aca="false">IF(Headcount!$D$13&lt;=Timeline!P5,Headcount!$C$13*Headcount!$E$13/12*(1+burden)*(1+salary_infl)^MAX(0,2027-2027),0)</f>
        <v>16666.6666666667</v>
      </c>
      <c r="Q64" s="4" t="n">
        <f aca="false">IF(Headcount!$D$13&lt;=Timeline!Q5,Headcount!$C$13*Headcount!$E$13/12*(1+burden)*(1+salary_infl)^MAX(0,2028-2027),0)</f>
        <v>17166.6666666667</v>
      </c>
      <c r="R64" s="4" t="n">
        <f aca="false">IF(Headcount!$D$13&lt;=Timeline!R5,Headcount!$C$13*Headcount!$E$13/12*(1+burden)*(1+salary_infl)^MAX(0,2028-2027),0)</f>
        <v>17166.6666666667</v>
      </c>
      <c r="S64" s="4" t="n">
        <f aca="false">IF(Headcount!$D$13&lt;=Timeline!S5,Headcount!$C$13*Headcount!$E$13/12*(1+burden)*(1+salary_infl)^MAX(0,2028-2027),0)</f>
        <v>17166.6666666667</v>
      </c>
      <c r="T64" s="4" t="n">
        <f aca="false">IF(Headcount!$D$13&lt;=Timeline!T5,Headcount!$C$13*Headcount!$E$13/12*(1+burden)*(1+salary_infl)^MAX(0,2028-2027),0)</f>
        <v>17166.6666666667</v>
      </c>
      <c r="U64" s="4" t="n">
        <f aca="false">IF(Headcount!$D$13&lt;=Timeline!U5,Headcount!$C$13*Headcount!$E$13/12*(1+burden)*(1+salary_infl)^MAX(0,2028-2027),0)</f>
        <v>17166.6666666667</v>
      </c>
      <c r="V64" s="4" t="n">
        <f aca="false">IF(Headcount!$D$13&lt;=Timeline!V5,Headcount!$C$13*Headcount!$E$13/12*(1+burden)*(1+salary_infl)^MAX(0,2028-2027),0)</f>
        <v>17166.6666666667</v>
      </c>
      <c r="W64" s="4" t="n">
        <f aca="false">IF(Headcount!$D$13&lt;=Timeline!W5,Headcount!$C$13*Headcount!$E$13/12*(1+burden)*(1+salary_infl)^MAX(0,2028-2027),0)</f>
        <v>17166.6666666667</v>
      </c>
      <c r="X64" s="4" t="n">
        <f aca="false">IF(Headcount!$D$13&lt;=Timeline!X5,Headcount!$C$13*Headcount!$E$13/12*(1+burden)*(1+salary_infl)^MAX(0,2028-2027),0)</f>
        <v>17166.6666666667</v>
      </c>
      <c r="Y64" s="4" t="n">
        <f aca="false">IF(Headcount!$D$13&lt;=Timeline!Y5,Headcount!$C$13*Headcount!$E$13/12*(1+burden)*(1+salary_infl)^MAX(0,2028-2027),0)</f>
        <v>17166.6666666667</v>
      </c>
      <c r="Z64" s="4" t="n">
        <f aca="false">IF(Headcount!$D$13&lt;=Timeline!Z5,Headcount!$C$13*Headcount!$E$13/12*(1+burden)*(1+salary_infl)^MAX(0,2028-2027),0)</f>
        <v>17166.6666666667</v>
      </c>
      <c r="AA64" s="4" t="n">
        <f aca="false">IF(Headcount!$D$13&lt;=Timeline!AA5,Headcount!$C$13*Headcount!$E$13/12*(1+burden)*(1+salary_infl)^MAX(0,2028-2027),0)</f>
        <v>17166.6666666667</v>
      </c>
      <c r="AB64" s="4" t="n">
        <f aca="false">IF(Headcount!$D$13&lt;=Timeline!AB5,Headcount!$C$13*Headcount!$E$13/12*(1+burden)*(1+salary_infl)^MAX(0,2028-2027),0)</f>
        <v>17166.6666666667</v>
      </c>
      <c r="AC64" s="4" t="n">
        <f aca="false">Headcount!$C$13*Headcount!$E$13*(1+burden)*(1+salary_infl)^MAX(0,2029-2027)*MAX(0,MIN(12,(2029-YEAR(Headcount!$D$13))*12+13-MONTH(Headcount!$D$13)))/12</f>
        <v>212180</v>
      </c>
      <c r="AD64" s="4" t="n">
        <f aca="false">Headcount!$C$13*Headcount!$E$13*(1+burden)*(1+salary_infl)^MAX(0,2030-2027)*MAX(0,MIN(12,(2030-YEAR(Headcount!$D$13))*12+13-MONTH(Headcount!$D$13)))/12</f>
        <v>218545.4</v>
      </c>
      <c r="AE64" s="4" t="n">
        <f aca="false">Headcount!$C$13*Headcount!$E$13*(1+burden)*(1+salary_infl)^MAX(0,2031-2027)*MAX(0,MIN(12,(2031-YEAR(Headcount!$D$13))*12+13-MONTH(Headcount!$D$13)))/12</f>
        <v>225101.762</v>
      </c>
      <c r="AG64" s="4" t="n">
        <f aca="false">SUMIF($C$3:$AE$3,AG$3,$C64:$AE64)</f>
        <v>0</v>
      </c>
      <c r="AH64" s="4" t="n">
        <f aca="false">SUMIF($C$3:$AE$3,AH$3,$C64:$AE64)</f>
        <v>66666.6666666667</v>
      </c>
      <c r="AI64" s="4" t="n">
        <f aca="false">SUMIF($C$3:$AE$3,AI$3,$C64:$AE64)</f>
        <v>206000</v>
      </c>
      <c r="AJ64" s="4" t="n">
        <f aca="false">SUMIF($C$3:$AE$3,AJ$3,$C64:$AE64)</f>
        <v>212180</v>
      </c>
      <c r="AK64" s="4" t="n">
        <f aca="false">SUMIF($C$3:$AE$3,AK$3,$C64:$AE64)</f>
        <v>218545.4</v>
      </c>
      <c r="AL64" s="4" t="n">
        <f aca="false">SUMIF($C$3:$AE$3,AL$3,$C64:$AE64)</f>
        <v>225101.762</v>
      </c>
    </row>
    <row r="65" customFormat="false" ht="15" hidden="false" customHeight="false" outlineLevel="0" collapsed="false">
      <c r="A65" s="0" t="str">
        <f aca="false">Headcount!A14</f>
        <v>Product designer (device + app UX)</v>
      </c>
      <c r="B65" s="2" t="str">
        <f aca="false">Headcount!B14</f>
        <v>R&amp;D</v>
      </c>
      <c r="C65" s="4" t="n">
        <f aca="false">IF(Headcount!$D$14&lt;=Timeline!C5,Headcount!$C$14*Headcount!$E$14/12*(1+burden)*(1+salary_infl)^MAX(0,2026-2027),0)</f>
        <v>0</v>
      </c>
      <c r="D65" s="4" t="n">
        <f aca="false">IF(Headcount!$D$14&lt;=Timeline!D5,Headcount!$C$14*Headcount!$E$14/12*(1+burden)*(1+salary_infl)^MAX(0,2026-2027),0)</f>
        <v>0</v>
      </c>
      <c r="E65" s="4" t="n">
        <f aca="false">IF(Headcount!$D$14&lt;=Timeline!E5,Headcount!$C$14*Headcount!$E$14/12*(1+burden)*(1+salary_infl)^MAX(0,2027-2027),0)</f>
        <v>0</v>
      </c>
      <c r="F65" s="4" t="n">
        <f aca="false">IF(Headcount!$D$14&lt;=Timeline!F5,Headcount!$C$14*Headcount!$E$14/12*(1+burden)*(1+salary_infl)^MAX(0,2027-2027),0)</f>
        <v>0</v>
      </c>
      <c r="G65" s="4" t="n">
        <f aca="false">IF(Headcount!$D$14&lt;=Timeline!G5,Headcount!$C$14*Headcount!$E$14/12*(1+burden)*(1+salary_infl)^MAX(0,2027-2027),0)</f>
        <v>0</v>
      </c>
      <c r="H65" s="4" t="n">
        <f aca="false">IF(Headcount!$D$14&lt;=Timeline!H5,Headcount!$C$14*Headcount!$E$14/12*(1+burden)*(1+salary_infl)^MAX(0,2027-2027),0)</f>
        <v>0</v>
      </c>
      <c r="I65" s="4" t="n">
        <f aca="false">IF(Headcount!$D$14&lt;=Timeline!I5,Headcount!$C$14*Headcount!$E$14/12*(1+burden)*(1+salary_infl)^MAX(0,2027-2027),0)</f>
        <v>0</v>
      </c>
      <c r="J65" s="4" t="n">
        <f aca="false">IF(Headcount!$D$14&lt;=Timeline!J5,Headcount!$C$14*Headcount!$E$14/12*(1+burden)*(1+salary_infl)^MAX(0,2027-2027),0)</f>
        <v>0</v>
      </c>
      <c r="K65" s="4" t="n">
        <f aca="false">IF(Headcount!$D$14&lt;=Timeline!K5,Headcount!$C$14*Headcount!$E$14/12*(1+burden)*(1+salary_infl)^MAX(0,2027-2027),0)</f>
        <v>0</v>
      </c>
      <c r="L65" s="4" t="n">
        <f aca="false">IF(Headcount!$D$14&lt;=Timeline!L5,Headcount!$C$14*Headcount!$E$14/12*(1+burden)*(1+salary_infl)^MAX(0,2027-2027),0)</f>
        <v>0</v>
      </c>
      <c r="M65" s="4" t="n">
        <f aca="false">IF(Headcount!$D$14&lt;=Timeline!M5,Headcount!$C$14*Headcount!$E$14/12*(1+burden)*(1+salary_infl)^MAX(0,2027-2027),0)</f>
        <v>13020.8333333333</v>
      </c>
      <c r="N65" s="4" t="n">
        <f aca="false">IF(Headcount!$D$14&lt;=Timeline!N5,Headcount!$C$14*Headcount!$E$14/12*(1+burden)*(1+salary_infl)^MAX(0,2027-2027),0)</f>
        <v>13020.8333333333</v>
      </c>
      <c r="O65" s="4" t="n">
        <f aca="false">IF(Headcount!$D$14&lt;=Timeline!O5,Headcount!$C$14*Headcount!$E$14/12*(1+burden)*(1+salary_infl)^MAX(0,2027-2027),0)</f>
        <v>13020.8333333333</v>
      </c>
      <c r="P65" s="4" t="n">
        <f aca="false">IF(Headcount!$D$14&lt;=Timeline!P5,Headcount!$C$14*Headcount!$E$14/12*(1+burden)*(1+salary_infl)^MAX(0,2027-2027),0)</f>
        <v>13020.8333333333</v>
      </c>
      <c r="Q65" s="4" t="n">
        <f aca="false">IF(Headcount!$D$14&lt;=Timeline!Q5,Headcount!$C$14*Headcount!$E$14/12*(1+burden)*(1+salary_infl)^MAX(0,2028-2027),0)</f>
        <v>13411.4583333333</v>
      </c>
      <c r="R65" s="4" t="n">
        <f aca="false">IF(Headcount!$D$14&lt;=Timeline!R5,Headcount!$C$14*Headcount!$E$14/12*(1+burden)*(1+salary_infl)^MAX(0,2028-2027),0)</f>
        <v>13411.4583333333</v>
      </c>
      <c r="S65" s="4" t="n">
        <f aca="false">IF(Headcount!$D$14&lt;=Timeline!S5,Headcount!$C$14*Headcount!$E$14/12*(1+burden)*(1+salary_infl)^MAX(0,2028-2027),0)</f>
        <v>13411.4583333333</v>
      </c>
      <c r="T65" s="4" t="n">
        <f aca="false">IF(Headcount!$D$14&lt;=Timeline!T5,Headcount!$C$14*Headcount!$E$14/12*(1+burden)*(1+salary_infl)^MAX(0,2028-2027),0)</f>
        <v>13411.4583333333</v>
      </c>
      <c r="U65" s="4" t="n">
        <f aca="false">IF(Headcount!$D$14&lt;=Timeline!U5,Headcount!$C$14*Headcount!$E$14/12*(1+burden)*(1+salary_infl)^MAX(0,2028-2027),0)</f>
        <v>13411.4583333333</v>
      </c>
      <c r="V65" s="4" t="n">
        <f aca="false">IF(Headcount!$D$14&lt;=Timeline!V5,Headcount!$C$14*Headcount!$E$14/12*(1+burden)*(1+salary_infl)^MAX(0,2028-2027),0)</f>
        <v>13411.4583333333</v>
      </c>
      <c r="W65" s="4" t="n">
        <f aca="false">IF(Headcount!$D$14&lt;=Timeline!W5,Headcount!$C$14*Headcount!$E$14/12*(1+burden)*(1+salary_infl)^MAX(0,2028-2027),0)</f>
        <v>13411.4583333333</v>
      </c>
      <c r="X65" s="4" t="n">
        <f aca="false">IF(Headcount!$D$14&lt;=Timeline!X5,Headcount!$C$14*Headcount!$E$14/12*(1+burden)*(1+salary_infl)^MAX(0,2028-2027),0)</f>
        <v>13411.4583333333</v>
      </c>
      <c r="Y65" s="4" t="n">
        <f aca="false">IF(Headcount!$D$14&lt;=Timeline!Y5,Headcount!$C$14*Headcount!$E$14/12*(1+burden)*(1+salary_infl)^MAX(0,2028-2027),0)</f>
        <v>13411.4583333333</v>
      </c>
      <c r="Z65" s="4" t="n">
        <f aca="false">IF(Headcount!$D$14&lt;=Timeline!Z5,Headcount!$C$14*Headcount!$E$14/12*(1+burden)*(1+salary_infl)^MAX(0,2028-2027),0)</f>
        <v>13411.4583333333</v>
      </c>
      <c r="AA65" s="4" t="n">
        <f aca="false">IF(Headcount!$D$14&lt;=Timeline!AA5,Headcount!$C$14*Headcount!$E$14/12*(1+burden)*(1+salary_infl)^MAX(0,2028-2027),0)</f>
        <v>13411.4583333333</v>
      </c>
      <c r="AB65" s="4" t="n">
        <f aca="false">IF(Headcount!$D$14&lt;=Timeline!AB5,Headcount!$C$14*Headcount!$E$14/12*(1+burden)*(1+salary_infl)^MAX(0,2028-2027),0)</f>
        <v>13411.4583333333</v>
      </c>
      <c r="AC65" s="4" t="n">
        <f aca="false">Headcount!$C$14*Headcount!$E$14*(1+burden)*(1+salary_infl)^MAX(0,2029-2027)*MAX(0,MIN(12,(2029-YEAR(Headcount!$D$14))*12+13-MONTH(Headcount!$D$14)))/12</f>
        <v>165765.625</v>
      </c>
      <c r="AD65" s="4" t="n">
        <f aca="false">Headcount!$C$14*Headcount!$E$14*(1+burden)*(1+salary_infl)^MAX(0,2030-2027)*MAX(0,MIN(12,(2030-YEAR(Headcount!$D$14))*12+13-MONTH(Headcount!$D$14)))/12</f>
        <v>170738.59375</v>
      </c>
      <c r="AE65" s="4" t="n">
        <f aca="false">Headcount!$C$14*Headcount!$E$14*(1+burden)*(1+salary_infl)^MAX(0,2031-2027)*MAX(0,MIN(12,(2031-YEAR(Headcount!$D$14))*12+13-MONTH(Headcount!$D$14)))/12</f>
        <v>175860.7515625</v>
      </c>
      <c r="AG65" s="4" t="n">
        <f aca="false">SUMIF($C$3:$AE$3,AG$3,$C65:$AE65)</f>
        <v>0</v>
      </c>
      <c r="AH65" s="4" t="n">
        <f aca="false">SUMIF($C$3:$AE$3,AH$3,$C65:$AE65)</f>
        <v>52083.3333333333</v>
      </c>
      <c r="AI65" s="4" t="n">
        <f aca="false">SUMIF($C$3:$AE$3,AI$3,$C65:$AE65)</f>
        <v>160937.5</v>
      </c>
      <c r="AJ65" s="4" t="n">
        <f aca="false">SUMIF($C$3:$AE$3,AJ$3,$C65:$AE65)</f>
        <v>165765.625</v>
      </c>
      <c r="AK65" s="4" t="n">
        <f aca="false">SUMIF($C$3:$AE$3,AK$3,$C65:$AE65)</f>
        <v>170738.59375</v>
      </c>
      <c r="AL65" s="4" t="n">
        <f aca="false">SUMIF($C$3:$AE$3,AL$3,$C65:$AE65)</f>
        <v>175860.7515625</v>
      </c>
    </row>
    <row r="66" customFormat="false" ht="15" hidden="false" customHeight="false" outlineLevel="0" collapsed="false">
      <c r="A66" s="0" t="str">
        <f aca="false">Headcount!A15</f>
        <v>Customer support lead</v>
      </c>
      <c r="B66" s="2" t="str">
        <f aca="false">Headcount!B15</f>
        <v>Ops &amp; CS</v>
      </c>
      <c r="C66" s="4" t="n">
        <f aca="false">IF(Headcount!$D$15&lt;=Timeline!C5,Headcount!$C$15*Headcount!$E$15/12*(1+burden)*(1+salary_infl)^MAX(0,2026-2027),0)</f>
        <v>0</v>
      </c>
      <c r="D66" s="4" t="n">
        <f aca="false">IF(Headcount!$D$15&lt;=Timeline!D5,Headcount!$C$15*Headcount!$E$15/12*(1+burden)*(1+salary_infl)^MAX(0,2026-2027),0)</f>
        <v>0</v>
      </c>
      <c r="E66" s="4" t="n">
        <f aca="false">IF(Headcount!$D$15&lt;=Timeline!E5,Headcount!$C$15*Headcount!$E$15/12*(1+burden)*(1+salary_infl)^MAX(0,2027-2027),0)</f>
        <v>0</v>
      </c>
      <c r="F66" s="4" t="n">
        <f aca="false">IF(Headcount!$D$15&lt;=Timeline!F5,Headcount!$C$15*Headcount!$E$15/12*(1+burden)*(1+salary_infl)^MAX(0,2027-2027),0)</f>
        <v>0</v>
      </c>
      <c r="G66" s="4" t="n">
        <f aca="false">IF(Headcount!$D$15&lt;=Timeline!G5,Headcount!$C$15*Headcount!$E$15/12*(1+burden)*(1+salary_infl)^MAX(0,2027-2027),0)</f>
        <v>0</v>
      </c>
      <c r="H66" s="4" t="n">
        <f aca="false">IF(Headcount!$D$15&lt;=Timeline!H5,Headcount!$C$15*Headcount!$E$15/12*(1+burden)*(1+salary_infl)^MAX(0,2027-2027),0)</f>
        <v>0</v>
      </c>
      <c r="I66" s="4" t="n">
        <f aca="false">IF(Headcount!$D$15&lt;=Timeline!I5,Headcount!$C$15*Headcount!$E$15/12*(1+burden)*(1+salary_infl)^MAX(0,2027-2027),0)</f>
        <v>0</v>
      </c>
      <c r="J66" s="4" t="n">
        <f aca="false">IF(Headcount!$D$15&lt;=Timeline!J5,Headcount!$C$15*Headcount!$E$15/12*(1+burden)*(1+salary_infl)^MAX(0,2027-2027),0)</f>
        <v>0</v>
      </c>
      <c r="K66" s="4" t="n">
        <f aca="false">IF(Headcount!$D$15&lt;=Timeline!K5,Headcount!$C$15*Headcount!$E$15/12*(1+burden)*(1+salary_infl)^MAX(0,2027-2027),0)</f>
        <v>0</v>
      </c>
      <c r="L66" s="4" t="n">
        <f aca="false">IF(Headcount!$D$15&lt;=Timeline!L5,Headcount!$C$15*Headcount!$E$15/12*(1+burden)*(1+salary_infl)^MAX(0,2027-2027),0)</f>
        <v>0</v>
      </c>
      <c r="M66" s="4" t="n">
        <f aca="false">IF(Headcount!$D$15&lt;=Timeline!M5,Headcount!$C$15*Headcount!$E$15/12*(1+burden)*(1+salary_infl)^MAX(0,2027-2027),0)</f>
        <v>0</v>
      </c>
      <c r="N66" s="4" t="n">
        <f aca="false">IF(Headcount!$D$15&lt;=Timeline!N5,Headcount!$C$15*Headcount!$E$15/12*(1+burden)*(1+salary_infl)^MAX(0,2027-2027),0)</f>
        <v>6770.83333333333</v>
      </c>
      <c r="O66" s="4" t="n">
        <f aca="false">IF(Headcount!$D$15&lt;=Timeline!O5,Headcount!$C$15*Headcount!$E$15/12*(1+burden)*(1+salary_infl)^MAX(0,2027-2027),0)</f>
        <v>6770.83333333333</v>
      </c>
      <c r="P66" s="4" t="n">
        <f aca="false">IF(Headcount!$D$15&lt;=Timeline!P5,Headcount!$C$15*Headcount!$E$15/12*(1+burden)*(1+salary_infl)^MAX(0,2027-2027),0)</f>
        <v>6770.83333333333</v>
      </c>
      <c r="Q66" s="4" t="n">
        <f aca="false">IF(Headcount!$D$15&lt;=Timeline!Q5,Headcount!$C$15*Headcount!$E$15/12*(1+burden)*(1+salary_infl)^MAX(0,2028-2027),0)</f>
        <v>6973.95833333333</v>
      </c>
      <c r="R66" s="4" t="n">
        <f aca="false">IF(Headcount!$D$15&lt;=Timeline!R5,Headcount!$C$15*Headcount!$E$15/12*(1+burden)*(1+salary_infl)^MAX(0,2028-2027),0)</f>
        <v>6973.95833333333</v>
      </c>
      <c r="S66" s="4" t="n">
        <f aca="false">IF(Headcount!$D$15&lt;=Timeline!S5,Headcount!$C$15*Headcount!$E$15/12*(1+burden)*(1+salary_infl)^MAX(0,2028-2027),0)</f>
        <v>6973.95833333333</v>
      </c>
      <c r="T66" s="4" t="n">
        <f aca="false">IF(Headcount!$D$15&lt;=Timeline!T5,Headcount!$C$15*Headcount!$E$15/12*(1+burden)*(1+salary_infl)^MAX(0,2028-2027),0)</f>
        <v>6973.95833333333</v>
      </c>
      <c r="U66" s="4" t="n">
        <f aca="false">IF(Headcount!$D$15&lt;=Timeline!U5,Headcount!$C$15*Headcount!$E$15/12*(1+burden)*(1+salary_infl)^MAX(0,2028-2027),0)</f>
        <v>6973.95833333333</v>
      </c>
      <c r="V66" s="4" t="n">
        <f aca="false">IF(Headcount!$D$15&lt;=Timeline!V5,Headcount!$C$15*Headcount!$E$15/12*(1+burden)*(1+salary_infl)^MAX(0,2028-2027),0)</f>
        <v>6973.95833333333</v>
      </c>
      <c r="W66" s="4" t="n">
        <f aca="false">IF(Headcount!$D$15&lt;=Timeline!W5,Headcount!$C$15*Headcount!$E$15/12*(1+burden)*(1+salary_infl)^MAX(0,2028-2027),0)</f>
        <v>6973.95833333333</v>
      </c>
      <c r="X66" s="4" t="n">
        <f aca="false">IF(Headcount!$D$15&lt;=Timeline!X5,Headcount!$C$15*Headcount!$E$15/12*(1+burden)*(1+salary_infl)^MAX(0,2028-2027),0)</f>
        <v>6973.95833333333</v>
      </c>
      <c r="Y66" s="4" t="n">
        <f aca="false">IF(Headcount!$D$15&lt;=Timeline!Y5,Headcount!$C$15*Headcount!$E$15/12*(1+burden)*(1+salary_infl)^MAX(0,2028-2027),0)</f>
        <v>6973.95833333333</v>
      </c>
      <c r="Z66" s="4" t="n">
        <f aca="false">IF(Headcount!$D$15&lt;=Timeline!Z5,Headcount!$C$15*Headcount!$E$15/12*(1+burden)*(1+salary_infl)^MAX(0,2028-2027),0)</f>
        <v>6973.95833333333</v>
      </c>
      <c r="AA66" s="4" t="n">
        <f aca="false">IF(Headcount!$D$15&lt;=Timeline!AA5,Headcount!$C$15*Headcount!$E$15/12*(1+burden)*(1+salary_infl)^MAX(0,2028-2027),0)</f>
        <v>6973.95833333333</v>
      </c>
      <c r="AB66" s="4" t="n">
        <f aca="false">IF(Headcount!$D$15&lt;=Timeline!AB5,Headcount!$C$15*Headcount!$E$15/12*(1+burden)*(1+salary_infl)^MAX(0,2028-2027),0)</f>
        <v>6973.95833333333</v>
      </c>
      <c r="AC66" s="4" t="n">
        <f aca="false">Headcount!$C$15*Headcount!$E$15*(1+burden)*(1+salary_infl)^MAX(0,2029-2027)*MAX(0,MIN(12,(2029-YEAR(Headcount!$D$15))*12+13-MONTH(Headcount!$D$15)))/12</f>
        <v>86198.125</v>
      </c>
      <c r="AD66" s="4" t="n">
        <f aca="false">Headcount!$C$15*Headcount!$E$15*(1+burden)*(1+salary_infl)^MAX(0,2030-2027)*MAX(0,MIN(12,(2030-YEAR(Headcount!$D$15))*12+13-MONTH(Headcount!$D$15)))/12</f>
        <v>88784.06875</v>
      </c>
      <c r="AE66" s="4" t="n">
        <f aca="false">Headcount!$C$15*Headcount!$E$15*(1+burden)*(1+salary_infl)^MAX(0,2031-2027)*MAX(0,MIN(12,(2031-YEAR(Headcount!$D$15))*12+13-MONTH(Headcount!$D$15)))/12</f>
        <v>91447.5908125</v>
      </c>
      <c r="AG66" s="4" t="n">
        <f aca="false">SUMIF($C$3:$AE$3,AG$3,$C66:$AE66)</f>
        <v>0</v>
      </c>
      <c r="AH66" s="4" t="n">
        <f aca="false">SUMIF($C$3:$AE$3,AH$3,$C66:$AE66)</f>
        <v>20312.5</v>
      </c>
      <c r="AI66" s="4" t="n">
        <f aca="false">SUMIF($C$3:$AE$3,AI$3,$C66:$AE66)</f>
        <v>83687.5</v>
      </c>
      <c r="AJ66" s="4" t="n">
        <f aca="false">SUMIF($C$3:$AE$3,AJ$3,$C66:$AE66)</f>
        <v>86198.125</v>
      </c>
      <c r="AK66" s="4" t="n">
        <f aca="false">SUMIF($C$3:$AE$3,AK$3,$C66:$AE66)</f>
        <v>88784.06875</v>
      </c>
      <c r="AL66" s="4" t="n">
        <f aca="false">SUMIF($C$3:$AE$3,AL$3,$C66:$AE66)</f>
        <v>91447.5908125</v>
      </c>
    </row>
    <row r="67" customFormat="false" ht="15" hidden="false" customHeight="false" outlineLevel="0" collapsed="false">
      <c r="A67" s="0" t="str">
        <f aca="false">Headcount!A16</f>
        <v>Growth marketing manager</v>
      </c>
      <c r="B67" s="2" t="str">
        <f aca="false">Headcount!B16</f>
        <v>S&amp;M</v>
      </c>
      <c r="C67" s="4" t="n">
        <f aca="false">IF(Headcount!$D$16&lt;=Timeline!C5,Headcount!$C$16*Headcount!$E$16/12*(1+burden)*(1+salary_infl)^MAX(0,2026-2027),0)</f>
        <v>0</v>
      </c>
      <c r="D67" s="4" t="n">
        <f aca="false">IF(Headcount!$D$16&lt;=Timeline!D5,Headcount!$C$16*Headcount!$E$16/12*(1+burden)*(1+salary_infl)^MAX(0,2026-2027),0)</f>
        <v>0</v>
      </c>
      <c r="E67" s="4" t="n">
        <f aca="false">IF(Headcount!$D$16&lt;=Timeline!E5,Headcount!$C$16*Headcount!$E$16/12*(1+burden)*(1+salary_infl)^MAX(0,2027-2027),0)</f>
        <v>0</v>
      </c>
      <c r="F67" s="4" t="n">
        <f aca="false">IF(Headcount!$D$16&lt;=Timeline!F5,Headcount!$C$16*Headcount!$E$16/12*(1+burden)*(1+salary_infl)^MAX(0,2027-2027),0)</f>
        <v>0</v>
      </c>
      <c r="G67" s="4" t="n">
        <f aca="false">IF(Headcount!$D$16&lt;=Timeline!G5,Headcount!$C$16*Headcount!$E$16/12*(1+burden)*(1+salary_infl)^MAX(0,2027-2027),0)</f>
        <v>0</v>
      </c>
      <c r="H67" s="4" t="n">
        <f aca="false">IF(Headcount!$D$16&lt;=Timeline!H5,Headcount!$C$16*Headcount!$E$16/12*(1+burden)*(1+salary_infl)^MAX(0,2027-2027),0)</f>
        <v>0</v>
      </c>
      <c r="I67" s="4" t="n">
        <f aca="false">IF(Headcount!$D$16&lt;=Timeline!I5,Headcount!$C$16*Headcount!$E$16/12*(1+burden)*(1+salary_infl)^MAX(0,2027-2027),0)</f>
        <v>0</v>
      </c>
      <c r="J67" s="4" t="n">
        <f aca="false">IF(Headcount!$D$16&lt;=Timeline!J5,Headcount!$C$16*Headcount!$E$16/12*(1+burden)*(1+salary_infl)^MAX(0,2027-2027),0)</f>
        <v>0</v>
      </c>
      <c r="K67" s="4" t="n">
        <f aca="false">IF(Headcount!$D$16&lt;=Timeline!K5,Headcount!$C$16*Headcount!$E$16/12*(1+burden)*(1+salary_infl)^MAX(0,2027-2027),0)</f>
        <v>0</v>
      </c>
      <c r="L67" s="4" t="n">
        <f aca="false">IF(Headcount!$D$16&lt;=Timeline!L5,Headcount!$C$16*Headcount!$E$16/12*(1+burden)*(1+salary_infl)^MAX(0,2027-2027),0)</f>
        <v>0</v>
      </c>
      <c r="M67" s="4" t="n">
        <f aca="false">IF(Headcount!$D$16&lt;=Timeline!M5,Headcount!$C$16*Headcount!$E$16/12*(1+burden)*(1+salary_infl)^MAX(0,2027-2027),0)</f>
        <v>0</v>
      </c>
      <c r="N67" s="4" t="n">
        <f aca="false">IF(Headcount!$D$16&lt;=Timeline!N5,Headcount!$C$16*Headcount!$E$16/12*(1+burden)*(1+salary_infl)^MAX(0,2027-2027),0)</f>
        <v>12500</v>
      </c>
      <c r="O67" s="4" t="n">
        <f aca="false">IF(Headcount!$D$16&lt;=Timeline!O5,Headcount!$C$16*Headcount!$E$16/12*(1+burden)*(1+salary_infl)^MAX(0,2027-2027),0)</f>
        <v>12500</v>
      </c>
      <c r="P67" s="4" t="n">
        <f aca="false">IF(Headcount!$D$16&lt;=Timeline!P5,Headcount!$C$16*Headcount!$E$16/12*(1+burden)*(1+salary_infl)^MAX(0,2027-2027),0)</f>
        <v>12500</v>
      </c>
      <c r="Q67" s="4" t="n">
        <f aca="false">IF(Headcount!$D$16&lt;=Timeline!Q5,Headcount!$C$16*Headcount!$E$16/12*(1+burden)*(1+salary_infl)^MAX(0,2028-2027),0)</f>
        <v>12875</v>
      </c>
      <c r="R67" s="4" t="n">
        <f aca="false">IF(Headcount!$D$16&lt;=Timeline!R5,Headcount!$C$16*Headcount!$E$16/12*(1+burden)*(1+salary_infl)^MAX(0,2028-2027),0)</f>
        <v>12875</v>
      </c>
      <c r="S67" s="4" t="n">
        <f aca="false">IF(Headcount!$D$16&lt;=Timeline!S5,Headcount!$C$16*Headcount!$E$16/12*(1+burden)*(1+salary_infl)^MAX(0,2028-2027),0)</f>
        <v>12875</v>
      </c>
      <c r="T67" s="4" t="n">
        <f aca="false">IF(Headcount!$D$16&lt;=Timeline!T5,Headcount!$C$16*Headcount!$E$16/12*(1+burden)*(1+salary_infl)^MAX(0,2028-2027),0)</f>
        <v>12875</v>
      </c>
      <c r="U67" s="4" t="n">
        <f aca="false">IF(Headcount!$D$16&lt;=Timeline!U5,Headcount!$C$16*Headcount!$E$16/12*(1+burden)*(1+salary_infl)^MAX(0,2028-2027),0)</f>
        <v>12875</v>
      </c>
      <c r="V67" s="4" t="n">
        <f aca="false">IF(Headcount!$D$16&lt;=Timeline!V5,Headcount!$C$16*Headcount!$E$16/12*(1+burden)*(1+salary_infl)^MAX(0,2028-2027),0)</f>
        <v>12875</v>
      </c>
      <c r="W67" s="4" t="n">
        <f aca="false">IF(Headcount!$D$16&lt;=Timeline!W5,Headcount!$C$16*Headcount!$E$16/12*(1+burden)*(1+salary_infl)^MAX(0,2028-2027),0)</f>
        <v>12875</v>
      </c>
      <c r="X67" s="4" t="n">
        <f aca="false">IF(Headcount!$D$16&lt;=Timeline!X5,Headcount!$C$16*Headcount!$E$16/12*(1+burden)*(1+salary_infl)^MAX(0,2028-2027),0)</f>
        <v>12875</v>
      </c>
      <c r="Y67" s="4" t="n">
        <f aca="false">IF(Headcount!$D$16&lt;=Timeline!Y5,Headcount!$C$16*Headcount!$E$16/12*(1+burden)*(1+salary_infl)^MAX(0,2028-2027),0)</f>
        <v>12875</v>
      </c>
      <c r="Z67" s="4" t="n">
        <f aca="false">IF(Headcount!$D$16&lt;=Timeline!Z5,Headcount!$C$16*Headcount!$E$16/12*(1+burden)*(1+salary_infl)^MAX(0,2028-2027),0)</f>
        <v>12875</v>
      </c>
      <c r="AA67" s="4" t="n">
        <f aca="false">IF(Headcount!$D$16&lt;=Timeline!AA5,Headcount!$C$16*Headcount!$E$16/12*(1+burden)*(1+salary_infl)^MAX(0,2028-2027),0)</f>
        <v>12875</v>
      </c>
      <c r="AB67" s="4" t="n">
        <f aca="false">IF(Headcount!$D$16&lt;=Timeline!AB5,Headcount!$C$16*Headcount!$E$16/12*(1+burden)*(1+salary_infl)^MAX(0,2028-2027),0)</f>
        <v>12875</v>
      </c>
      <c r="AC67" s="4" t="n">
        <f aca="false">Headcount!$C$16*Headcount!$E$16*(1+burden)*(1+salary_infl)^MAX(0,2029-2027)*MAX(0,MIN(12,(2029-YEAR(Headcount!$D$16))*12+13-MONTH(Headcount!$D$16)))/12</f>
        <v>159135</v>
      </c>
      <c r="AD67" s="4" t="n">
        <f aca="false">Headcount!$C$16*Headcount!$E$16*(1+burden)*(1+salary_infl)^MAX(0,2030-2027)*MAX(0,MIN(12,(2030-YEAR(Headcount!$D$16))*12+13-MONTH(Headcount!$D$16)))/12</f>
        <v>163909.05</v>
      </c>
      <c r="AE67" s="4" t="n">
        <f aca="false">Headcount!$C$16*Headcount!$E$16*(1+burden)*(1+salary_infl)^MAX(0,2031-2027)*MAX(0,MIN(12,(2031-YEAR(Headcount!$D$16))*12+13-MONTH(Headcount!$D$16)))/12</f>
        <v>168826.3215</v>
      </c>
      <c r="AG67" s="4" t="n">
        <f aca="false">SUMIF($C$3:$AE$3,AG$3,$C67:$AE67)</f>
        <v>0</v>
      </c>
      <c r="AH67" s="4" t="n">
        <f aca="false">SUMIF($C$3:$AE$3,AH$3,$C67:$AE67)</f>
        <v>37500</v>
      </c>
      <c r="AI67" s="4" t="n">
        <f aca="false">SUMIF($C$3:$AE$3,AI$3,$C67:$AE67)</f>
        <v>154500</v>
      </c>
      <c r="AJ67" s="4" t="n">
        <f aca="false">SUMIF($C$3:$AE$3,AJ$3,$C67:$AE67)</f>
        <v>159135</v>
      </c>
      <c r="AK67" s="4" t="n">
        <f aca="false">SUMIF($C$3:$AE$3,AK$3,$C67:$AE67)</f>
        <v>163909.05</v>
      </c>
      <c r="AL67" s="4" t="n">
        <f aca="false">SUMIF($C$3:$AE$3,AL$3,$C67:$AE67)</f>
        <v>168826.3215</v>
      </c>
    </row>
    <row r="68" customFormat="false" ht="15" hidden="false" customHeight="false" outlineLevel="0" collapsed="false">
      <c r="A68" s="0" t="str">
        <f aca="false">Headcount!A17</f>
        <v>Finance &amp; ops manager / controller</v>
      </c>
      <c r="B68" s="2" t="str">
        <f aca="false">Headcount!B17</f>
        <v>G&amp;A</v>
      </c>
      <c r="C68" s="4" t="n">
        <f aca="false">IF(Headcount!$D$17&lt;=Timeline!C5,Headcount!$C$17*Headcount!$E$17/12*(1+burden)*(1+salary_infl)^MAX(0,2026-2027),0)</f>
        <v>0</v>
      </c>
      <c r="D68" s="4" t="n">
        <f aca="false">IF(Headcount!$D$17&lt;=Timeline!D5,Headcount!$C$17*Headcount!$E$17/12*(1+burden)*(1+salary_infl)^MAX(0,2026-2027),0)</f>
        <v>0</v>
      </c>
      <c r="E68" s="4" t="n">
        <f aca="false">IF(Headcount!$D$17&lt;=Timeline!E5,Headcount!$C$17*Headcount!$E$17/12*(1+burden)*(1+salary_infl)^MAX(0,2027-2027),0)</f>
        <v>0</v>
      </c>
      <c r="F68" s="4" t="n">
        <f aca="false">IF(Headcount!$D$17&lt;=Timeline!F5,Headcount!$C$17*Headcount!$E$17/12*(1+burden)*(1+salary_infl)^MAX(0,2027-2027),0)</f>
        <v>0</v>
      </c>
      <c r="G68" s="4" t="n">
        <f aca="false">IF(Headcount!$D$17&lt;=Timeline!G5,Headcount!$C$17*Headcount!$E$17/12*(1+burden)*(1+salary_infl)^MAX(0,2027-2027),0)</f>
        <v>0</v>
      </c>
      <c r="H68" s="4" t="n">
        <f aca="false">IF(Headcount!$D$17&lt;=Timeline!H5,Headcount!$C$17*Headcount!$E$17/12*(1+burden)*(1+salary_infl)^MAX(0,2027-2027),0)</f>
        <v>0</v>
      </c>
      <c r="I68" s="4" t="n">
        <f aca="false">IF(Headcount!$D$17&lt;=Timeline!I5,Headcount!$C$17*Headcount!$E$17/12*(1+burden)*(1+salary_infl)^MAX(0,2027-2027),0)</f>
        <v>0</v>
      </c>
      <c r="J68" s="4" t="n">
        <f aca="false">IF(Headcount!$D$17&lt;=Timeline!J5,Headcount!$C$17*Headcount!$E$17/12*(1+burden)*(1+salary_infl)^MAX(0,2027-2027),0)</f>
        <v>0</v>
      </c>
      <c r="K68" s="4" t="n">
        <f aca="false">IF(Headcount!$D$17&lt;=Timeline!K5,Headcount!$C$17*Headcount!$E$17/12*(1+burden)*(1+salary_infl)^MAX(0,2027-2027),0)</f>
        <v>0</v>
      </c>
      <c r="L68" s="4" t="n">
        <f aca="false">IF(Headcount!$D$17&lt;=Timeline!L5,Headcount!$C$17*Headcount!$E$17/12*(1+burden)*(1+salary_infl)^MAX(0,2027-2027),0)</f>
        <v>0</v>
      </c>
      <c r="M68" s="4" t="n">
        <f aca="false">IF(Headcount!$D$17&lt;=Timeline!M5,Headcount!$C$17*Headcount!$E$17/12*(1+burden)*(1+salary_infl)^MAX(0,2027-2027),0)</f>
        <v>0</v>
      </c>
      <c r="N68" s="4" t="n">
        <f aca="false">IF(Headcount!$D$17&lt;=Timeline!N5,Headcount!$C$17*Headcount!$E$17/12*(1+burden)*(1+salary_infl)^MAX(0,2027-2027),0)</f>
        <v>0</v>
      </c>
      <c r="O68" s="4" t="n">
        <f aca="false">IF(Headcount!$D$17&lt;=Timeline!O5,Headcount!$C$17*Headcount!$E$17/12*(1+burden)*(1+salary_infl)^MAX(0,2027-2027),0)</f>
        <v>11458.3333333333</v>
      </c>
      <c r="P68" s="4" t="n">
        <f aca="false">IF(Headcount!$D$17&lt;=Timeline!P5,Headcount!$C$17*Headcount!$E$17/12*(1+burden)*(1+salary_infl)^MAX(0,2027-2027),0)</f>
        <v>11458.3333333333</v>
      </c>
      <c r="Q68" s="4" t="n">
        <f aca="false">IF(Headcount!$D$17&lt;=Timeline!Q5,Headcount!$C$17*Headcount!$E$17/12*(1+burden)*(1+salary_infl)^MAX(0,2028-2027),0)</f>
        <v>11802.0833333333</v>
      </c>
      <c r="R68" s="4" t="n">
        <f aca="false">IF(Headcount!$D$17&lt;=Timeline!R5,Headcount!$C$17*Headcount!$E$17/12*(1+burden)*(1+salary_infl)^MAX(0,2028-2027),0)</f>
        <v>11802.0833333333</v>
      </c>
      <c r="S68" s="4" t="n">
        <f aca="false">IF(Headcount!$D$17&lt;=Timeline!S5,Headcount!$C$17*Headcount!$E$17/12*(1+burden)*(1+salary_infl)^MAX(0,2028-2027),0)</f>
        <v>11802.0833333333</v>
      </c>
      <c r="T68" s="4" t="n">
        <f aca="false">IF(Headcount!$D$17&lt;=Timeline!T5,Headcount!$C$17*Headcount!$E$17/12*(1+burden)*(1+salary_infl)^MAX(0,2028-2027),0)</f>
        <v>11802.0833333333</v>
      </c>
      <c r="U68" s="4" t="n">
        <f aca="false">IF(Headcount!$D$17&lt;=Timeline!U5,Headcount!$C$17*Headcount!$E$17/12*(1+burden)*(1+salary_infl)^MAX(0,2028-2027),0)</f>
        <v>11802.0833333333</v>
      </c>
      <c r="V68" s="4" t="n">
        <f aca="false">IF(Headcount!$D$17&lt;=Timeline!V5,Headcount!$C$17*Headcount!$E$17/12*(1+burden)*(1+salary_infl)^MAX(0,2028-2027),0)</f>
        <v>11802.0833333333</v>
      </c>
      <c r="W68" s="4" t="n">
        <f aca="false">IF(Headcount!$D$17&lt;=Timeline!W5,Headcount!$C$17*Headcount!$E$17/12*(1+burden)*(1+salary_infl)^MAX(0,2028-2027),0)</f>
        <v>11802.0833333333</v>
      </c>
      <c r="X68" s="4" t="n">
        <f aca="false">IF(Headcount!$D$17&lt;=Timeline!X5,Headcount!$C$17*Headcount!$E$17/12*(1+burden)*(1+salary_infl)^MAX(0,2028-2027),0)</f>
        <v>11802.0833333333</v>
      </c>
      <c r="Y68" s="4" t="n">
        <f aca="false">IF(Headcount!$D$17&lt;=Timeline!Y5,Headcount!$C$17*Headcount!$E$17/12*(1+burden)*(1+salary_infl)^MAX(0,2028-2027),0)</f>
        <v>11802.0833333333</v>
      </c>
      <c r="Z68" s="4" t="n">
        <f aca="false">IF(Headcount!$D$17&lt;=Timeline!Z5,Headcount!$C$17*Headcount!$E$17/12*(1+burden)*(1+salary_infl)^MAX(0,2028-2027),0)</f>
        <v>11802.0833333333</v>
      </c>
      <c r="AA68" s="4" t="n">
        <f aca="false">IF(Headcount!$D$17&lt;=Timeline!AA5,Headcount!$C$17*Headcount!$E$17/12*(1+burden)*(1+salary_infl)^MAX(0,2028-2027),0)</f>
        <v>11802.0833333333</v>
      </c>
      <c r="AB68" s="4" t="n">
        <f aca="false">IF(Headcount!$D$17&lt;=Timeline!AB5,Headcount!$C$17*Headcount!$E$17/12*(1+burden)*(1+salary_infl)^MAX(0,2028-2027),0)</f>
        <v>11802.0833333333</v>
      </c>
      <c r="AC68" s="4" t="n">
        <f aca="false">Headcount!$C$17*Headcount!$E$17*(1+burden)*(1+salary_infl)^MAX(0,2029-2027)*MAX(0,MIN(12,(2029-YEAR(Headcount!$D$17))*12+13-MONTH(Headcount!$D$17)))/12</f>
        <v>145873.75</v>
      </c>
      <c r="AD68" s="4" t="n">
        <f aca="false">Headcount!$C$17*Headcount!$E$17*(1+burden)*(1+salary_infl)^MAX(0,2030-2027)*MAX(0,MIN(12,(2030-YEAR(Headcount!$D$17))*12+13-MONTH(Headcount!$D$17)))/12</f>
        <v>150249.9625</v>
      </c>
      <c r="AE68" s="4" t="n">
        <f aca="false">Headcount!$C$17*Headcount!$E$17*(1+burden)*(1+salary_infl)^MAX(0,2031-2027)*MAX(0,MIN(12,(2031-YEAR(Headcount!$D$17))*12+13-MONTH(Headcount!$D$17)))/12</f>
        <v>154757.461375</v>
      </c>
      <c r="AG68" s="4" t="n">
        <f aca="false">SUMIF($C$3:$AE$3,AG$3,$C68:$AE68)</f>
        <v>0</v>
      </c>
      <c r="AH68" s="4" t="n">
        <f aca="false">SUMIF($C$3:$AE$3,AH$3,$C68:$AE68)</f>
        <v>22916.6666666667</v>
      </c>
      <c r="AI68" s="4" t="n">
        <f aca="false">SUMIF($C$3:$AE$3,AI$3,$C68:$AE68)</f>
        <v>141625</v>
      </c>
      <c r="AJ68" s="4" t="n">
        <f aca="false">SUMIF($C$3:$AE$3,AJ$3,$C68:$AE68)</f>
        <v>145873.75</v>
      </c>
      <c r="AK68" s="4" t="n">
        <f aca="false">SUMIF($C$3:$AE$3,AK$3,$C68:$AE68)</f>
        <v>150249.9625</v>
      </c>
      <c r="AL68" s="4" t="n">
        <f aca="false">SUMIF($C$3:$AE$3,AL$3,$C68:$AE68)</f>
        <v>154757.461375</v>
      </c>
    </row>
    <row r="69" customFormat="false" ht="15" hidden="false" customHeight="false" outlineLevel="0" collapsed="false">
      <c r="A69" s="0" t="str">
        <f aca="false">Headcount!A18</f>
        <v>Backend / cloud engineer</v>
      </c>
      <c r="B69" s="2" t="str">
        <f aca="false">Headcount!B18</f>
        <v>R&amp;D</v>
      </c>
      <c r="C69" s="4" t="n">
        <f aca="false">IF(Headcount!$D$18&lt;=Timeline!C5,Headcount!$C$18*Headcount!$E$18/12*(1+burden)*(1+salary_infl)^MAX(0,2026-2027),0)</f>
        <v>0</v>
      </c>
      <c r="D69" s="4" t="n">
        <f aca="false">IF(Headcount!$D$18&lt;=Timeline!D5,Headcount!$C$18*Headcount!$E$18/12*(1+burden)*(1+salary_infl)^MAX(0,2026-2027),0)</f>
        <v>0</v>
      </c>
      <c r="E69" s="4" t="n">
        <f aca="false">IF(Headcount!$D$18&lt;=Timeline!E5,Headcount!$C$18*Headcount!$E$18/12*(1+burden)*(1+salary_infl)^MAX(0,2027-2027),0)</f>
        <v>0</v>
      </c>
      <c r="F69" s="4" t="n">
        <f aca="false">IF(Headcount!$D$18&lt;=Timeline!F5,Headcount!$C$18*Headcount!$E$18/12*(1+burden)*(1+salary_infl)^MAX(0,2027-2027),0)</f>
        <v>0</v>
      </c>
      <c r="G69" s="4" t="n">
        <f aca="false">IF(Headcount!$D$18&lt;=Timeline!G5,Headcount!$C$18*Headcount!$E$18/12*(1+burden)*(1+salary_infl)^MAX(0,2027-2027),0)</f>
        <v>0</v>
      </c>
      <c r="H69" s="4" t="n">
        <f aca="false">IF(Headcount!$D$18&lt;=Timeline!H5,Headcount!$C$18*Headcount!$E$18/12*(1+burden)*(1+salary_infl)^MAX(0,2027-2027),0)</f>
        <v>0</v>
      </c>
      <c r="I69" s="4" t="n">
        <f aca="false">IF(Headcount!$D$18&lt;=Timeline!I5,Headcount!$C$18*Headcount!$E$18/12*(1+burden)*(1+salary_infl)^MAX(0,2027-2027),0)</f>
        <v>0</v>
      </c>
      <c r="J69" s="4" t="n">
        <f aca="false">IF(Headcount!$D$18&lt;=Timeline!J5,Headcount!$C$18*Headcount!$E$18/12*(1+burden)*(1+salary_infl)^MAX(0,2027-2027),0)</f>
        <v>0</v>
      </c>
      <c r="K69" s="4" t="n">
        <f aca="false">IF(Headcount!$D$18&lt;=Timeline!K5,Headcount!$C$18*Headcount!$E$18/12*(1+burden)*(1+salary_infl)^MAX(0,2027-2027),0)</f>
        <v>0</v>
      </c>
      <c r="L69" s="4" t="n">
        <f aca="false">IF(Headcount!$D$18&lt;=Timeline!L5,Headcount!$C$18*Headcount!$E$18/12*(1+burden)*(1+salary_infl)^MAX(0,2027-2027),0)</f>
        <v>0</v>
      </c>
      <c r="M69" s="4" t="n">
        <f aca="false">IF(Headcount!$D$18&lt;=Timeline!M5,Headcount!$C$18*Headcount!$E$18/12*(1+burden)*(1+salary_infl)^MAX(0,2027-2027),0)</f>
        <v>0</v>
      </c>
      <c r="N69" s="4" t="n">
        <f aca="false">IF(Headcount!$D$18&lt;=Timeline!N5,Headcount!$C$18*Headcount!$E$18/12*(1+burden)*(1+salary_infl)^MAX(0,2027-2027),0)</f>
        <v>0</v>
      </c>
      <c r="O69" s="4" t="n">
        <f aca="false">IF(Headcount!$D$18&lt;=Timeline!O5,Headcount!$C$18*Headcount!$E$18/12*(1+burden)*(1+salary_infl)^MAX(0,2027-2027),0)</f>
        <v>0</v>
      </c>
      <c r="P69" s="4" t="n">
        <f aca="false">IF(Headcount!$D$18&lt;=Timeline!P5,Headcount!$C$18*Headcount!$E$18/12*(1+burden)*(1+salary_infl)^MAX(0,2027-2027),0)</f>
        <v>0</v>
      </c>
      <c r="Q69" s="4" t="n">
        <f aca="false">IF(Headcount!$D$18&lt;=Timeline!Q5,Headcount!$C$18*Headcount!$E$18/12*(1+burden)*(1+salary_infl)^MAX(0,2028-2027),0)</f>
        <v>16093.75</v>
      </c>
      <c r="R69" s="4" t="n">
        <f aca="false">IF(Headcount!$D$18&lt;=Timeline!R5,Headcount!$C$18*Headcount!$E$18/12*(1+burden)*(1+salary_infl)^MAX(0,2028-2027),0)</f>
        <v>16093.75</v>
      </c>
      <c r="S69" s="4" t="n">
        <f aca="false">IF(Headcount!$D$18&lt;=Timeline!S5,Headcount!$C$18*Headcount!$E$18/12*(1+burden)*(1+salary_infl)^MAX(0,2028-2027),0)</f>
        <v>16093.75</v>
      </c>
      <c r="T69" s="4" t="n">
        <f aca="false">IF(Headcount!$D$18&lt;=Timeline!T5,Headcount!$C$18*Headcount!$E$18/12*(1+burden)*(1+salary_infl)^MAX(0,2028-2027),0)</f>
        <v>16093.75</v>
      </c>
      <c r="U69" s="4" t="n">
        <f aca="false">IF(Headcount!$D$18&lt;=Timeline!U5,Headcount!$C$18*Headcount!$E$18/12*(1+burden)*(1+salary_infl)^MAX(0,2028-2027),0)</f>
        <v>16093.75</v>
      </c>
      <c r="V69" s="4" t="n">
        <f aca="false">IF(Headcount!$D$18&lt;=Timeline!V5,Headcount!$C$18*Headcount!$E$18/12*(1+burden)*(1+salary_infl)^MAX(0,2028-2027),0)</f>
        <v>16093.75</v>
      </c>
      <c r="W69" s="4" t="n">
        <f aca="false">IF(Headcount!$D$18&lt;=Timeline!W5,Headcount!$C$18*Headcount!$E$18/12*(1+burden)*(1+salary_infl)^MAX(0,2028-2027),0)</f>
        <v>16093.75</v>
      </c>
      <c r="X69" s="4" t="n">
        <f aca="false">IF(Headcount!$D$18&lt;=Timeline!X5,Headcount!$C$18*Headcount!$E$18/12*(1+burden)*(1+salary_infl)^MAX(0,2028-2027),0)</f>
        <v>16093.75</v>
      </c>
      <c r="Y69" s="4" t="n">
        <f aca="false">IF(Headcount!$D$18&lt;=Timeline!Y5,Headcount!$C$18*Headcount!$E$18/12*(1+burden)*(1+salary_infl)^MAX(0,2028-2027),0)</f>
        <v>16093.75</v>
      </c>
      <c r="Z69" s="4" t="n">
        <f aca="false">IF(Headcount!$D$18&lt;=Timeline!Z5,Headcount!$C$18*Headcount!$E$18/12*(1+burden)*(1+salary_infl)^MAX(0,2028-2027),0)</f>
        <v>16093.75</v>
      </c>
      <c r="AA69" s="4" t="n">
        <f aca="false">IF(Headcount!$D$18&lt;=Timeline!AA5,Headcount!$C$18*Headcount!$E$18/12*(1+burden)*(1+salary_infl)^MAX(0,2028-2027),0)</f>
        <v>16093.75</v>
      </c>
      <c r="AB69" s="4" t="n">
        <f aca="false">IF(Headcount!$D$18&lt;=Timeline!AB5,Headcount!$C$18*Headcount!$E$18/12*(1+burden)*(1+salary_infl)^MAX(0,2028-2027),0)</f>
        <v>16093.75</v>
      </c>
      <c r="AC69" s="4" t="n">
        <f aca="false">Headcount!$C$18*Headcount!$E$18*(1+burden)*(1+salary_infl)^MAX(0,2029-2027)*MAX(0,MIN(12,(2029-YEAR(Headcount!$D$18))*12+13-MONTH(Headcount!$D$18)))/12</f>
        <v>198918.75</v>
      </c>
      <c r="AD69" s="4" t="n">
        <f aca="false">Headcount!$C$18*Headcount!$E$18*(1+burden)*(1+salary_infl)^MAX(0,2030-2027)*MAX(0,MIN(12,(2030-YEAR(Headcount!$D$18))*12+13-MONTH(Headcount!$D$18)))/12</f>
        <v>204886.3125</v>
      </c>
      <c r="AE69" s="4" t="n">
        <f aca="false">Headcount!$C$18*Headcount!$E$18*(1+burden)*(1+salary_infl)^MAX(0,2031-2027)*MAX(0,MIN(12,(2031-YEAR(Headcount!$D$18))*12+13-MONTH(Headcount!$D$18)))/12</f>
        <v>211032.901875</v>
      </c>
      <c r="AG69" s="4" t="n">
        <f aca="false">SUMIF($C$3:$AE$3,AG$3,$C69:$AE69)</f>
        <v>0</v>
      </c>
      <c r="AH69" s="4" t="n">
        <f aca="false">SUMIF($C$3:$AE$3,AH$3,$C69:$AE69)</f>
        <v>0</v>
      </c>
      <c r="AI69" s="4" t="n">
        <f aca="false">SUMIF($C$3:$AE$3,AI$3,$C69:$AE69)</f>
        <v>193125</v>
      </c>
      <c r="AJ69" s="4" t="n">
        <f aca="false">SUMIF($C$3:$AE$3,AJ$3,$C69:$AE69)</f>
        <v>198918.75</v>
      </c>
      <c r="AK69" s="4" t="n">
        <f aca="false">SUMIF($C$3:$AE$3,AK$3,$C69:$AE69)</f>
        <v>204886.3125</v>
      </c>
      <c r="AL69" s="4" t="n">
        <f aca="false">SUMIF($C$3:$AE$3,AL$3,$C69:$AE69)</f>
        <v>211032.901875</v>
      </c>
    </row>
    <row r="70" customFormat="false" ht="15" hidden="false" customHeight="false" outlineLevel="0" collapsed="false">
      <c r="A70" s="0" t="str">
        <f aca="false">Headcount!A19</f>
        <v>Mechanical engineer</v>
      </c>
      <c r="B70" s="2" t="str">
        <f aca="false">Headcount!B19</f>
        <v>R&amp;D</v>
      </c>
      <c r="C70" s="4" t="n">
        <f aca="false">IF(Headcount!$D$19&lt;=Timeline!C5,Headcount!$C$19*Headcount!$E$19/12*(1+burden)*(1+salary_infl)^MAX(0,2026-2027),0)</f>
        <v>0</v>
      </c>
      <c r="D70" s="4" t="n">
        <f aca="false">IF(Headcount!$D$19&lt;=Timeline!D5,Headcount!$C$19*Headcount!$E$19/12*(1+burden)*(1+salary_infl)^MAX(0,2026-2027),0)</f>
        <v>0</v>
      </c>
      <c r="E70" s="4" t="n">
        <f aca="false">IF(Headcount!$D$19&lt;=Timeline!E5,Headcount!$C$19*Headcount!$E$19/12*(1+burden)*(1+salary_infl)^MAX(0,2027-2027),0)</f>
        <v>0</v>
      </c>
      <c r="F70" s="4" t="n">
        <f aca="false">IF(Headcount!$D$19&lt;=Timeline!F5,Headcount!$C$19*Headcount!$E$19/12*(1+burden)*(1+salary_infl)^MAX(0,2027-2027),0)</f>
        <v>0</v>
      </c>
      <c r="G70" s="4" t="n">
        <f aca="false">IF(Headcount!$D$19&lt;=Timeline!G5,Headcount!$C$19*Headcount!$E$19/12*(1+burden)*(1+salary_infl)^MAX(0,2027-2027),0)</f>
        <v>0</v>
      </c>
      <c r="H70" s="4" t="n">
        <f aca="false">IF(Headcount!$D$19&lt;=Timeline!H5,Headcount!$C$19*Headcount!$E$19/12*(1+burden)*(1+salary_infl)^MAX(0,2027-2027),0)</f>
        <v>0</v>
      </c>
      <c r="I70" s="4" t="n">
        <f aca="false">IF(Headcount!$D$19&lt;=Timeline!I5,Headcount!$C$19*Headcount!$E$19/12*(1+burden)*(1+salary_infl)^MAX(0,2027-2027),0)</f>
        <v>0</v>
      </c>
      <c r="J70" s="4" t="n">
        <f aca="false">IF(Headcount!$D$19&lt;=Timeline!J5,Headcount!$C$19*Headcount!$E$19/12*(1+burden)*(1+salary_infl)^MAX(0,2027-2027),0)</f>
        <v>0</v>
      </c>
      <c r="K70" s="4" t="n">
        <f aca="false">IF(Headcount!$D$19&lt;=Timeline!K5,Headcount!$C$19*Headcount!$E$19/12*(1+burden)*(1+salary_infl)^MAX(0,2027-2027),0)</f>
        <v>0</v>
      </c>
      <c r="L70" s="4" t="n">
        <f aca="false">IF(Headcount!$D$19&lt;=Timeline!L5,Headcount!$C$19*Headcount!$E$19/12*(1+burden)*(1+salary_infl)^MAX(0,2027-2027),0)</f>
        <v>0</v>
      </c>
      <c r="M70" s="4" t="n">
        <f aca="false">IF(Headcount!$D$19&lt;=Timeline!M5,Headcount!$C$19*Headcount!$E$19/12*(1+burden)*(1+salary_infl)^MAX(0,2027-2027),0)</f>
        <v>0</v>
      </c>
      <c r="N70" s="4" t="n">
        <f aca="false">IF(Headcount!$D$19&lt;=Timeline!N5,Headcount!$C$19*Headcount!$E$19/12*(1+burden)*(1+salary_infl)^MAX(0,2027-2027),0)</f>
        <v>0</v>
      </c>
      <c r="O70" s="4" t="n">
        <f aca="false">IF(Headcount!$D$19&lt;=Timeline!O5,Headcount!$C$19*Headcount!$E$19/12*(1+burden)*(1+salary_infl)^MAX(0,2027-2027),0)</f>
        <v>0</v>
      </c>
      <c r="P70" s="4" t="n">
        <f aca="false">IF(Headcount!$D$19&lt;=Timeline!P5,Headcount!$C$19*Headcount!$E$19/12*(1+burden)*(1+salary_infl)^MAX(0,2027-2027),0)</f>
        <v>0</v>
      </c>
      <c r="Q70" s="4" t="n">
        <f aca="false">IF(Headcount!$D$19&lt;=Timeline!Q5,Headcount!$C$19*Headcount!$E$19/12*(1+burden)*(1+salary_infl)^MAX(0,2028-2027),0)</f>
        <v>15020.8333333333</v>
      </c>
      <c r="R70" s="4" t="n">
        <f aca="false">IF(Headcount!$D$19&lt;=Timeline!R5,Headcount!$C$19*Headcount!$E$19/12*(1+burden)*(1+salary_infl)^MAX(0,2028-2027),0)</f>
        <v>15020.8333333333</v>
      </c>
      <c r="S70" s="4" t="n">
        <f aca="false">IF(Headcount!$D$19&lt;=Timeline!S5,Headcount!$C$19*Headcount!$E$19/12*(1+burden)*(1+salary_infl)^MAX(0,2028-2027),0)</f>
        <v>15020.8333333333</v>
      </c>
      <c r="T70" s="4" t="n">
        <f aca="false">IF(Headcount!$D$19&lt;=Timeline!T5,Headcount!$C$19*Headcount!$E$19/12*(1+burden)*(1+salary_infl)^MAX(0,2028-2027),0)</f>
        <v>15020.8333333333</v>
      </c>
      <c r="U70" s="4" t="n">
        <f aca="false">IF(Headcount!$D$19&lt;=Timeline!U5,Headcount!$C$19*Headcount!$E$19/12*(1+burden)*(1+salary_infl)^MAX(0,2028-2027),0)</f>
        <v>15020.8333333333</v>
      </c>
      <c r="V70" s="4" t="n">
        <f aca="false">IF(Headcount!$D$19&lt;=Timeline!V5,Headcount!$C$19*Headcount!$E$19/12*(1+burden)*(1+salary_infl)^MAX(0,2028-2027),0)</f>
        <v>15020.8333333333</v>
      </c>
      <c r="W70" s="4" t="n">
        <f aca="false">IF(Headcount!$D$19&lt;=Timeline!W5,Headcount!$C$19*Headcount!$E$19/12*(1+burden)*(1+salary_infl)^MAX(0,2028-2027),0)</f>
        <v>15020.8333333333</v>
      </c>
      <c r="X70" s="4" t="n">
        <f aca="false">IF(Headcount!$D$19&lt;=Timeline!X5,Headcount!$C$19*Headcount!$E$19/12*(1+burden)*(1+salary_infl)^MAX(0,2028-2027),0)</f>
        <v>15020.8333333333</v>
      </c>
      <c r="Y70" s="4" t="n">
        <f aca="false">IF(Headcount!$D$19&lt;=Timeline!Y5,Headcount!$C$19*Headcount!$E$19/12*(1+burden)*(1+salary_infl)^MAX(0,2028-2027),0)</f>
        <v>15020.8333333333</v>
      </c>
      <c r="Z70" s="4" t="n">
        <f aca="false">IF(Headcount!$D$19&lt;=Timeline!Z5,Headcount!$C$19*Headcount!$E$19/12*(1+burden)*(1+salary_infl)^MAX(0,2028-2027),0)</f>
        <v>15020.8333333333</v>
      </c>
      <c r="AA70" s="4" t="n">
        <f aca="false">IF(Headcount!$D$19&lt;=Timeline!AA5,Headcount!$C$19*Headcount!$E$19/12*(1+burden)*(1+salary_infl)^MAX(0,2028-2027),0)</f>
        <v>15020.8333333333</v>
      </c>
      <c r="AB70" s="4" t="n">
        <f aca="false">IF(Headcount!$D$19&lt;=Timeline!AB5,Headcount!$C$19*Headcount!$E$19/12*(1+burden)*(1+salary_infl)^MAX(0,2028-2027),0)</f>
        <v>15020.8333333333</v>
      </c>
      <c r="AC70" s="4" t="n">
        <f aca="false">Headcount!$C$19*Headcount!$E$19*(1+burden)*(1+salary_infl)^MAX(0,2029-2027)*MAX(0,MIN(12,(2029-YEAR(Headcount!$D$19))*12+13-MONTH(Headcount!$D$19)))/12</f>
        <v>185657.5</v>
      </c>
      <c r="AD70" s="4" t="n">
        <f aca="false">Headcount!$C$19*Headcount!$E$19*(1+burden)*(1+salary_infl)^MAX(0,2030-2027)*MAX(0,MIN(12,(2030-YEAR(Headcount!$D$19))*12+13-MONTH(Headcount!$D$19)))/12</f>
        <v>191227.225</v>
      </c>
      <c r="AE70" s="4" t="n">
        <f aca="false">Headcount!$C$19*Headcount!$E$19*(1+burden)*(1+salary_infl)^MAX(0,2031-2027)*MAX(0,MIN(12,(2031-YEAR(Headcount!$D$19))*12+13-MONTH(Headcount!$D$19)))/12</f>
        <v>196964.04175</v>
      </c>
      <c r="AG70" s="4" t="n">
        <f aca="false">SUMIF($C$3:$AE$3,AG$3,$C70:$AE70)</f>
        <v>0</v>
      </c>
      <c r="AH70" s="4" t="n">
        <f aca="false">SUMIF($C$3:$AE$3,AH$3,$C70:$AE70)</f>
        <v>0</v>
      </c>
      <c r="AI70" s="4" t="n">
        <f aca="false">SUMIF($C$3:$AE$3,AI$3,$C70:$AE70)</f>
        <v>180250</v>
      </c>
      <c r="AJ70" s="4" t="n">
        <f aca="false">SUMIF($C$3:$AE$3,AJ$3,$C70:$AE70)</f>
        <v>185657.5</v>
      </c>
      <c r="AK70" s="4" t="n">
        <f aca="false">SUMIF($C$3:$AE$3,AK$3,$C70:$AE70)</f>
        <v>191227.225</v>
      </c>
      <c r="AL70" s="4" t="n">
        <f aca="false">SUMIF($C$3:$AE$3,AL$3,$C70:$AE70)</f>
        <v>196964.04175</v>
      </c>
    </row>
    <row r="71" customFormat="false" ht="15" hidden="false" customHeight="false" outlineLevel="0" collapsed="false">
      <c r="A71" s="0" t="str">
        <f aca="false">Headcount!A20</f>
        <v>Content editors</v>
      </c>
      <c r="B71" s="2" t="str">
        <f aca="false">Headcount!B20</f>
        <v>R&amp;D</v>
      </c>
      <c r="C71" s="4" t="n">
        <f aca="false">IF(Headcount!$D$20&lt;=Timeline!C5,Headcount!$C$20*Headcount!$E$20/12*(1+burden)*(1+salary_infl)^MAX(0,2026-2027),0)</f>
        <v>0</v>
      </c>
      <c r="D71" s="4" t="n">
        <f aca="false">IF(Headcount!$D$20&lt;=Timeline!D5,Headcount!$C$20*Headcount!$E$20/12*(1+burden)*(1+salary_infl)^MAX(0,2026-2027),0)</f>
        <v>0</v>
      </c>
      <c r="E71" s="4" t="n">
        <f aca="false">IF(Headcount!$D$20&lt;=Timeline!E5,Headcount!$C$20*Headcount!$E$20/12*(1+burden)*(1+salary_infl)^MAX(0,2027-2027),0)</f>
        <v>0</v>
      </c>
      <c r="F71" s="4" t="n">
        <f aca="false">IF(Headcount!$D$20&lt;=Timeline!F5,Headcount!$C$20*Headcount!$E$20/12*(1+burden)*(1+salary_infl)^MAX(0,2027-2027),0)</f>
        <v>0</v>
      </c>
      <c r="G71" s="4" t="n">
        <f aca="false">IF(Headcount!$D$20&lt;=Timeline!G5,Headcount!$C$20*Headcount!$E$20/12*(1+burden)*(1+salary_infl)^MAX(0,2027-2027),0)</f>
        <v>0</v>
      </c>
      <c r="H71" s="4" t="n">
        <f aca="false">IF(Headcount!$D$20&lt;=Timeline!H5,Headcount!$C$20*Headcount!$E$20/12*(1+burden)*(1+salary_infl)^MAX(0,2027-2027),0)</f>
        <v>0</v>
      </c>
      <c r="I71" s="4" t="n">
        <f aca="false">IF(Headcount!$D$20&lt;=Timeline!I5,Headcount!$C$20*Headcount!$E$20/12*(1+burden)*(1+salary_infl)^MAX(0,2027-2027),0)</f>
        <v>0</v>
      </c>
      <c r="J71" s="4" t="n">
        <f aca="false">IF(Headcount!$D$20&lt;=Timeline!J5,Headcount!$C$20*Headcount!$E$20/12*(1+burden)*(1+salary_infl)^MAX(0,2027-2027),0)</f>
        <v>0</v>
      </c>
      <c r="K71" s="4" t="n">
        <f aca="false">IF(Headcount!$D$20&lt;=Timeline!K5,Headcount!$C$20*Headcount!$E$20/12*(1+burden)*(1+salary_infl)^MAX(0,2027-2027),0)</f>
        <v>0</v>
      </c>
      <c r="L71" s="4" t="n">
        <f aca="false">IF(Headcount!$D$20&lt;=Timeline!L5,Headcount!$C$20*Headcount!$E$20/12*(1+burden)*(1+salary_infl)^MAX(0,2027-2027),0)</f>
        <v>0</v>
      </c>
      <c r="M71" s="4" t="n">
        <f aca="false">IF(Headcount!$D$20&lt;=Timeline!M5,Headcount!$C$20*Headcount!$E$20/12*(1+burden)*(1+salary_infl)^MAX(0,2027-2027),0)</f>
        <v>0</v>
      </c>
      <c r="N71" s="4" t="n">
        <f aca="false">IF(Headcount!$D$20&lt;=Timeline!N5,Headcount!$C$20*Headcount!$E$20/12*(1+burden)*(1+salary_infl)^MAX(0,2027-2027),0)</f>
        <v>0</v>
      </c>
      <c r="O71" s="4" t="n">
        <f aca="false">IF(Headcount!$D$20&lt;=Timeline!O5,Headcount!$C$20*Headcount!$E$20/12*(1+burden)*(1+salary_infl)^MAX(0,2027-2027),0)</f>
        <v>0</v>
      </c>
      <c r="P71" s="4" t="n">
        <f aca="false">IF(Headcount!$D$20&lt;=Timeline!P5,Headcount!$C$20*Headcount!$E$20/12*(1+burden)*(1+salary_infl)^MAX(0,2027-2027),0)</f>
        <v>0</v>
      </c>
      <c r="Q71" s="4" t="n">
        <f aca="false">IF(Headcount!$D$20&lt;=Timeline!Q5,Headcount!$C$20*Headcount!$E$20/12*(1+burden)*(1+salary_infl)^MAX(0,2028-2027),0)</f>
        <v>0</v>
      </c>
      <c r="R71" s="4" t="n">
        <f aca="false">IF(Headcount!$D$20&lt;=Timeline!R5,Headcount!$C$20*Headcount!$E$20/12*(1+burden)*(1+salary_infl)^MAX(0,2028-2027),0)</f>
        <v>15020.8333333333</v>
      </c>
      <c r="S71" s="4" t="n">
        <f aca="false">IF(Headcount!$D$20&lt;=Timeline!S5,Headcount!$C$20*Headcount!$E$20/12*(1+burden)*(1+salary_infl)^MAX(0,2028-2027),0)</f>
        <v>15020.8333333333</v>
      </c>
      <c r="T71" s="4" t="n">
        <f aca="false">IF(Headcount!$D$20&lt;=Timeline!T5,Headcount!$C$20*Headcount!$E$20/12*(1+burden)*(1+salary_infl)^MAX(0,2028-2027),0)</f>
        <v>15020.8333333333</v>
      </c>
      <c r="U71" s="4" t="n">
        <f aca="false">IF(Headcount!$D$20&lt;=Timeline!U5,Headcount!$C$20*Headcount!$E$20/12*(1+burden)*(1+salary_infl)^MAX(0,2028-2027),0)</f>
        <v>15020.8333333333</v>
      </c>
      <c r="V71" s="4" t="n">
        <f aca="false">IF(Headcount!$D$20&lt;=Timeline!V5,Headcount!$C$20*Headcount!$E$20/12*(1+burden)*(1+salary_infl)^MAX(0,2028-2027),0)</f>
        <v>15020.8333333333</v>
      </c>
      <c r="W71" s="4" t="n">
        <f aca="false">IF(Headcount!$D$20&lt;=Timeline!W5,Headcount!$C$20*Headcount!$E$20/12*(1+burden)*(1+salary_infl)^MAX(0,2028-2027),0)</f>
        <v>15020.8333333333</v>
      </c>
      <c r="X71" s="4" t="n">
        <f aca="false">IF(Headcount!$D$20&lt;=Timeline!X5,Headcount!$C$20*Headcount!$E$20/12*(1+burden)*(1+salary_infl)^MAX(0,2028-2027),0)</f>
        <v>15020.8333333333</v>
      </c>
      <c r="Y71" s="4" t="n">
        <f aca="false">IF(Headcount!$D$20&lt;=Timeline!Y5,Headcount!$C$20*Headcount!$E$20/12*(1+burden)*(1+salary_infl)^MAX(0,2028-2027),0)</f>
        <v>15020.8333333333</v>
      </c>
      <c r="Z71" s="4" t="n">
        <f aca="false">IF(Headcount!$D$20&lt;=Timeline!Z5,Headcount!$C$20*Headcount!$E$20/12*(1+burden)*(1+salary_infl)^MAX(0,2028-2027),0)</f>
        <v>15020.8333333333</v>
      </c>
      <c r="AA71" s="4" t="n">
        <f aca="false">IF(Headcount!$D$20&lt;=Timeline!AA5,Headcount!$C$20*Headcount!$E$20/12*(1+burden)*(1+salary_infl)^MAX(0,2028-2027),0)</f>
        <v>15020.8333333333</v>
      </c>
      <c r="AB71" s="4" t="n">
        <f aca="false">IF(Headcount!$D$20&lt;=Timeline!AB5,Headcount!$C$20*Headcount!$E$20/12*(1+burden)*(1+salary_infl)^MAX(0,2028-2027),0)</f>
        <v>15020.8333333333</v>
      </c>
      <c r="AC71" s="4" t="n">
        <f aca="false">Headcount!$C$20*Headcount!$E$20*(1+burden)*(1+salary_infl)^MAX(0,2029-2027)*MAX(0,MIN(12,(2029-YEAR(Headcount!$D$20))*12+13-MONTH(Headcount!$D$20)))/12</f>
        <v>185657.5</v>
      </c>
      <c r="AD71" s="4" t="n">
        <f aca="false">Headcount!$C$20*Headcount!$E$20*(1+burden)*(1+salary_infl)^MAX(0,2030-2027)*MAX(0,MIN(12,(2030-YEAR(Headcount!$D$20))*12+13-MONTH(Headcount!$D$20)))/12</f>
        <v>191227.225</v>
      </c>
      <c r="AE71" s="4" t="n">
        <f aca="false">Headcount!$C$20*Headcount!$E$20*(1+burden)*(1+salary_infl)^MAX(0,2031-2027)*MAX(0,MIN(12,(2031-YEAR(Headcount!$D$20))*12+13-MONTH(Headcount!$D$20)))/12</f>
        <v>196964.04175</v>
      </c>
      <c r="AG71" s="4" t="n">
        <f aca="false">SUMIF($C$3:$AE$3,AG$3,$C71:$AE71)</f>
        <v>0</v>
      </c>
      <c r="AH71" s="4" t="n">
        <f aca="false">SUMIF($C$3:$AE$3,AH$3,$C71:$AE71)</f>
        <v>0</v>
      </c>
      <c r="AI71" s="4" t="n">
        <f aca="false">SUMIF($C$3:$AE$3,AI$3,$C71:$AE71)</f>
        <v>165229.166666667</v>
      </c>
      <c r="AJ71" s="4" t="n">
        <f aca="false">SUMIF($C$3:$AE$3,AJ$3,$C71:$AE71)</f>
        <v>185657.5</v>
      </c>
      <c r="AK71" s="4" t="n">
        <f aca="false">SUMIF($C$3:$AE$3,AK$3,$C71:$AE71)</f>
        <v>191227.225</v>
      </c>
      <c r="AL71" s="4" t="n">
        <f aca="false">SUMIF($C$3:$AE$3,AL$3,$C71:$AE71)</f>
        <v>196964.04175</v>
      </c>
    </row>
    <row r="72" customFormat="false" ht="15" hidden="false" customHeight="false" outlineLevel="0" collapsed="false">
      <c r="A72" s="0" t="str">
        <f aca="false">Headcount!A21</f>
        <v>Customer support agents</v>
      </c>
      <c r="B72" s="2" t="str">
        <f aca="false">Headcount!B21</f>
        <v>Ops &amp; CS</v>
      </c>
      <c r="C72" s="4" t="n">
        <f aca="false">IF(Headcount!$D$21&lt;=Timeline!C5,Headcount!$C$21*Headcount!$E$21/12*(1+burden)*(1+salary_infl)^MAX(0,2026-2027),0)</f>
        <v>0</v>
      </c>
      <c r="D72" s="4" t="n">
        <f aca="false">IF(Headcount!$D$21&lt;=Timeline!D5,Headcount!$C$21*Headcount!$E$21/12*(1+burden)*(1+salary_infl)^MAX(0,2026-2027),0)</f>
        <v>0</v>
      </c>
      <c r="E72" s="4" t="n">
        <f aca="false">IF(Headcount!$D$21&lt;=Timeline!E5,Headcount!$C$21*Headcount!$E$21/12*(1+burden)*(1+salary_infl)^MAX(0,2027-2027),0)</f>
        <v>0</v>
      </c>
      <c r="F72" s="4" t="n">
        <f aca="false">IF(Headcount!$D$21&lt;=Timeline!F5,Headcount!$C$21*Headcount!$E$21/12*(1+burden)*(1+salary_infl)^MAX(0,2027-2027),0)</f>
        <v>0</v>
      </c>
      <c r="G72" s="4" t="n">
        <f aca="false">IF(Headcount!$D$21&lt;=Timeline!G5,Headcount!$C$21*Headcount!$E$21/12*(1+burden)*(1+salary_infl)^MAX(0,2027-2027),0)</f>
        <v>0</v>
      </c>
      <c r="H72" s="4" t="n">
        <f aca="false">IF(Headcount!$D$21&lt;=Timeline!H5,Headcount!$C$21*Headcount!$E$21/12*(1+burden)*(1+salary_infl)^MAX(0,2027-2027),0)</f>
        <v>0</v>
      </c>
      <c r="I72" s="4" t="n">
        <f aca="false">IF(Headcount!$D$21&lt;=Timeline!I5,Headcount!$C$21*Headcount!$E$21/12*(1+burden)*(1+salary_infl)^MAX(0,2027-2027),0)</f>
        <v>0</v>
      </c>
      <c r="J72" s="4" t="n">
        <f aca="false">IF(Headcount!$D$21&lt;=Timeline!J5,Headcount!$C$21*Headcount!$E$21/12*(1+burden)*(1+salary_infl)^MAX(0,2027-2027),0)</f>
        <v>0</v>
      </c>
      <c r="K72" s="4" t="n">
        <f aca="false">IF(Headcount!$D$21&lt;=Timeline!K5,Headcount!$C$21*Headcount!$E$21/12*(1+burden)*(1+salary_infl)^MAX(0,2027-2027),0)</f>
        <v>0</v>
      </c>
      <c r="L72" s="4" t="n">
        <f aca="false">IF(Headcount!$D$21&lt;=Timeline!L5,Headcount!$C$21*Headcount!$E$21/12*(1+burden)*(1+salary_infl)^MAX(0,2027-2027),0)</f>
        <v>0</v>
      </c>
      <c r="M72" s="4" t="n">
        <f aca="false">IF(Headcount!$D$21&lt;=Timeline!M5,Headcount!$C$21*Headcount!$E$21/12*(1+burden)*(1+salary_infl)^MAX(0,2027-2027),0)</f>
        <v>0</v>
      </c>
      <c r="N72" s="4" t="n">
        <f aca="false">IF(Headcount!$D$21&lt;=Timeline!N5,Headcount!$C$21*Headcount!$E$21/12*(1+burden)*(1+salary_infl)^MAX(0,2027-2027),0)</f>
        <v>0</v>
      </c>
      <c r="O72" s="4" t="n">
        <f aca="false">IF(Headcount!$D$21&lt;=Timeline!O5,Headcount!$C$21*Headcount!$E$21/12*(1+burden)*(1+salary_infl)^MAX(0,2027-2027),0)</f>
        <v>0</v>
      </c>
      <c r="P72" s="4" t="n">
        <f aca="false">IF(Headcount!$D$21&lt;=Timeline!P5,Headcount!$C$21*Headcount!$E$21/12*(1+burden)*(1+salary_infl)^MAX(0,2027-2027),0)</f>
        <v>0</v>
      </c>
      <c r="Q72" s="4" t="n">
        <f aca="false">IF(Headcount!$D$21&lt;=Timeline!Q5,Headcount!$C$21*Headcount!$E$21/12*(1+burden)*(1+salary_infl)^MAX(0,2028-2027),0)</f>
        <v>0</v>
      </c>
      <c r="R72" s="4" t="n">
        <f aca="false">IF(Headcount!$D$21&lt;=Timeline!R5,Headcount!$C$21*Headcount!$E$21/12*(1+burden)*(1+salary_infl)^MAX(0,2028-2027),0)</f>
        <v>0</v>
      </c>
      <c r="S72" s="4" t="n">
        <f aca="false">IF(Headcount!$D$21&lt;=Timeline!S5,Headcount!$C$21*Headcount!$E$21/12*(1+burden)*(1+salary_infl)^MAX(0,2028-2027),0)</f>
        <v>10729.1666666667</v>
      </c>
      <c r="T72" s="4" t="n">
        <f aca="false">IF(Headcount!$D$21&lt;=Timeline!T5,Headcount!$C$21*Headcount!$E$21/12*(1+burden)*(1+salary_infl)^MAX(0,2028-2027),0)</f>
        <v>10729.1666666667</v>
      </c>
      <c r="U72" s="4" t="n">
        <f aca="false">IF(Headcount!$D$21&lt;=Timeline!U5,Headcount!$C$21*Headcount!$E$21/12*(1+burden)*(1+salary_infl)^MAX(0,2028-2027),0)</f>
        <v>10729.1666666667</v>
      </c>
      <c r="V72" s="4" t="n">
        <f aca="false">IF(Headcount!$D$21&lt;=Timeline!V5,Headcount!$C$21*Headcount!$E$21/12*(1+burden)*(1+salary_infl)^MAX(0,2028-2027),0)</f>
        <v>10729.1666666667</v>
      </c>
      <c r="W72" s="4" t="n">
        <f aca="false">IF(Headcount!$D$21&lt;=Timeline!W5,Headcount!$C$21*Headcount!$E$21/12*(1+burden)*(1+salary_infl)^MAX(0,2028-2027),0)</f>
        <v>10729.1666666667</v>
      </c>
      <c r="X72" s="4" t="n">
        <f aca="false">IF(Headcount!$D$21&lt;=Timeline!X5,Headcount!$C$21*Headcount!$E$21/12*(1+burden)*(1+salary_infl)^MAX(0,2028-2027),0)</f>
        <v>10729.1666666667</v>
      </c>
      <c r="Y72" s="4" t="n">
        <f aca="false">IF(Headcount!$D$21&lt;=Timeline!Y5,Headcount!$C$21*Headcount!$E$21/12*(1+burden)*(1+salary_infl)^MAX(0,2028-2027),0)</f>
        <v>10729.1666666667</v>
      </c>
      <c r="Z72" s="4" t="n">
        <f aca="false">IF(Headcount!$D$21&lt;=Timeline!Z5,Headcount!$C$21*Headcount!$E$21/12*(1+burden)*(1+salary_infl)^MAX(0,2028-2027),0)</f>
        <v>10729.1666666667</v>
      </c>
      <c r="AA72" s="4" t="n">
        <f aca="false">IF(Headcount!$D$21&lt;=Timeline!AA5,Headcount!$C$21*Headcount!$E$21/12*(1+burden)*(1+salary_infl)^MAX(0,2028-2027),0)</f>
        <v>10729.1666666667</v>
      </c>
      <c r="AB72" s="4" t="n">
        <f aca="false">IF(Headcount!$D$21&lt;=Timeline!AB5,Headcount!$C$21*Headcount!$E$21/12*(1+burden)*(1+salary_infl)^MAX(0,2028-2027),0)</f>
        <v>10729.1666666667</v>
      </c>
      <c r="AC72" s="4" t="n">
        <f aca="false">Headcount!$C$21*Headcount!$E$21*(1+burden)*(1+salary_infl)^MAX(0,2029-2027)*MAX(0,MIN(12,(2029-YEAR(Headcount!$D$21))*12+13-MONTH(Headcount!$D$21)))/12</f>
        <v>132612.5</v>
      </c>
      <c r="AD72" s="4" t="n">
        <f aca="false">Headcount!$C$21*Headcount!$E$21*(1+burden)*(1+salary_infl)^MAX(0,2030-2027)*MAX(0,MIN(12,(2030-YEAR(Headcount!$D$21))*12+13-MONTH(Headcount!$D$21)))/12</f>
        <v>136590.875</v>
      </c>
      <c r="AE72" s="4" t="n">
        <f aca="false">Headcount!$C$21*Headcount!$E$21*(1+burden)*(1+salary_infl)^MAX(0,2031-2027)*MAX(0,MIN(12,(2031-YEAR(Headcount!$D$21))*12+13-MONTH(Headcount!$D$21)))/12</f>
        <v>140688.60125</v>
      </c>
      <c r="AG72" s="4" t="n">
        <f aca="false">SUMIF($C$3:$AE$3,AG$3,$C72:$AE72)</f>
        <v>0</v>
      </c>
      <c r="AH72" s="4" t="n">
        <f aca="false">SUMIF($C$3:$AE$3,AH$3,$C72:$AE72)</f>
        <v>0</v>
      </c>
      <c r="AI72" s="4" t="n">
        <f aca="false">SUMIF($C$3:$AE$3,AI$3,$C72:$AE72)</f>
        <v>107291.666666667</v>
      </c>
      <c r="AJ72" s="4" t="n">
        <f aca="false">SUMIF($C$3:$AE$3,AJ$3,$C72:$AE72)</f>
        <v>132612.5</v>
      </c>
      <c r="AK72" s="4" t="n">
        <f aca="false">SUMIF($C$3:$AE$3,AK$3,$C72:$AE72)</f>
        <v>136590.875</v>
      </c>
      <c r="AL72" s="4" t="n">
        <f aca="false">SUMIF($C$3:$AE$3,AL$3,$C72:$AE72)</f>
        <v>140688.60125</v>
      </c>
    </row>
    <row r="73" customFormat="false" ht="15" hidden="false" customHeight="false" outlineLevel="0" collapsed="false">
      <c r="A73" s="0" t="str">
        <f aca="false">Headcount!A22</f>
        <v>Retail &amp; partnerships manager</v>
      </c>
      <c r="B73" s="2" t="str">
        <f aca="false">Headcount!B22</f>
        <v>S&amp;M</v>
      </c>
      <c r="C73" s="4" t="n">
        <f aca="false">IF(Headcount!$D$22&lt;=Timeline!C5,Headcount!$C$22*Headcount!$E$22/12*(1+burden)*(1+salary_infl)^MAX(0,2026-2027),0)</f>
        <v>0</v>
      </c>
      <c r="D73" s="4" t="n">
        <f aca="false">IF(Headcount!$D$22&lt;=Timeline!D5,Headcount!$C$22*Headcount!$E$22/12*(1+burden)*(1+salary_infl)^MAX(0,2026-2027),0)</f>
        <v>0</v>
      </c>
      <c r="E73" s="4" t="n">
        <f aca="false">IF(Headcount!$D$22&lt;=Timeline!E5,Headcount!$C$22*Headcount!$E$22/12*(1+burden)*(1+salary_infl)^MAX(0,2027-2027),0)</f>
        <v>0</v>
      </c>
      <c r="F73" s="4" t="n">
        <f aca="false">IF(Headcount!$D$22&lt;=Timeline!F5,Headcount!$C$22*Headcount!$E$22/12*(1+burden)*(1+salary_infl)^MAX(0,2027-2027),0)</f>
        <v>0</v>
      </c>
      <c r="G73" s="4" t="n">
        <f aca="false">IF(Headcount!$D$22&lt;=Timeline!G5,Headcount!$C$22*Headcount!$E$22/12*(1+burden)*(1+salary_infl)^MAX(0,2027-2027),0)</f>
        <v>0</v>
      </c>
      <c r="H73" s="4" t="n">
        <f aca="false">IF(Headcount!$D$22&lt;=Timeline!H5,Headcount!$C$22*Headcount!$E$22/12*(1+burden)*(1+salary_infl)^MAX(0,2027-2027),0)</f>
        <v>0</v>
      </c>
      <c r="I73" s="4" t="n">
        <f aca="false">IF(Headcount!$D$22&lt;=Timeline!I5,Headcount!$C$22*Headcount!$E$22/12*(1+burden)*(1+salary_infl)^MAX(0,2027-2027),0)</f>
        <v>0</v>
      </c>
      <c r="J73" s="4" t="n">
        <f aca="false">IF(Headcount!$D$22&lt;=Timeline!J5,Headcount!$C$22*Headcount!$E$22/12*(1+burden)*(1+salary_infl)^MAX(0,2027-2027),0)</f>
        <v>0</v>
      </c>
      <c r="K73" s="4" t="n">
        <f aca="false">IF(Headcount!$D$22&lt;=Timeline!K5,Headcount!$C$22*Headcount!$E$22/12*(1+burden)*(1+salary_infl)^MAX(0,2027-2027),0)</f>
        <v>0</v>
      </c>
      <c r="L73" s="4" t="n">
        <f aca="false">IF(Headcount!$D$22&lt;=Timeline!L5,Headcount!$C$22*Headcount!$E$22/12*(1+burden)*(1+salary_infl)^MAX(0,2027-2027),0)</f>
        <v>0</v>
      </c>
      <c r="M73" s="4" t="n">
        <f aca="false">IF(Headcount!$D$22&lt;=Timeline!M5,Headcount!$C$22*Headcount!$E$22/12*(1+burden)*(1+salary_infl)^MAX(0,2027-2027),0)</f>
        <v>0</v>
      </c>
      <c r="N73" s="4" t="n">
        <f aca="false">IF(Headcount!$D$22&lt;=Timeline!N5,Headcount!$C$22*Headcount!$E$22/12*(1+burden)*(1+salary_infl)^MAX(0,2027-2027),0)</f>
        <v>0</v>
      </c>
      <c r="O73" s="4" t="n">
        <f aca="false">IF(Headcount!$D$22&lt;=Timeline!O5,Headcount!$C$22*Headcount!$E$22/12*(1+burden)*(1+salary_infl)^MAX(0,2027-2027),0)</f>
        <v>0</v>
      </c>
      <c r="P73" s="4" t="n">
        <f aca="false">IF(Headcount!$D$22&lt;=Timeline!P5,Headcount!$C$22*Headcount!$E$22/12*(1+burden)*(1+salary_infl)^MAX(0,2027-2027),0)</f>
        <v>0</v>
      </c>
      <c r="Q73" s="4" t="n">
        <f aca="false">IF(Headcount!$D$22&lt;=Timeline!Q5,Headcount!$C$22*Headcount!$E$22/12*(1+burden)*(1+salary_infl)^MAX(0,2028-2027),0)</f>
        <v>0</v>
      </c>
      <c r="R73" s="4" t="n">
        <f aca="false">IF(Headcount!$D$22&lt;=Timeline!R5,Headcount!$C$22*Headcount!$E$22/12*(1+burden)*(1+salary_infl)^MAX(0,2028-2027),0)</f>
        <v>0</v>
      </c>
      <c r="S73" s="4" t="n">
        <f aca="false">IF(Headcount!$D$22&lt;=Timeline!S5,Headcount!$C$22*Headcount!$E$22/12*(1+burden)*(1+salary_infl)^MAX(0,2028-2027),0)</f>
        <v>12875</v>
      </c>
      <c r="T73" s="4" t="n">
        <f aca="false">IF(Headcount!$D$22&lt;=Timeline!T5,Headcount!$C$22*Headcount!$E$22/12*(1+burden)*(1+salary_infl)^MAX(0,2028-2027),0)</f>
        <v>12875</v>
      </c>
      <c r="U73" s="4" t="n">
        <f aca="false">IF(Headcount!$D$22&lt;=Timeline!U5,Headcount!$C$22*Headcount!$E$22/12*(1+burden)*(1+salary_infl)^MAX(0,2028-2027),0)</f>
        <v>12875</v>
      </c>
      <c r="V73" s="4" t="n">
        <f aca="false">IF(Headcount!$D$22&lt;=Timeline!V5,Headcount!$C$22*Headcount!$E$22/12*(1+burden)*(1+salary_infl)^MAX(0,2028-2027),0)</f>
        <v>12875</v>
      </c>
      <c r="W73" s="4" t="n">
        <f aca="false">IF(Headcount!$D$22&lt;=Timeline!W5,Headcount!$C$22*Headcount!$E$22/12*(1+burden)*(1+salary_infl)^MAX(0,2028-2027),0)</f>
        <v>12875</v>
      </c>
      <c r="X73" s="4" t="n">
        <f aca="false">IF(Headcount!$D$22&lt;=Timeline!X5,Headcount!$C$22*Headcount!$E$22/12*(1+burden)*(1+salary_infl)^MAX(0,2028-2027),0)</f>
        <v>12875</v>
      </c>
      <c r="Y73" s="4" t="n">
        <f aca="false">IF(Headcount!$D$22&lt;=Timeline!Y5,Headcount!$C$22*Headcount!$E$22/12*(1+burden)*(1+salary_infl)^MAX(0,2028-2027),0)</f>
        <v>12875</v>
      </c>
      <c r="Z73" s="4" t="n">
        <f aca="false">IF(Headcount!$D$22&lt;=Timeline!Z5,Headcount!$C$22*Headcount!$E$22/12*(1+burden)*(1+salary_infl)^MAX(0,2028-2027),0)</f>
        <v>12875</v>
      </c>
      <c r="AA73" s="4" t="n">
        <f aca="false">IF(Headcount!$D$22&lt;=Timeline!AA5,Headcount!$C$22*Headcount!$E$22/12*(1+burden)*(1+salary_infl)^MAX(0,2028-2027),0)</f>
        <v>12875</v>
      </c>
      <c r="AB73" s="4" t="n">
        <f aca="false">IF(Headcount!$D$22&lt;=Timeline!AB5,Headcount!$C$22*Headcount!$E$22/12*(1+burden)*(1+salary_infl)^MAX(0,2028-2027),0)</f>
        <v>12875</v>
      </c>
      <c r="AC73" s="4" t="n">
        <f aca="false">Headcount!$C$22*Headcount!$E$22*(1+burden)*(1+salary_infl)^MAX(0,2029-2027)*MAX(0,MIN(12,(2029-YEAR(Headcount!$D$22))*12+13-MONTH(Headcount!$D$22)))/12</f>
        <v>159135</v>
      </c>
      <c r="AD73" s="4" t="n">
        <f aca="false">Headcount!$C$22*Headcount!$E$22*(1+burden)*(1+salary_infl)^MAX(0,2030-2027)*MAX(0,MIN(12,(2030-YEAR(Headcount!$D$22))*12+13-MONTH(Headcount!$D$22)))/12</f>
        <v>163909.05</v>
      </c>
      <c r="AE73" s="4" t="n">
        <f aca="false">Headcount!$C$22*Headcount!$E$22*(1+burden)*(1+salary_infl)^MAX(0,2031-2027)*MAX(0,MIN(12,(2031-YEAR(Headcount!$D$22))*12+13-MONTH(Headcount!$D$22)))/12</f>
        <v>168826.3215</v>
      </c>
      <c r="AG73" s="4" t="n">
        <f aca="false">SUMIF($C$3:$AE$3,AG$3,$C73:$AE73)</f>
        <v>0</v>
      </c>
      <c r="AH73" s="4" t="n">
        <f aca="false">SUMIF($C$3:$AE$3,AH$3,$C73:$AE73)</f>
        <v>0</v>
      </c>
      <c r="AI73" s="4" t="n">
        <f aca="false">SUMIF($C$3:$AE$3,AI$3,$C73:$AE73)</f>
        <v>128750</v>
      </c>
      <c r="AJ73" s="4" t="n">
        <f aca="false">SUMIF($C$3:$AE$3,AJ$3,$C73:$AE73)</f>
        <v>159135</v>
      </c>
      <c r="AK73" s="4" t="n">
        <f aca="false">SUMIF($C$3:$AE$3,AK$3,$C73:$AE73)</f>
        <v>163909.05</v>
      </c>
      <c r="AL73" s="4" t="n">
        <f aca="false">SUMIF($C$3:$AE$3,AL$3,$C73:$AE73)</f>
        <v>168826.3215</v>
      </c>
    </row>
    <row r="74" customFormat="false" ht="15" hidden="false" customHeight="false" outlineLevel="0" collapsed="false">
      <c r="A74" s="0" t="str">
        <f aca="false">Headcount!A23</f>
        <v>B2B fleet sales lead</v>
      </c>
      <c r="B74" s="2" t="str">
        <f aca="false">Headcount!B23</f>
        <v>S&amp;M</v>
      </c>
      <c r="C74" s="4" t="n">
        <f aca="false">IF(Headcount!$D$23&lt;=Timeline!C5,Headcount!$C$23*Headcount!$E$23/12*(1+burden)*(1+salary_infl)^MAX(0,2026-2027),0)</f>
        <v>0</v>
      </c>
      <c r="D74" s="4" t="n">
        <f aca="false">IF(Headcount!$D$23&lt;=Timeline!D5,Headcount!$C$23*Headcount!$E$23/12*(1+burden)*(1+salary_infl)^MAX(0,2026-2027),0)</f>
        <v>0</v>
      </c>
      <c r="E74" s="4" t="n">
        <f aca="false">IF(Headcount!$D$23&lt;=Timeline!E5,Headcount!$C$23*Headcount!$E$23/12*(1+burden)*(1+salary_infl)^MAX(0,2027-2027),0)</f>
        <v>0</v>
      </c>
      <c r="F74" s="4" t="n">
        <f aca="false">IF(Headcount!$D$23&lt;=Timeline!F5,Headcount!$C$23*Headcount!$E$23/12*(1+burden)*(1+salary_infl)^MAX(0,2027-2027),0)</f>
        <v>0</v>
      </c>
      <c r="G74" s="4" t="n">
        <f aca="false">IF(Headcount!$D$23&lt;=Timeline!G5,Headcount!$C$23*Headcount!$E$23/12*(1+burden)*(1+salary_infl)^MAX(0,2027-2027),0)</f>
        <v>0</v>
      </c>
      <c r="H74" s="4" t="n">
        <f aca="false">IF(Headcount!$D$23&lt;=Timeline!H5,Headcount!$C$23*Headcount!$E$23/12*(1+burden)*(1+salary_infl)^MAX(0,2027-2027),0)</f>
        <v>0</v>
      </c>
      <c r="I74" s="4" t="n">
        <f aca="false">IF(Headcount!$D$23&lt;=Timeline!I5,Headcount!$C$23*Headcount!$E$23/12*(1+burden)*(1+salary_infl)^MAX(0,2027-2027),0)</f>
        <v>0</v>
      </c>
      <c r="J74" s="4" t="n">
        <f aca="false">IF(Headcount!$D$23&lt;=Timeline!J5,Headcount!$C$23*Headcount!$E$23/12*(1+burden)*(1+salary_infl)^MAX(0,2027-2027),0)</f>
        <v>0</v>
      </c>
      <c r="K74" s="4" t="n">
        <f aca="false">IF(Headcount!$D$23&lt;=Timeline!K5,Headcount!$C$23*Headcount!$E$23/12*(1+burden)*(1+salary_infl)^MAX(0,2027-2027),0)</f>
        <v>0</v>
      </c>
      <c r="L74" s="4" t="n">
        <f aca="false">IF(Headcount!$D$23&lt;=Timeline!L5,Headcount!$C$23*Headcount!$E$23/12*(1+burden)*(1+salary_infl)^MAX(0,2027-2027),0)</f>
        <v>0</v>
      </c>
      <c r="M74" s="4" t="n">
        <f aca="false">IF(Headcount!$D$23&lt;=Timeline!M5,Headcount!$C$23*Headcount!$E$23/12*(1+burden)*(1+salary_infl)^MAX(0,2027-2027),0)</f>
        <v>0</v>
      </c>
      <c r="N74" s="4" t="n">
        <f aca="false">IF(Headcount!$D$23&lt;=Timeline!N5,Headcount!$C$23*Headcount!$E$23/12*(1+burden)*(1+salary_infl)^MAX(0,2027-2027),0)</f>
        <v>0</v>
      </c>
      <c r="O74" s="4" t="n">
        <f aca="false">IF(Headcount!$D$23&lt;=Timeline!O5,Headcount!$C$23*Headcount!$E$23/12*(1+burden)*(1+salary_infl)^MAX(0,2027-2027),0)</f>
        <v>0</v>
      </c>
      <c r="P74" s="4" t="n">
        <f aca="false">IF(Headcount!$D$23&lt;=Timeline!P5,Headcount!$C$23*Headcount!$E$23/12*(1+burden)*(1+salary_infl)^MAX(0,2027-2027),0)</f>
        <v>0</v>
      </c>
      <c r="Q74" s="4" t="n">
        <f aca="false">IF(Headcount!$D$23&lt;=Timeline!Q5,Headcount!$C$23*Headcount!$E$23/12*(1+burden)*(1+salary_infl)^MAX(0,2028-2027),0)</f>
        <v>0</v>
      </c>
      <c r="R74" s="4" t="n">
        <f aca="false">IF(Headcount!$D$23&lt;=Timeline!R5,Headcount!$C$23*Headcount!$E$23/12*(1+burden)*(1+salary_infl)^MAX(0,2028-2027),0)</f>
        <v>0</v>
      </c>
      <c r="S74" s="4" t="n">
        <f aca="false">IF(Headcount!$D$23&lt;=Timeline!S5,Headcount!$C$23*Headcount!$E$23/12*(1+burden)*(1+salary_infl)^MAX(0,2028-2027),0)</f>
        <v>0</v>
      </c>
      <c r="T74" s="4" t="n">
        <f aca="false">IF(Headcount!$D$23&lt;=Timeline!T5,Headcount!$C$23*Headcount!$E$23/12*(1+burden)*(1+salary_infl)^MAX(0,2028-2027),0)</f>
        <v>11802.0833333333</v>
      </c>
      <c r="U74" s="4" t="n">
        <f aca="false">IF(Headcount!$D$23&lt;=Timeline!U5,Headcount!$C$23*Headcount!$E$23/12*(1+burden)*(1+salary_infl)^MAX(0,2028-2027),0)</f>
        <v>11802.0833333333</v>
      </c>
      <c r="V74" s="4" t="n">
        <f aca="false">IF(Headcount!$D$23&lt;=Timeline!V5,Headcount!$C$23*Headcount!$E$23/12*(1+burden)*(1+salary_infl)^MAX(0,2028-2027),0)</f>
        <v>11802.0833333333</v>
      </c>
      <c r="W74" s="4" t="n">
        <f aca="false">IF(Headcount!$D$23&lt;=Timeline!W5,Headcount!$C$23*Headcount!$E$23/12*(1+burden)*(1+salary_infl)^MAX(0,2028-2027),0)</f>
        <v>11802.0833333333</v>
      </c>
      <c r="X74" s="4" t="n">
        <f aca="false">IF(Headcount!$D$23&lt;=Timeline!X5,Headcount!$C$23*Headcount!$E$23/12*(1+burden)*(1+salary_infl)^MAX(0,2028-2027),0)</f>
        <v>11802.0833333333</v>
      </c>
      <c r="Y74" s="4" t="n">
        <f aca="false">IF(Headcount!$D$23&lt;=Timeline!Y5,Headcount!$C$23*Headcount!$E$23/12*(1+burden)*(1+salary_infl)^MAX(0,2028-2027),0)</f>
        <v>11802.0833333333</v>
      </c>
      <c r="Z74" s="4" t="n">
        <f aca="false">IF(Headcount!$D$23&lt;=Timeline!Z5,Headcount!$C$23*Headcount!$E$23/12*(1+burden)*(1+salary_infl)^MAX(0,2028-2027),0)</f>
        <v>11802.0833333333</v>
      </c>
      <c r="AA74" s="4" t="n">
        <f aca="false">IF(Headcount!$D$23&lt;=Timeline!AA5,Headcount!$C$23*Headcount!$E$23/12*(1+burden)*(1+salary_infl)^MAX(0,2028-2027),0)</f>
        <v>11802.0833333333</v>
      </c>
      <c r="AB74" s="4" t="n">
        <f aca="false">IF(Headcount!$D$23&lt;=Timeline!AB5,Headcount!$C$23*Headcount!$E$23/12*(1+burden)*(1+salary_infl)^MAX(0,2028-2027),0)</f>
        <v>11802.0833333333</v>
      </c>
      <c r="AC74" s="4" t="n">
        <f aca="false">Headcount!$C$23*Headcount!$E$23*(1+burden)*(1+salary_infl)^MAX(0,2029-2027)*MAX(0,MIN(12,(2029-YEAR(Headcount!$D$23))*12+13-MONTH(Headcount!$D$23)))/12</f>
        <v>145873.75</v>
      </c>
      <c r="AD74" s="4" t="n">
        <f aca="false">Headcount!$C$23*Headcount!$E$23*(1+burden)*(1+salary_infl)^MAX(0,2030-2027)*MAX(0,MIN(12,(2030-YEAR(Headcount!$D$23))*12+13-MONTH(Headcount!$D$23)))/12</f>
        <v>150249.9625</v>
      </c>
      <c r="AE74" s="4" t="n">
        <f aca="false">Headcount!$C$23*Headcount!$E$23*(1+burden)*(1+salary_infl)^MAX(0,2031-2027)*MAX(0,MIN(12,(2031-YEAR(Headcount!$D$23))*12+13-MONTH(Headcount!$D$23)))/12</f>
        <v>154757.461375</v>
      </c>
      <c r="AG74" s="4" t="n">
        <f aca="false">SUMIF($C$3:$AE$3,AG$3,$C74:$AE74)</f>
        <v>0</v>
      </c>
      <c r="AH74" s="4" t="n">
        <f aca="false">SUMIF($C$3:$AE$3,AH$3,$C74:$AE74)</f>
        <v>0</v>
      </c>
      <c r="AI74" s="4" t="n">
        <f aca="false">SUMIF($C$3:$AE$3,AI$3,$C74:$AE74)</f>
        <v>106218.75</v>
      </c>
      <c r="AJ74" s="4" t="n">
        <f aca="false">SUMIF($C$3:$AE$3,AJ$3,$C74:$AE74)</f>
        <v>145873.75</v>
      </c>
      <c r="AK74" s="4" t="n">
        <f aca="false">SUMIF($C$3:$AE$3,AK$3,$C74:$AE74)</f>
        <v>150249.9625</v>
      </c>
      <c r="AL74" s="4" t="n">
        <f aca="false">SUMIF($C$3:$AE$3,AL$3,$C74:$AE74)</f>
        <v>154757.461375</v>
      </c>
    </row>
    <row r="75" customFormat="false" ht="15" hidden="false" customHeight="false" outlineLevel="0" collapsed="false">
      <c r="A75" s="0" t="str">
        <f aca="false">Headcount!A24</f>
        <v>QA / test engineer</v>
      </c>
      <c r="B75" s="2" t="str">
        <f aca="false">Headcount!B24</f>
        <v>R&amp;D</v>
      </c>
      <c r="C75" s="4" t="n">
        <f aca="false">IF(Headcount!$D$24&lt;=Timeline!C5,Headcount!$C$24*Headcount!$E$24/12*(1+burden)*(1+salary_infl)^MAX(0,2026-2027),0)</f>
        <v>0</v>
      </c>
      <c r="D75" s="4" t="n">
        <f aca="false">IF(Headcount!$D$24&lt;=Timeline!D5,Headcount!$C$24*Headcount!$E$24/12*(1+burden)*(1+salary_infl)^MAX(0,2026-2027),0)</f>
        <v>0</v>
      </c>
      <c r="E75" s="4" t="n">
        <f aca="false">IF(Headcount!$D$24&lt;=Timeline!E5,Headcount!$C$24*Headcount!$E$24/12*(1+burden)*(1+salary_infl)^MAX(0,2027-2027),0)</f>
        <v>0</v>
      </c>
      <c r="F75" s="4" t="n">
        <f aca="false">IF(Headcount!$D$24&lt;=Timeline!F5,Headcount!$C$24*Headcount!$E$24/12*(1+burden)*(1+salary_infl)^MAX(0,2027-2027),0)</f>
        <v>0</v>
      </c>
      <c r="G75" s="4" t="n">
        <f aca="false">IF(Headcount!$D$24&lt;=Timeline!G5,Headcount!$C$24*Headcount!$E$24/12*(1+burden)*(1+salary_infl)^MAX(0,2027-2027),0)</f>
        <v>0</v>
      </c>
      <c r="H75" s="4" t="n">
        <f aca="false">IF(Headcount!$D$24&lt;=Timeline!H5,Headcount!$C$24*Headcount!$E$24/12*(1+burden)*(1+salary_infl)^MAX(0,2027-2027),0)</f>
        <v>0</v>
      </c>
      <c r="I75" s="4" t="n">
        <f aca="false">IF(Headcount!$D$24&lt;=Timeline!I5,Headcount!$C$24*Headcount!$E$24/12*(1+burden)*(1+salary_infl)^MAX(0,2027-2027),0)</f>
        <v>0</v>
      </c>
      <c r="J75" s="4" t="n">
        <f aca="false">IF(Headcount!$D$24&lt;=Timeline!J5,Headcount!$C$24*Headcount!$E$24/12*(1+burden)*(1+salary_infl)^MAX(0,2027-2027),0)</f>
        <v>0</v>
      </c>
      <c r="K75" s="4" t="n">
        <f aca="false">IF(Headcount!$D$24&lt;=Timeline!K5,Headcount!$C$24*Headcount!$E$24/12*(1+burden)*(1+salary_infl)^MAX(0,2027-2027),0)</f>
        <v>0</v>
      </c>
      <c r="L75" s="4" t="n">
        <f aca="false">IF(Headcount!$D$24&lt;=Timeline!L5,Headcount!$C$24*Headcount!$E$24/12*(1+burden)*(1+salary_infl)^MAX(0,2027-2027),0)</f>
        <v>0</v>
      </c>
      <c r="M75" s="4" t="n">
        <f aca="false">IF(Headcount!$D$24&lt;=Timeline!M5,Headcount!$C$24*Headcount!$E$24/12*(1+burden)*(1+salary_infl)^MAX(0,2027-2027),0)</f>
        <v>0</v>
      </c>
      <c r="N75" s="4" t="n">
        <f aca="false">IF(Headcount!$D$24&lt;=Timeline!N5,Headcount!$C$24*Headcount!$E$24/12*(1+burden)*(1+salary_infl)^MAX(0,2027-2027),0)</f>
        <v>0</v>
      </c>
      <c r="O75" s="4" t="n">
        <f aca="false">IF(Headcount!$D$24&lt;=Timeline!O5,Headcount!$C$24*Headcount!$E$24/12*(1+burden)*(1+salary_infl)^MAX(0,2027-2027),0)</f>
        <v>0</v>
      </c>
      <c r="P75" s="4" t="n">
        <f aca="false">IF(Headcount!$D$24&lt;=Timeline!P5,Headcount!$C$24*Headcount!$E$24/12*(1+burden)*(1+salary_infl)^MAX(0,2027-2027),0)</f>
        <v>0</v>
      </c>
      <c r="Q75" s="4" t="n">
        <f aca="false">IF(Headcount!$D$24&lt;=Timeline!Q5,Headcount!$C$24*Headcount!$E$24/12*(1+burden)*(1+salary_infl)^MAX(0,2028-2027),0)</f>
        <v>0</v>
      </c>
      <c r="R75" s="4" t="n">
        <f aca="false">IF(Headcount!$D$24&lt;=Timeline!R5,Headcount!$C$24*Headcount!$E$24/12*(1+burden)*(1+salary_infl)^MAX(0,2028-2027),0)</f>
        <v>0</v>
      </c>
      <c r="S75" s="4" t="n">
        <f aca="false">IF(Headcount!$D$24&lt;=Timeline!S5,Headcount!$C$24*Headcount!$E$24/12*(1+burden)*(1+salary_infl)^MAX(0,2028-2027),0)</f>
        <v>0</v>
      </c>
      <c r="T75" s="4" t="n">
        <f aca="false">IF(Headcount!$D$24&lt;=Timeline!T5,Headcount!$C$24*Headcount!$E$24/12*(1+burden)*(1+salary_infl)^MAX(0,2028-2027),0)</f>
        <v>12338.5416666667</v>
      </c>
      <c r="U75" s="4" t="n">
        <f aca="false">IF(Headcount!$D$24&lt;=Timeline!U5,Headcount!$C$24*Headcount!$E$24/12*(1+burden)*(1+salary_infl)^MAX(0,2028-2027),0)</f>
        <v>12338.5416666667</v>
      </c>
      <c r="V75" s="4" t="n">
        <f aca="false">IF(Headcount!$D$24&lt;=Timeline!V5,Headcount!$C$24*Headcount!$E$24/12*(1+burden)*(1+salary_infl)^MAX(0,2028-2027),0)</f>
        <v>12338.5416666667</v>
      </c>
      <c r="W75" s="4" t="n">
        <f aca="false">IF(Headcount!$D$24&lt;=Timeline!W5,Headcount!$C$24*Headcount!$E$24/12*(1+burden)*(1+salary_infl)^MAX(0,2028-2027),0)</f>
        <v>12338.5416666667</v>
      </c>
      <c r="X75" s="4" t="n">
        <f aca="false">IF(Headcount!$D$24&lt;=Timeline!X5,Headcount!$C$24*Headcount!$E$24/12*(1+burden)*(1+salary_infl)^MAX(0,2028-2027),0)</f>
        <v>12338.5416666667</v>
      </c>
      <c r="Y75" s="4" t="n">
        <f aca="false">IF(Headcount!$D$24&lt;=Timeline!Y5,Headcount!$C$24*Headcount!$E$24/12*(1+burden)*(1+salary_infl)^MAX(0,2028-2027),0)</f>
        <v>12338.5416666667</v>
      </c>
      <c r="Z75" s="4" t="n">
        <f aca="false">IF(Headcount!$D$24&lt;=Timeline!Z5,Headcount!$C$24*Headcount!$E$24/12*(1+burden)*(1+salary_infl)^MAX(0,2028-2027),0)</f>
        <v>12338.5416666667</v>
      </c>
      <c r="AA75" s="4" t="n">
        <f aca="false">IF(Headcount!$D$24&lt;=Timeline!AA5,Headcount!$C$24*Headcount!$E$24/12*(1+burden)*(1+salary_infl)^MAX(0,2028-2027),0)</f>
        <v>12338.5416666667</v>
      </c>
      <c r="AB75" s="4" t="n">
        <f aca="false">IF(Headcount!$D$24&lt;=Timeline!AB5,Headcount!$C$24*Headcount!$E$24/12*(1+burden)*(1+salary_infl)^MAX(0,2028-2027),0)</f>
        <v>12338.5416666667</v>
      </c>
      <c r="AC75" s="4" t="n">
        <f aca="false">Headcount!$C$24*Headcount!$E$24*(1+burden)*(1+salary_infl)^MAX(0,2029-2027)*MAX(0,MIN(12,(2029-YEAR(Headcount!$D$24))*12+13-MONTH(Headcount!$D$24)))/12</f>
        <v>152504.375</v>
      </c>
      <c r="AD75" s="4" t="n">
        <f aca="false">Headcount!$C$24*Headcount!$E$24*(1+burden)*(1+salary_infl)^MAX(0,2030-2027)*MAX(0,MIN(12,(2030-YEAR(Headcount!$D$24))*12+13-MONTH(Headcount!$D$24)))/12</f>
        <v>157079.50625</v>
      </c>
      <c r="AE75" s="4" t="n">
        <f aca="false">Headcount!$C$24*Headcount!$E$24*(1+burden)*(1+salary_infl)^MAX(0,2031-2027)*MAX(0,MIN(12,(2031-YEAR(Headcount!$D$24))*12+13-MONTH(Headcount!$D$24)))/12</f>
        <v>161791.8914375</v>
      </c>
      <c r="AG75" s="4" t="n">
        <f aca="false">SUMIF($C$3:$AE$3,AG$3,$C75:$AE75)</f>
        <v>0</v>
      </c>
      <c r="AH75" s="4" t="n">
        <f aca="false">SUMIF($C$3:$AE$3,AH$3,$C75:$AE75)</f>
        <v>0</v>
      </c>
      <c r="AI75" s="4" t="n">
        <f aca="false">SUMIF($C$3:$AE$3,AI$3,$C75:$AE75)</f>
        <v>111046.875</v>
      </c>
      <c r="AJ75" s="4" t="n">
        <f aca="false">SUMIF($C$3:$AE$3,AJ$3,$C75:$AE75)</f>
        <v>152504.375</v>
      </c>
      <c r="AK75" s="4" t="n">
        <f aca="false">SUMIF($C$3:$AE$3,AK$3,$C75:$AE75)</f>
        <v>157079.50625</v>
      </c>
      <c r="AL75" s="4" t="n">
        <f aca="false">SUMIF($C$3:$AE$3,AL$3,$C75:$AE75)</f>
        <v>161791.8914375</v>
      </c>
    </row>
    <row r="76" customFormat="false" ht="15" hidden="false" customHeight="false" outlineLevel="0" collapsed="false">
      <c r="A76" s="0" t="str">
        <f aca="false">Headcount!A25</f>
        <v>ML engineer #2 (on-device models)</v>
      </c>
      <c r="B76" s="2" t="str">
        <f aca="false">Headcount!B25</f>
        <v>R&amp;D</v>
      </c>
      <c r="C76" s="4" t="n">
        <f aca="false">IF(Headcount!$D$25&lt;=Timeline!C5,Headcount!$C$25*Headcount!$E$25/12*(1+burden)*(1+salary_infl)^MAX(0,2026-2027),0)</f>
        <v>0</v>
      </c>
      <c r="D76" s="4" t="n">
        <f aca="false">IF(Headcount!$D$25&lt;=Timeline!D5,Headcount!$C$25*Headcount!$E$25/12*(1+burden)*(1+salary_infl)^MAX(0,2026-2027),0)</f>
        <v>0</v>
      </c>
      <c r="E76" s="4" t="n">
        <f aca="false">IF(Headcount!$D$25&lt;=Timeline!E5,Headcount!$C$25*Headcount!$E$25/12*(1+burden)*(1+salary_infl)^MAX(0,2027-2027),0)</f>
        <v>0</v>
      </c>
      <c r="F76" s="4" t="n">
        <f aca="false">IF(Headcount!$D$25&lt;=Timeline!F5,Headcount!$C$25*Headcount!$E$25/12*(1+burden)*(1+salary_infl)^MAX(0,2027-2027),0)</f>
        <v>0</v>
      </c>
      <c r="G76" s="4" t="n">
        <f aca="false">IF(Headcount!$D$25&lt;=Timeline!G5,Headcount!$C$25*Headcount!$E$25/12*(1+burden)*(1+salary_infl)^MAX(0,2027-2027),0)</f>
        <v>0</v>
      </c>
      <c r="H76" s="4" t="n">
        <f aca="false">IF(Headcount!$D$25&lt;=Timeline!H5,Headcount!$C$25*Headcount!$E$25/12*(1+burden)*(1+salary_infl)^MAX(0,2027-2027),0)</f>
        <v>0</v>
      </c>
      <c r="I76" s="4" t="n">
        <f aca="false">IF(Headcount!$D$25&lt;=Timeline!I5,Headcount!$C$25*Headcount!$E$25/12*(1+burden)*(1+salary_infl)^MAX(0,2027-2027),0)</f>
        <v>0</v>
      </c>
      <c r="J76" s="4" t="n">
        <f aca="false">IF(Headcount!$D$25&lt;=Timeline!J5,Headcount!$C$25*Headcount!$E$25/12*(1+burden)*(1+salary_infl)^MAX(0,2027-2027),0)</f>
        <v>0</v>
      </c>
      <c r="K76" s="4" t="n">
        <f aca="false">IF(Headcount!$D$25&lt;=Timeline!K5,Headcount!$C$25*Headcount!$E$25/12*(1+burden)*(1+salary_infl)^MAX(0,2027-2027),0)</f>
        <v>0</v>
      </c>
      <c r="L76" s="4" t="n">
        <f aca="false">IF(Headcount!$D$25&lt;=Timeline!L5,Headcount!$C$25*Headcount!$E$25/12*(1+burden)*(1+salary_infl)^MAX(0,2027-2027),0)</f>
        <v>0</v>
      </c>
      <c r="M76" s="4" t="n">
        <f aca="false">IF(Headcount!$D$25&lt;=Timeline!M5,Headcount!$C$25*Headcount!$E$25/12*(1+burden)*(1+salary_infl)^MAX(0,2027-2027),0)</f>
        <v>0</v>
      </c>
      <c r="N76" s="4" t="n">
        <f aca="false">IF(Headcount!$D$25&lt;=Timeline!N5,Headcount!$C$25*Headcount!$E$25/12*(1+burden)*(1+salary_infl)^MAX(0,2027-2027),0)</f>
        <v>0</v>
      </c>
      <c r="O76" s="4" t="n">
        <f aca="false">IF(Headcount!$D$25&lt;=Timeline!O5,Headcount!$C$25*Headcount!$E$25/12*(1+burden)*(1+salary_infl)^MAX(0,2027-2027),0)</f>
        <v>0</v>
      </c>
      <c r="P76" s="4" t="n">
        <f aca="false">IF(Headcount!$D$25&lt;=Timeline!P5,Headcount!$C$25*Headcount!$E$25/12*(1+burden)*(1+salary_infl)^MAX(0,2027-2027),0)</f>
        <v>0</v>
      </c>
      <c r="Q76" s="4" t="n">
        <f aca="false">IF(Headcount!$D$25&lt;=Timeline!Q5,Headcount!$C$25*Headcount!$E$25/12*(1+burden)*(1+salary_infl)^MAX(0,2028-2027),0)</f>
        <v>0</v>
      </c>
      <c r="R76" s="4" t="n">
        <f aca="false">IF(Headcount!$D$25&lt;=Timeline!R5,Headcount!$C$25*Headcount!$E$25/12*(1+burden)*(1+salary_infl)^MAX(0,2028-2027),0)</f>
        <v>0</v>
      </c>
      <c r="S76" s="4" t="n">
        <f aca="false">IF(Headcount!$D$25&lt;=Timeline!S5,Headcount!$C$25*Headcount!$E$25/12*(1+burden)*(1+salary_infl)^MAX(0,2028-2027),0)</f>
        <v>0</v>
      </c>
      <c r="T76" s="4" t="n">
        <f aca="false">IF(Headcount!$D$25&lt;=Timeline!T5,Headcount!$C$25*Headcount!$E$25/12*(1+burden)*(1+salary_infl)^MAX(0,2028-2027),0)</f>
        <v>0</v>
      </c>
      <c r="U76" s="4" t="n">
        <f aca="false">IF(Headcount!$D$25&lt;=Timeline!U5,Headcount!$C$25*Headcount!$E$25/12*(1+burden)*(1+salary_infl)^MAX(0,2028-2027),0)</f>
        <v>0</v>
      </c>
      <c r="V76" s="4" t="n">
        <f aca="false">IF(Headcount!$D$25&lt;=Timeline!V5,Headcount!$C$25*Headcount!$E$25/12*(1+burden)*(1+salary_infl)^MAX(0,2028-2027),0)</f>
        <v>17703.125</v>
      </c>
      <c r="W76" s="4" t="n">
        <f aca="false">IF(Headcount!$D$25&lt;=Timeline!W5,Headcount!$C$25*Headcount!$E$25/12*(1+burden)*(1+salary_infl)^MAX(0,2028-2027),0)</f>
        <v>17703.125</v>
      </c>
      <c r="X76" s="4" t="n">
        <f aca="false">IF(Headcount!$D$25&lt;=Timeline!X5,Headcount!$C$25*Headcount!$E$25/12*(1+burden)*(1+salary_infl)^MAX(0,2028-2027),0)</f>
        <v>17703.125</v>
      </c>
      <c r="Y76" s="4" t="n">
        <f aca="false">IF(Headcount!$D$25&lt;=Timeline!Y5,Headcount!$C$25*Headcount!$E$25/12*(1+burden)*(1+salary_infl)^MAX(0,2028-2027),0)</f>
        <v>17703.125</v>
      </c>
      <c r="Z76" s="4" t="n">
        <f aca="false">IF(Headcount!$D$25&lt;=Timeline!Z5,Headcount!$C$25*Headcount!$E$25/12*(1+burden)*(1+salary_infl)^MAX(0,2028-2027),0)</f>
        <v>17703.125</v>
      </c>
      <c r="AA76" s="4" t="n">
        <f aca="false">IF(Headcount!$D$25&lt;=Timeline!AA5,Headcount!$C$25*Headcount!$E$25/12*(1+burden)*(1+salary_infl)^MAX(0,2028-2027),0)</f>
        <v>17703.125</v>
      </c>
      <c r="AB76" s="4" t="n">
        <f aca="false">IF(Headcount!$D$25&lt;=Timeline!AB5,Headcount!$C$25*Headcount!$E$25/12*(1+burden)*(1+salary_infl)^MAX(0,2028-2027),0)</f>
        <v>17703.125</v>
      </c>
      <c r="AC76" s="4" t="n">
        <f aca="false">Headcount!$C$25*Headcount!$E$25*(1+burden)*(1+salary_infl)^MAX(0,2029-2027)*MAX(0,MIN(12,(2029-YEAR(Headcount!$D$25))*12+13-MONTH(Headcount!$D$25)))/12</f>
        <v>218810.625</v>
      </c>
      <c r="AD76" s="4" t="n">
        <f aca="false">Headcount!$C$25*Headcount!$E$25*(1+burden)*(1+salary_infl)^MAX(0,2030-2027)*MAX(0,MIN(12,(2030-YEAR(Headcount!$D$25))*12+13-MONTH(Headcount!$D$25)))/12</f>
        <v>225374.94375</v>
      </c>
      <c r="AE76" s="4" t="n">
        <f aca="false">Headcount!$C$25*Headcount!$E$25*(1+burden)*(1+salary_infl)^MAX(0,2031-2027)*MAX(0,MIN(12,(2031-YEAR(Headcount!$D$25))*12+13-MONTH(Headcount!$D$25)))/12</f>
        <v>232136.1920625</v>
      </c>
      <c r="AG76" s="4" t="n">
        <f aca="false">SUMIF($C$3:$AE$3,AG$3,$C76:$AE76)</f>
        <v>0</v>
      </c>
      <c r="AH76" s="4" t="n">
        <f aca="false">SUMIF($C$3:$AE$3,AH$3,$C76:$AE76)</f>
        <v>0</v>
      </c>
      <c r="AI76" s="4" t="n">
        <f aca="false">SUMIF($C$3:$AE$3,AI$3,$C76:$AE76)</f>
        <v>123921.875</v>
      </c>
      <c r="AJ76" s="4" t="n">
        <f aca="false">SUMIF($C$3:$AE$3,AJ$3,$C76:$AE76)</f>
        <v>218810.625</v>
      </c>
      <c r="AK76" s="4" t="n">
        <f aca="false">SUMIF($C$3:$AE$3,AK$3,$C76:$AE76)</f>
        <v>225374.94375</v>
      </c>
      <c r="AL76" s="4" t="n">
        <f aca="false">SUMIF($C$3:$AE$3,AL$3,$C76:$AE76)</f>
        <v>232136.1920625</v>
      </c>
    </row>
    <row r="77" customFormat="false" ht="15" hidden="false" customHeight="false" outlineLevel="0" collapsed="false">
      <c r="A77" s="0" t="str">
        <f aca="false">Headcount!A26</f>
        <v>Brand &amp; content marketer</v>
      </c>
      <c r="B77" s="2" t="str">
        <f aca="false">Headcount!B26</f>
        <v>S&amp;M</v>
      </c>
      <c r="C77" s="4" t="n">
        <f aca="false">IF(Headcount!$D$26&lt;=Timeline!C5,Headcount!$C$26*Headcount!$E$26/12*(1+burden)*(1+salary_infl)^MAX(0,2026-2027),0)</f>
        <v>0</v>
      </c>
      <c r="D77" s="4" t="n">
        <f aca="false">IF(Headcount!$D$26&lt;=Timeline!D5,Headcount!$C$26*Headcount!$E$26/12*(1+burden)*(1+salary_infl)^MAX(0,2026-2027),0)</f>
        <v>0</v>
      </c>
      <c r="E77" s="4" t="n">
        <f aca="false">IF(Headcount!$D$26&lt;=Timeline!E5,Headcount!$C$26*Headcount!$E$26/12*(1+burden)*(1+salary_infl)^MAX(0,2027-2027),0)</f>
        <v>0</v>
      </c>
      <c r="F77" s="4" t="n">
        <f aca="false">IF(Headcount!$D$26&lt;=Timeline!F5,Headcount!$C$26*Headcount!$E$26/12*(1+burden)*(1+salary_infl)^MAX(0,2027-2027),0)</f>
        <v>0</v>
      </c>
      <c r="G77" s="4" t="n">
        <f aca="false">IF(Headcount!$D$26&lt;=Timeline!G5,Headcount!$C$26*Headcount!$E$26/12*(1+burden)*(1+salary_infl)^MAX(0,2027-2027),0)</f>
        <v>0</v>
      </c>
      <c r="H77" s="4" t="n">
        <f aca="false">IF(Headcount!$D$26&lt;=Timeline!H5,Headcount!$C$26*Headcount!$E$26/12*(1+burden)*(1+salary_infl)^MAX(0,2027-2027),0)</f>
        <v>0</v>
      </c>
      <c r="I77" s="4" t="n">
        <f aca="false">IF(Headcount!$D$26&lt;=Timeline!I5,Headcount!$C$26*Headcount!$E$26/12*(1+burden)*(1+salary_infl)^MAX(0,2027-2027),0)</f>
        <v>0</v>
      </c>
      <c r="J77" s="4" t="n">
        <f aca="false">IF(Headcount!$D$26&lt;=Timeline!J5,Headcount!$C$26*Headcount!$E$26/12*(1+burden)*(1+salary_infl)^MAX(0,2027-2027),0)</f>
        <v>0</v>
      </c>
      <c r="K77" s="4" t="n">
        <f aca="false">IF(Headcount!$D$26&lt;=Timeline!K5,Headcount!$C$26*Headcount!$E$26/12*(1+burden)*(1+salary_infl)^MAX(0,2027-2027),0)</f>
        <v>0</v>
      </c>
      <c r="L77" s="4" t="n">
        <f aca="false">IF(Headcount!$D$26&lt;=Timeline!L5,Headcount!$C$26*Headcount!$E$26/12*(1+burden)*(1+salary_infl)^MAX(0,2027-2027),0)</f>
        <v>0</v>
      </c>
      <c r="M77" s="4" t="n">
        <f aca="false">IF(Headcount!$D$26&lt;=Timeline!M5,Headcount!$C$26*Headcount!$E$26/12*(1+burden)*(1+salary_infl)^MAX(0,2027-2027),0)</f>
        <v>0</v>
      </c>
      <c r="N77" s="4" t="n">
        <f aca="false">IF(Headcount!$D$26&lt;=Timeline!N5,Headcount!$C$26*Headcount!$E$26/12*(1+burden)*(1+salary_infl)^MAX(0,2027-2027),0)</f>
        <v>0</v>
      </c>
      <c r="O77" s="4" t="n">
        <f aca="false">IF(Headcount!$D$26&lt;=Timeline!O5,Headcount!$C$26*Headcount!$E$26/12*(1+burden)*(1+salary_infl)^MAX(0,2027-2027),0)</f>
        <v>0</v>
      </c>
      <c r="P77" s="4" t="n">
        <f aca="false">IF(Headcount!$D$26&lt;=Timeline!P5,Headcount!$C$26*Headcount!$E$26/12*(1+burden)*(1+salary_infl)^MAX(0,2027-2027),0)</f>
        <v>0</v>
      </c>
      <c r="Q77" s="4" t="n">
        <f aca="false">IF(Headcount!$D$26&lt;=Timeline!Q5,Headcount!$C$26*Headcount!$E$26/12*(1+burden)*(1+salary_infl)^MAX(0,2028-2027),0)</f>
        <v>0</v>
      </c>
      <c r="R77" s="4" t="n">
        <f aca="false">IF(Headcount!$D$26&lt;=Timeline!R5,Headcount!$C$26*Headcount!$E$26/12*(1+burden)*(1+salary_infl)^MAX(0,2028-2027),0)</f>
        <v>0</v>
      </c>
      <c r="S77" s="4" t="n">
        <f aca="false">IF(Headcount!$D$26&lt;=Timeline!S5,Headcount!$C$26*Headcount!$E$26/12*(1+burden)*(1+salary_infl)^MAX(0,2028-2027),0)</f>
        <v>0</v>
      </c>
      <c r="T77" s="4" t="n">
        <f aca="false">IF(Headcount!$D$26&lt;=Timeline!T5,Headcount!$C$26*Headcount!$E$26/12*(1+burden)*(1+salary_infl)^MAX(0,2028-2027),0)</f>
        <v>0</v>
      </c>
      <c r="U77" s="4" t="n">
        <f aca="false">IF(Headcount!$D$26&lt;=Timeline!U5,Headcount!$C$26*Headcount!$E$26/12*(1+burden)*(1+salary_infl)^MAX(0,2028-2027),0)</f>
        <v>0</v>
      </c>
      <c r="V77" s="4" t="n">
        <f aca="false">IF(Headcount!$D$26&lt;=Timeline!V5,Headcount!$C$26*Headcount!$E$26/12*(1+burden)*(1+salary_infl)^MAX(0,2028-2027),0)</f>
        <v>10729.1666666667</v>
      </c>
      <c r="W77" s="4" t="n">
        <f aca="false">IF(Headcount!$D$26&lt;=Timeline!W5,Headcount!$C$26*Headcount!$E$26/12*(1+burden)*(1+salary_infl)^MAX(0,2028-2027),0)</f>
        <v>10729.1666666667</v>
      </c>
      <c r="X77" s="4" t="n">
        <f aca="false">IF(Headcount!$D$26&lt;=Timeline!X5,Headcount!$C$26*Headcount!$E$26/12*(1+burden)*(1+salary_infl)^MAX(0,2028-2027),0)</f>
        <v>10729.1666666667</v>
      </c>
      <c r="Y77" s="4" t="n">
        <f aca="false">IF(Headcount!$D$26&lt;=Timeline!Y5,Headcount!$C$26*Headcount!$E$26/12*(1+burden)*(1+salary_infl)^MAX(0,2028-2027),0)</f>
        <v>10729.1666666667</v>
      </c>
      <c r="Z77" s="4" t="n">
        <f aca="false">IF(Headcount!$D$26&lt;=Timeline!Z5,Headcount!$C$26*Headcount!$E$26/12*(1+burden)*(1+salary_infl)^MAX(0,2028-2027),0)</f>
        <v>10729.1666666667</v>
      </c>
      <c r="AA77" s="4" t="n">
        <f aca="false">IF(Headcount!$D$26&lt;=Timeline!AA5,Headcount!$C$26*Headcount!$E$26/12*(1+burden)*(1+salary_infl)^MAX(0,2028-2027),0)</f>
        <v>10729.1666666667</v>
      </c>
      <c r="AB77" s="4" t="n">
        <f aca="false">IF(Headcount!$D$26&lt;=Timeline!AB5,Headcount!$C$26*Headcount!$E$26/12*(1+burden)*(1+salary_infl)^MAX(0,2028-2027),0)</f>
        <v>10729.1666666667</v>
      </c>
      <c r="AC77" s="4" t="n">
        <f aca="false">Headcount!$C$26*Headcount!$E$26*(1+burden)*(1+salary_infl)^MAX(0,2029-2027)*MAX(0,MIN(12,(2029-YEAR(Headcount!$D$26))*12+13-MONTH(Headcount!$D$26)))/12</f>
        <v>132612.5</v>
      </c>
      <c r="AD77" s="4" t="n">
        <f aca="false">Headcount!$C$26*Headcount!$E$26*(1+burden)*(1+salary_infl)^MAX(0,2030-2027)*MAX(0,MIN(12,(2030-YEAR(Headcount!$D$26))*12+13-MONTH(Headcount!$D$26)))/12</f>
        <v>136590.875</v>
      </c>
      <c r="AE77" s="4" t="n">
        <f aca="false">Headcount!$C$26*Headcount!$E$26*(1+burden)*(1+salary_infl)^MAX(0,2031-2027)*MAX(0,MIN(12,(2031-YEAR(Headcount!$D$26))*12+13-MONTH(Headcount!$D$26)))/12</f>
        <v>140688.60125</v>
      </c>
      <c r="AG77" s="4" t="n">
        <f aca="false">SUMIF($C$3:$AE$3,AG$3,$C77:$AE77)</f>
        <v>0</v>
      </c>
      <c r="AH77" s="4" t="n">
        <f aca="false">SUMIF($C$3:$AE$3,AH$3,$C77:$AE77)</f>
        <v>0</v>
      </c>
      <c r="AI77" s="4" t="n">
        <f aca="false">SUMIF($C$3:$AE$3,AI$3,$C77:$AE77)</f>
        <v>75104.1666666667</v>
      </c>
      <c r="AJ77" s="4" t="n">
        <f aca="false">SUMIF($C$3:$AE$3,AJ$3,$C77:$AE77)</f>
        <v>132612.5</v>
      </c>
      <c r="AK77" s="4" t="n">
        <f aca="false">SUMIF($C$3:$AE$3,AK$3,$C77:$AE77)</f>
        <v>136590.875</v>
      </c>
      <c r="AL77" s="4" t="n">
        <f aca="false">SUMIF($C$3:$AE$3,AL$3,$C77:$AE77)</f>
        <v>140688.60125</v>
      </c>
    </row>
    <row r="78" customFormat="false" ht="15" hidden="false" customHeight="false" outlineLevel="0" collapsed="false">
      <c r="A78" s="0" t="str">
        <f aca="false">Headcount!A27</f>
        <v>People &amp; office ops</v>
      </c>
      <c r="B78" s="2" t="str">
        <f aca="false">Headcount!B27</f>
        <v>G&amp;A</v>
      </c>
      <c r="C78" s="4" t="n">
        <f aca="false">IF(Headcount!$D$27&lt;=Timeline!C5,Headcount!$C$27*Headcount!$E$27/12*(1+burden)*(1+salary_infl)^MAX(0,2026-2027),0)</f>
        <v>0</v>
      </c>
      <c r="D78" s="4" t="n">
        <f aca="false">IF(Headcount!$D$27&lt;=Timeline!D5,Headcount!$C$27*Headcount!$E$27/12*(1+burden)*(1+salary_infl)^MAX(0,2026-2027),0)</f>
        <v>0</v>
      </c>
      <c r="E78" s="4" t="n">
        <f aca="false">IF(Headcount!$D$27&lt;=Timeline!E5,Headcount!$C$27*Headcount!$E$27/12*(1+burden)*(1+salary_infl)^MAX(0,2027-2027),0)</f>
        <v>0</v>
      </c>
      <c r="F78" s="4" t="n">
        <f aca="false">IF(Headcount!$D$27&lt;=Timeline!F5,Headcount!$C$27*Headcount!$E$27/12*(1+burden)*(1+salary_infl)^MAX(0,2027-2027),0)</f>
        <v>0</v>
      </c>
      <c r="G78" s="4" t="n">
        <f aca="false">IF(Headcount!$D$27&lt;=Timeline!G5,Headcount!$C$27*Headcount!$E$27/12*(1+burden)*(1+salary_infl)^MAX(0,2027-2027),0)</f>
        <v>0</v>
      </c>
      <c r="H78" s="4" t="n">
        <f aca="false">IF(Headcount!$D$27&lt;=Timeline!H5,Headcount!$C$27*Headcount!$E$27/12*(1+burden)*(1+salary_infl)^MAX(0,2027-2027),0)</f>
        <v>0</v>
      </c>
      <c r="I78" s="4" t="n">
        <f aca="false">IF(Headcount!$D$27&lt;=Timeline!I5,Headcount!$C$27*Headcount!$E$27/12*(1+burden)*(1+salary_infl)^MAX(0,2027-2027),0)</f>
        <v>0</v>
      </c>
      <c r="J78" s="4" t="n">
        <f aca="false">IF(Headcount!$D$27&lt;=Timeline!J5,Headcount!$C$27*Headcount!$E$27/12*(1+burden)*(1+salary_infl)^MAX(0,2027-2027),0)</f>
        <v>0</v>
      </c>
      <c r="K78" s="4" t="n">
        <f aca="false">IF(Headcount!$D$27&lt;=Timeline!K5,Headcount!$C$27*Headcount!$E$27/12*(1+burden)*(1+salary_infl)^MAX(0,2027-2027),0)</f>
        <v>0</v>
      </c>
      <c r="L78" s="4" t="n">
        <f aca="false">IF(Headcount!$D$27&lt;=Timeline!L5,Headcount!$C$27*Headcount!$E$27/12*(1+burden)*(1+salary_infl)^MAX(0,2027-2027),0)</f>
        <v>0</v>
      </c>
      <c r="M78" s="4" t="n">
        <f aca="false">IF(Headcount!$D$27&lt;=Timeline!M5,Headcount!$C$27*Headcount!$E$27/12*(1+burden)*(1+salary_infl)^MAX(0,2027-2027),0)</f>
        <v>0</v>
      </c>
      <c r="N78" s="4" t="n">
        <f aca="false">IF(Headcount!$D$27&lt;=Timeline!N5,Headcount!$C$27*Headcount!$E$27/12*(1+burden)*(1+salary_infl)^MAX(0,2027-2027),0)</f>
        <v>0</v>
      </c>
      <c r="O78" s="4" t="n">
        <f aca="false">IF(Headcount!$D$27&lt;=Timeline!O5,Headcount!$C$27*Headcount!$E$27/12*(1+burden)*(1+salary_infl)^MAX(0,2027-2027),0)</f>
        <v>0</v>
      </c>
      <c r="P78" s="4" t="n">
        <f aca="false">IF(Headcount!$D$27&lt;=Timeline!P5,Headcount!$C$27*Headcount!$E$27/12*(1+burden)*(1+salary_infl)^MAX(0,2027-2027),0)</f>
        <v>0</v>
      </c>
      <c r="Q78" s="4" t="n">
        <f aca="false">IF(Headcount!$D$27&lt;=Timeline!Q5,Headcount!$C$27*Headcount!$E$27/12*(1+burden)*(1+salary_infl)^MAX(0,2028-2027),0)</f>
        <v>0</v>
      </c>
      <c r="R78" s="4" t="n">
        <f aca="false">IF(Headcount!$D$27&lt;=Timeline!R5,Headcount!$C$27*Headcount!$E$27/12*(1+burden)*(1+salary_infl)^MAX(0,2028-2027),0)</f>
        <v>0</v>
      </c>
      <c r="S78" s="4" t="n">
        <f aca="false">IF(Headcount!$D$27&lt;=Timeline!S5,Headcount!$C$27*Headcount!$E$27/12*(1+burden)*(1+salary_infl)^MAX(0,2028-2027),0)</f>
        <v>0</v>
      </c>
      <c r="T78" s="4" t="n">
        <f aca="false">IF(Headcount!$D$27&lt;=Timeline!T5,Headcount!$C$27*Headcount!$E$27/12*(1+burden)*(1+salary_infl)^MAX(0,2028-2027),0)</f>
        <v>0</v>
      </c>
      <c r="U78" s="4" t="n">
        <f aca="false">IF(Headcount!$D$27&lt;=Timeline!U5,Headcount!$C$27*Headcount!$E$27/12*(1+burden)*(1+salary_infl)^MAX(0,2028-2027),0)</f>
        <v>0</v>
      </c>
      <c r="V78" s="4" t="n">
        <f aca="false">IF(Headcount!$D$27&lt;=Timeline!V5,Headcount!$C$27*Headcount!$E$27/12*(1+burden)*(1+salary_infl)^MAX(0,2028-2027),0)</f>
        <v>0</v>
      </c>
      <c r="W78" s="4" t="n">
        <f aca="false">IF(Headcount!$D$27&lt;=Timeline!W5,Headcount!$C$27*Headcount!$E$27/12*(1+burden)*(1+salary_infl)^MAX(0,2028-2027),0)</f>
        <v>0</v>
      </c>
      <c r="X78" s="4" t="n">
        <f aca="false">IF(Headcount!$D$27&lt;=Timeline!X5,Headcount!$C$27*Headcount!$E$27/12*(1+burden)*(1+salary_infl)^MAX(0,2028-2027),0)</f>
        <v>0</v>
      </c>
      <c r="Y78" s="4" t="n">
        <f aca="false">IF(Headcount!$D$27&lt;=Timeline!Y5,Headcount!$C$27*Headcount!$E$27/12*(1+burden)*(1+salary_infl)^MAX(0,2028-2027),0)</f>
        <v>9119.79166666667</v>
      </c>
      <c r="Z78" s="4" t="n">
        <f aca="false">IF(Headcount!$D$27&lt;=Timeline!Z5,Headcount!$C$27*Headcount!$E$27/12*(1+burden)*(1+salary_infl)^MAX(0,2028-2027),0)</f>
        <v>9119.79166666667</v>
      </c>
      <c r="AA78" s="4" t="n">
        <f aca="false">IF(Headcount!$D$27&lt;=Timeline!AA5,Headcount!$C$27*Headcount!$E$27/12*(1+burden)*(1+salary_infl)^MAX(0,2028-2027),0)</f>
        <v>9119.79166666667</v>
      </c>
      <c r="AB78" s="4" t="n">
        <f aca="false">IF(Headcount!$D$27&lt;=Timeline!AB5,Headcount!$C$27*Headcount!$E$27/12*(1+burden)*(1+salary_infl)^MAX(0,2028-2027),0)</f>
        <v>9119.79166666667</v>
      </c>
      <c r="AC78" s="4" t="n">
        <f aca="false">Headcount!$C$27*Headcount!$E$27*(1+burden)*(1+salary_infl)^MAX(0,2029-2027)*MAX(0,MIN(12,(2029-YEAR(Headcount!$D$27))*12+13-MONTH(Headcount!$D$27)))/12</f>
        <v>112720.625</v>
      </c>
      <c r="AD78" s="4" t="n">
        <f aca="false">Headcount!$C$27*Headcount!$E$27*(1+burden)*(1+salary_infl)^MAX(0,2030-2027)*MAX(0,MIN(12,(2030-YEAR(Headcount!$D$27))*12+13-MONTH(Headcount!$D$27)))/12</f>
        <v>116102.24375</v>
      </c>
      <c r="AE78" s="4" t="n">
        <f aca="false">Headcount!$C$27*Headcount!$E$27*(1+burden)*(1+salary_infl)^MAX(0,2031-2027)*MAX(0,MIN(12,(2031-YEAR(Headcount!$D$27))*12+13-MONTH(Headcount!$D$27)))/12</f>
        <v>119585.3110625</v>
      </c>
      <c r="AG78" s="4" t="n">
        <f aca="false">SUMIF($C$3:$AE$3,AG$3,$C78:$AE78)</f>
        <v>0</v>
      </c>
      <c r="AH78" s="4" t="n">
        <f aca="false">SUMIF($C$3:$AE$3,AH$3,$C78:$AE78)</f>
        <v>0</v>
      </c>
      <c r="AI78" s="4" t="n">
        <f aca="false">SUMIF($C$3:$AE$3,AI$3,$C78:$AE78)</f>
        <v>36479.1666666667</v>
      </c>
      <c r="AJ78" s="4" t="n">
        <f aca="false">SUMIF($C$3:$AE$3,AJ$3,$C78:$AE78)</f>
        <v>112720.625</v>
      </c>
      <c r="AK78" s="4" t="n">
        <f aca="false">SUMIF($C$3:$AE$3,AK$3,$C78:$AE78)</f>
        <v>116102.24375</v>
      </c>
      <c r="AL78" s="4" t="n">
        <f aca="false">SUMIF($C$3:$AE$3,AL$3,$C78:$AE78)</f>
        <v>119585.3110625</v>
      </c>
    </row>
    <row r="79" customFormat="false" ht="15" hidden="false" customHeight="false" outlineLevel="0" collapsed="false">
      <c r="A79" s="0" t="str">
        <f aca="false">Headcount!A28</f>
        <v>VP Engineering</v>
      </c>
      <c r="B79" s="2" t="str">
        <f aca="false">Headcount!B28</f>
        <v>R&amp;D</v>
      </c>
      <c r="C79" s="4" t="n">
        <f aca="false">IF(Headcount!$D$28&lt;=Timeline!C5,Headcount!$C$28*Headcount!$E$28/12*(1+burden)*(1+salary_infl)^MAX(0,2026-2027),0)</f>
        <v>0</v>
      </c>
      <c r="D79" s="4" t="n">
        <f aca="false">IF(Headcount!$D$28&lt;=Timeline!D5,Headcount!$C$28*Headcount!$E$28/12*(1+burden)*(1+salary_infl)^MAX(0,2026-2027),0)</f>
        <v>0</v>
      </c>
      <c r="E79" s="4" t="n">
        <f aca="false">IF(Headcount!$D$28&lt;=Timeline!E5,Headcount!$C$28*Headcount!$E$28/12*(1+burden)*(1+salary_infl)^MAX(0,2027-2027),0)</f>
        <v>0</v>
      </c>
      <c r="F79" s="4" t="n">
        <f aca="false">IF(Headcount!$D$28&lt;=Timeline!F5,Headcount!$C$28*Headcount!$E$28/12*(1+burden)*(1+salary_infl)^MAX(0,2027-2027),0)</f>
        <v>0</v>
      </c>
      <c r="G79" s="4" t="n">
        <f aca="false">IF(Headcount!$D$28&lt;=Timeline!G5,Headcount!$C$28*Headcount!$E$28/12*(1+burden)*(1+salary_infl)^MAX(0,2027-2027),0)</f>
        <v>0</v>
      </c>
      <c r="H79" s="4" t="n">
        <f aca="false">IF(Headcount!$D$28&lt;=Timeline!H5,Headcount!$C$28*Headcount!$E$28/12*(1+burden)*(1+salary_infl)^MAX(0,2027-2027),0)</f>
        <v>0</v>
      </c>
      <c r="I79" s="4" t="n">
        <f aca="false">IF(Headcount!$D$28&lt;=Timeline!I5,Headcount!$C$28*Headcount!$E$28/12*(1+burden)*(1+salary_infl)^MAX(0,2027-2027),0)</f>
        <v>0</v>
      </c>
      <c r="J79" s="4" t="n">
        <f aca="false">IF(Headcount!$D$28&lt;=Timeline!J5,Headcount!$C$28*Headcount!$E$28/12*(1+burden)*(1+salary_infl)^MAX(0,2027-2027),0)</f>
        <v>0</v>
      </c>
      <c r="K79" s="4" t="n">
        <f aca="false">IF(Headcount!$D$28&lt;=Timeline!K5,Headcount!$C$28*Headcount!$E$28/12*(1+burden)*(1+salary_infl)^MAX(0,2027-2027),0)</f>
        <v>0</v>
      </c>
      <c r="L79" s="4" t="n">
        <f aca="false">IF(Headcount!$D$28&lt;=Timeline!L5,Headcount!$C$28*Headcount!$E$28/12*(1+burden)*(1+salary_infl)^MAX(0,2027-2027),0)</f>
        <v>0</v>
      </c>
      <c r="M79" s="4" t="n">
        <f aca="false">IF(Headcount!$D$28&lt;=Timeline!M5,Headcount!$C$28*Headcount!$E$28/12*(1+burden)*(1+salary_infl)^MAX(0,2027-2027),0)</f>
        <v>0</v>
      </c>
      <c r="N79" s="4" t="n">
        <f aca="false">IF(Headcount!$D$28&lt;=Timeline!N5,Headcount!$C$28*Headcount!$E$28/12*(1+burden)*(1+salary_infl)^MAX(0,2027-2027),0)</f>
        <v>0</v>
      </c>
      <c r="O79" s="4" t="n">
        <f aca="false">IF(Headcount!$D$28&lt;=Timeline!O5,Headcount!$C$28*Headcount!$E$28/12*(1+burden)*(1+salary_infl)^MAX(0,2027-2027),0)</f>
        <v>0</v>
      </c>
      <c r="P79" s="4" t="n">
        <f aca="false">IF(Headcount!$D$28&lt;=Timeline!P5,Headcount!$C$28*Headcount!$E$28/12*(1+burden)*(1+salary_infl)^MAX(0,2027-2027),0)</f>
        <v>0</v>
      </c>
      <c r="Q79" s="4" t="n">
        <f aca="false">IF(Headcount!$D$28&lt;=Timeline!Q5,Headcount!$C$28*Headcount!$E$28/12*(1+burden)*(1+salary_infl)^MAX(0,2028-2027),0)</f>
        <v>0</v>
      </c>
      <c r="R79" s="4" t="n">
        <f aca="false">IF(Headcount!$D$28&lt;=Timeline!R5,Headcount!$C$28*Headcount!$E$28/12*(1+burden)*(1+salary_infl)^MAX(0,2028-2027),0)</f>
        <v>0</v>
      </c>
      <c r="S79" s="4" t="n">
        <f aca="false">IF(Headcount!$D$28&lt;=Timeline!S5,Headcount!$C$28*Headcount!$E$28/12*(1+burden)*(1+salary_infl)^MAX(0,2028-2027),0)</f>
        <v>0</v>
      </c>
      <c r="T79" s="4" t="n">
        <f aca="false">IF(Headcount!$D$28&lt;=Timeline!T5,Headcount!$C$28*Headcount!$E$28/12*(1+burden)*(1+salary_infl)^MAX(0,2028-2027),0)</f>
        <v>0</v>
      </c>
      <c r="U79" s="4" t="n">
        <f aca="false">IF(Headcount!$D$28&lt;=Timeline!U5,Headcount!$C$28*Headcount!$E$28/12*(1+burden)*(1+salary_infl)^MAX(0,2028-2027),0)</f>
        <v>0</v>
      </c>
      <c r="V79" s="4" t="n">
        <f aca="false">IF(Headcount!$D$28&lt;=Timeline!V5,Headcount!$C$28*Headcount!$E$28/12*(1+burden)*(1+salary_infl)^MAX(0,2028-2027),0)</f>
        <v>0</v>
      </c>
      <c r="W79" s="4" t="n">
        <f aca="false">IF(Headcount!$D$28&lt;=Timeline!W5,Headcount!$C$28*Headcount!$E$28/12*(1+burden)*(1+salary_infl)^MAX(0,2028-2027),0)</f>
        <v>0</v>
      </c>
      <c r="X79" s="4" t="n">
        <f aca="false">IF(Headcount!$D$28&lt;=Timeline!X5,Headcount!$C$28*Headcount!$E$28/12*(1+burden)*(1+salary_infl)^MAX(0,2028-2027),0)</f>
        <v>0</v>
      </c>
      <c r="Y79" s="4" t="n">
        <f aca="false">IF(Headcount!$D$28&lt;=Timeline!Y5,Headcount!$C$28*Headcount!$E$28/12*(1+burden)*(1+salary_infl)^MAX(0,2028-2027),0)</f>
        <v>0</v>
      </c>
      <c r="Z79" s="4" t="n">
        <f aca="false">IF(Headcount!$D$28&lt;=Timeline!Z5,Headcount!$C$28*Headcount!$E$28/12*(1+burden)*(1+salary_infl)^MAX(0,2028-2027),0)</f>
        <v>0</v>
      </c>
      <c r="AA79" s="4" t="n">
        <f aca="false">IF(Headcount!$D$28&lt;=Timeline!AA5,Headcount!$C$28*Headcount!$E$28/12*(1+burden)*(1+salary_infl)^MAX(0,2028-2027),0)</f>
        <v>22531.25</v>
      </c>
      <c r="AB79" s="4" t="n">
        <f aca="false">IF(Headcount!$D$28&lt;=Timeline!AB5,Headcount!$C$28*Headcount!$E$28/12*(1+burden)*(1+salary_infl)^MAX(0,2028-2027),0)</f>
        <v>22531.25</v>
      </c>
      <c r="AC79" s="4" t="n">
        <f aca="false">Headcount!$C$28*Headcount!$E$28*(1+burden)*(1+salary_infl)^MAX(0,2029-2027)*MAX(0,MIN(12,(2029-YEAR(Headcount!$D$28))*12+13-MONTH(Headcount!$D$28)))/12</f>
        <v>278486.25</v>
      </c>
      <c r="AD79" s="4" t="n">
        <f aca="false">Headcount!$C$28*Headcount!$E$28*(1+burden)*(1+salary_infl)^MAX(0,2030-2027)*MAX(0,MIN(12,(2030-YEAR(Headcount!$D$28))*12+13-MONTH(Headcount!$D$28)))/12</f>
        <v>286840.8375</v>
      </c>
      <c r="AE79" s="4" t="n">
        <f aca="false">Headcount!$C$28*Headcount!$E$28*(1+burden)*(1+salary_infl)^MAX(0,2031-2027)*MAX(0,MIN(12,(2031-YEAR(Headcount!$D$28))*12+13-MONTH(Headcount!$D$28)))/12</f>
        <v>295446.062625</v>
      </c>
      <c r="AG79" s="4" t="n">
        <f aca="false">SUMIF($C$3:$AE$3,AG$3,$C79:$AE79)</f>
        <v>0</v>
      </c>
      <c r="AH79" s="4" t="n">
        <f aca="false">SUMIF($C$3:$AE$3,AH$3,$C79:$AE79)</f>
        <v>0</v>
      </c>
      <c r="AI79" s="4" t="n">
        <f aca="false">SUMIF($C$3:$AE$3,AI$3,$C79:$AE79)</f>
        <v>45062.5</v>
      </c>
      <c r="AJ79" s="4" t="n">
        <f aca="false">SUMIF($C$3:$AE$3,AJ$3,$C79:$AE79)</f>
        <v>278486.25</v>
      </c>
      <c r="AK79" s="4" t="n">
        <f aca="false">SUMIF($C$3:$AE$3,AK$3,$C79:$AE79)</f>
        <v>286840.8375</v>
      </c>
      <c r="AL79" s="4" t="n">
        <f aca="false">SUMIF($C$3:$AE$3,AL$3,$C79:$AE79)</f>
        <v>295446.062625</v>
      </c>
    </row>
    <row r="80" customFormat="false" ht="15" hidden="false" customHeight="false" outlineLevel="0" collapsed="false">
      <c r="A80" s="0" t="str">
        <f aca="false">Headcount!A29</f>
        <v>Customer support agents</v>
      </c>
      <c r="B80" s="2" t="str">
        <f aca="false">Headcount!B29</f>
        <v>Ops &amp; CS</v>
      </c>
      <c r="C80" s="4" t="n">
        <f aca="false">IF(Headcount!$D$29&lt;=Timeline!C5,Headcount!$C$29*Headcount!$E$29/12*(1+burden)*(1+salary_infl)^MAX(0,2026-2027),0)</f>
        <v>0</v>
      </c>
      <c r="D80" s="4" t="n">
        <f aca="false">IF(Headcount!$D$29&lt;=Timeline!D5,Headcount!$C$29*Headcount!$E$29/12*(1+burden)*(1+salary_infl)^MAX(0,2026-2027),0)</f>
        <v>0</v>
      </c>
      <c r="E80" s="4" t="n">
        <f aca="false">IF(Headcount!$D$29&lt;=Timeline!E5,Headcount!$C$29*Headcount!$E$29/12*(1+burden)*(1+salary_infl)^MAX(0,2027-2027),0)</f>
        <v>0</v>
      </c>
      <c r="F80" s="4" t="n">
        <f aca="false">IF(Headcount!$D$29&lt;=Timeline!F5,Headcount!$C$29*Headcount!$E$29/12*(1+burden)*(1+salary_infl)^MAX(0,2027-2027),0)</f>
        <v>0</v>
      </c>
      <c r="G80" s="4" t="n">
        <f aca="false">IF(Headcount!$D$29&lt;=Timeline!G5,Headcount!$C$29*Headcount!$E$29/12*(1+burden)*(1+salary_infl)^MAX(0,2027-2027),0)</f>
        <v>0</v>
      </c>
      <c r="H80" s="4" t="n">
        <f aca="false">IF(Headcount!$D$29&lt;=Timeline!H5,Headcount!$C$29*Headcount!$E$29/12*(1+burden)*(1+salary_infl)^MAX(0,2027-2027),0)</f>
        <v>0</v>
      </c>
      <c r="I80" s="4" t="n">
        <f aca="false">IF(Headcount!$D$29&lt;=Timeline!I5,Headcount!$C$29*Headcount!$E$29/12*(1+burden)*(1+salary_infl)^MAX(0,2027-2027),0)</f>
        <v>0</v>
      </c>
      <c r="J80" s="4" t="n">
        <f aca="false">IF(Headcount!$D$29&lt;=Timeline!J5,Headcount!$C$29*Headcount!$E$29/12*(1+burden)*(1+salary_infl)^MAX(0,2027-2027),0)</f>
        <v>0</v>
      </c>
      <c r="K80" s="4" t="n">
        <f aca="false">IF(Headcount!$D$29&lt;=Timeline!K5,Headcount!$C$29*Headcount!$E$29/12*(1+burden)*(1+salary_infl)^MAX(0,2027-2027),0)</f>
        <v>0</v>
      </c>
      <c r="L80" s="4" t="n">
        <f aca="false">IF(Headcount!$D$29&lt;=Timeline!L5,Headcount!$C$29*Headcount!$E$29/12*(1+burden)*(1+salary_infl)^MAX(0,2027-2027),0)</f>
        <v>0</v>
      </c>
      <c r="M80" s="4" t="n">
        <f aca="false">IF(Headcount!$D$29&lt;=Timeline!M5,Headcount!$C$29*Headcount!$E$29/12*(1+burden)*(1+salary_infl)^MAX(0,2027-2027),0)</f>
        <v>0</v>
      </c>
      <c r="N80" s="4" t="n">
        <f aca="false">IF(Headcount!$D$29&lt;=Timeline!N5,Headcount!$C$29*Headcount!$E$29/12*(1+burden)*(1+salary_infl)^MAX(0,2027-2027),0)</f>
        <v>0</v>
      </c>
      <c r="O80" s="4" t="n">
        <f aca="false">IF(Headcount!$D$29&lt;=Timeline!O5,Headcount!$C$29*Headcount!$E$29/12*(1+burden)*(1+salary_infl)^MAX(0,2027-2027),0)</f>
        <v>0</v>
      </c>
      <c r="P80" s="4" t="n">
        <f aca="false">IF(Headcount!$D$29&lt;=Timeline!P5,Headcount!$C$29*Headcount!$E$29/12*(1+burden)*(1+salary_infl)^MAX(0,2027-2027),0)</f>
        <v>0</v>
      </c>
      <c r="Q80" s="4" t="n">
        <f aca="false">IF(Headcount!$D$29&lt;=Timeline!Q5,Headcount!$C$29*Headcount!$E$29/12*(1+burden)*(1+salary_infl)^MAX(0,2028-2027),0)</f>
        <v>0</v>
      </c>
      <c r="R80" s="4" t="n">
        <f aca="false">IF(Headcount!$D$29&lt;=Timeline!R5,Headcount!$C$29*Headcount!$E$29/12*(1+burden)*(1+salary_infl)^MAX(0,2028-2027),0)</f>
        <v>0</v>
      </c>
      <c r="S80" s="4" t="n">
        <f aca="false">IF(Headcount!$D$29&lt;=Timeline!S5,Headcount!$C$29*Headcount!$E$29/12*(1+burden)*(1+salary_infl)^MAX(0,2028-2027),0)</f>
        <v>0</v>
      </c>
      <c r="T80" s="4" t="n">
        <f aca="false">IF(Headcount!$D$29&lt;=Timeline!T5,Headcount!$C$29*Headcount!$E$29/12*(1+burden)*(1+salary_infl)^MAX(0,2028-2027),0)</f>
        <v>0</v>
      </c>
      <c r="U80" s="4" t="n">
        <f aca="false">IF(Headcount!$D$29&lt;=Timeline!U5,Headcount!$C$29*Headcount!$E$29/12*(1+burden)*(1+salary_infl)^MAX(0,2028-2027),0)</f>
        <v>0</v>
      </c>
      <c r="V80" s="4" t="n">
        <f aca="false">IF(Headcount!$D$29&lt;=Timeline!V5,Headcount!$C$29*Headcount!$E$29/12*(1+burden)*(1+salary_infl)^MAX(0,2028-2027),0)</f>
        <v>0</v>
      </c>
      <c r="W80" s="4" t="n">
        <f aca="false">IF(Headcount!$D$29&lt;=Timeline!W5,Headcount!$C$29*Headcount!$E$29/12*(1+burden)*(1+salary_infl)^MAX(0,2028-2027),0)</f>
        <v>0</v>
      </c>
      <c r="X80" s="4" t="n">
        <f aca="false">IF(Headcount!$D$29&lt;=Timeline!X5,Headcount!$C$29*Headcount!$E$29/12*(1+burden)*(1+salary_infl)^MAX(0,2028-2027),0)</f>
        <v>0</v>
      </c>
      <c r="Y80" s="4" t="n">
        <f aca="false">IF(Headcount!$D$29&lt;=Timeline!Y5,Headcount!$C$29*Headcount!$E$29/12*(1+burden)*(1+salary_infl)^MAX(0,2028-2027),0)</f>
        <v>0</v>
      </c>
      <c r="Z80" s="4" t="n">
        <f aca="false">IF(Headcount!$D$29&lt;=Timeline!Z5,Headcount!$C$29*Headcount!$E$29/12*(1+burden)*(1+salary_infl)^MAX(0,2028-2027),0)</f>
        <v>0</v>
      </c>
      <c r="AA80" s="4" t="n">
        <f aca="false">IF(Headcount!$D$29&lt;=Timeline!AA5,Headcount!$C$29*Headcount!$E$29/12*(1+burden)*(1+salary_infl)^MAX(0,2028-2027),0)</f>
        <v>16093.75</v>
      </c>
      <c r="AB80" s="4" t="n">
        <f aca="false">IF(Headcount!$D$29&lt;=Timeline!AB5,Headcount!$C$29*Headcount!$E$29/12*(1+burden)*(1+salary_infl)^MAX(0,2028-2027),0)</f>
        <v>16093.75</v>
      </c>
      <c r="AC80" s="4" t="n">
        <f aca="false">Headcount!$C$29*Headcount!$E$29*(1+burden)*(1+salary_infl)^MAX(0,2029-2027)*MAX(0,MIN(12,(2029-YEAR(Headcount!$D$29))*12+13-MONTH(Headcount!$D$29)))/12</f>
        <v>198918.75</v>
      </c>
      <c r="AD80" s="4" t="n">
        <f aca="false">Headcount!$C$29*Headcount!$E$29*(1+burden)*(1+salary_infl)^MAX(0,2030-2027)*MAX(0,MIN(12,(2030-YEAR(Headcount!$D$29))*12+13-MONTH(Headcount!$D$29)))/12</f>
        <v>204886.3125</v>
      </c>
      <c r="AE80" s="4" t="n">
        <f aca="false">Headcount!$C$29*Headcount!$E$29*(1+burden)*(1+salary_infl)^MAX(0,2031-2027)*MAX(0,MIN(12,(2031-YEAR(Headcount!$D$29))*12+13-MONTH(Headcount!$D$29)))/12</f>
        <v>211032.901875</v>
      </c>
      <c r="AG80" s="4" t="n">
        <f aca="false">SUMIF($C$3:$AE$3,AG$3,$C80:$AE80)</f>
        <v>0</v>
      </c>
      <c r="AH80" s="4" t="n">
        <f aca="false">SUMIF($C$3:$AE$3,AH$3,$C80:$AE80)</f>
        <v>0</v>
      </c>
      <c r="AI80" s="4" t="n">
        <f aca="false">SUMIF($C$3:$AE$3,AI$3,$C80:$AE80)</f>
        <v>32187.5</v>
      </c>
      <c r="AJ80" s="4" t="n">
        <f aca="false">SUMIF($C$3:$AE$3,AJ$3,$C80:$AE80)</f>
        <v>198918.75</v>
      </c>
      <c r="AK80" s="4" t="n">
        <f aca="false">SUMIF($C$3:$AE$3,AK$3,$C80:$AE80)</f>
        <v>204886.3125</v>
      </c>
      <c r="AL80" s="4" t="n">
        <f aca="false">SUMIF($C$3:$AE$3,AL$3,$C80:$AE80)</f>
        <v>211032.901875</v>
      </c>
    </row>
    <row r="81" customFormat="false" ht="15" hidden="false" customHeight="false" outlineLevel="0" collapsed="false">
      <c r="A81" s="0" t="str">
        <f aca="false">Headcount!A30</f>
        <v>VP Marketing</v>
      </c>
      <c r="B81" s="2" t="str">
        <f aca="false">Headcount!B30</f>
        <v>S&amp;M</v>
      </c>
      <c r="C81" s="4" t="n">
        <f aca="false">IF(Headcount!$D$30&lt;=Timeline!C5,Headcount!$C$30*Headcount!$E$30/12*(1+burden)*(1+salary_infl)^MAX(0,2026-2027),0)</f>
        <v>0</v>
      </c>
      <c r="D81" s="4" t="n">
        <f aca="false">IF(Headcount!$D$30&lt;=Timeline!D5,Headcount!$C$30*Headcount!$E$30/12*(1+burden)*(1+salary_infl)^MAX(0,2026-2027),0)</f>
        <v>0</v>
      </c>
      <c r="E81" s="4" t="n">
        <f aca="false">IF(Headcount!$D$30&lt;=Timeline!E5,Headcount!$C$30*Headcount!$E$30/12*(1+burden)*(1+salary_infl)^MAX(0,2027-2027),0)</f>
        <v>0</v>
      </c>
      <c r="F81" s="4" t="n">
        <f aca="false">IF(Headcount!$D$30&lt;=Timeline!F5,Headcount!$C$30*Headcount!$E$30/12*(1+burden)*(1+salary_infl)^MAX(0,2027-2027),0)</f>
        <v>0</v>
      </c>
      <c r="G81" s="4" t="n">
        <f aca="false">IF(Headcount!$D$30&lt;=Timeline!G5,Headcount!$C$30*Headcount!$E$30/12*(1+burden)*(1+salary_infl)^MAX(0,2027-2027),0)</f>
        <v>0</v>
      </c>
      <c r="H81" s="4" t="n">
        <f aca="false">IF(Headcount!$D$30&lt;=Timeline!H5,Headcount!$C$30*Headcount!$E$30/12*(1+burden)*(1+salary_infl)^MAX(0,2027-2027),0)</f>
        <v>0</v>
      </c>
      <c r="I81" s="4" t="n">
        <f aca="false">IF(Headcount!$D$30&lt;=Timeline!I5,Headcount!$C$30*Headcount!$E$30/12*(1+burden)*(1+salary_infl)^MAX(0,2027-2027),0)</f>
        <v>0</v>
      </c>
      <c r="J81" s="4" t="n">
        <f aca="false">IF(Headcount!$D$30&lt;=Timeline!J5,Headcount!$C$30*Headcount!$E$30/12*(1+burden)*(1+salary_infl)^MAX(0,2027-2027),0)</f>
        <v>0</v>
      </c>
      <c r="K81" s="4" t="n">
        <f aca="false">IF(Headcount!$D$30&lt;=Timeline!K5,Headcount!$C$30*Headcount!$E$30/12*(1+burden)*(1+salary_infl)^MAX(0,2027-2027),0)</f>
        <v>0</v>
      </c>
      <c r="L81" s="4" t="n">
        <f aca="false">IF(Headcount!$D$30&lt;=Timeline!L5,Headcount!$C$30*Headcount!$E$30/12*(1+burden)*(1+salary_infl)^MAX(0,2027-2027),0)</f>
        <v>0</v>
      </c>
      <c r="M81" s="4" t="n">
        <f aca="false">IF(Headcount!$D$30&lt;=Timeline!M5,Headcount!$C$30*Headcount!$E$30/12*(1+burden)*(1+salary_infl)^MAX(0,2027-2027),0)</f>
        <v>0</v>
      </c>
      <c r="N81" s="4" t="n">
        <f aca="false">IF(Headcount!$D$30&lt;=Timeline!N5,Headcount!$C$30*Headcount!$E$30/12*(1+burden)*(1+salary_infl)^MAX(0,2027-2027),0)</f>
        <v>0</v>
      </c>
      <c r="O81" s="4" t="n">
        <f aca="false">IF(Headcount!$D$30&lt;=Timeline!O5,Headcount!$C$30*Headcount!$E$30/12*(1+burden)*(1+salary_infl)^MAX(0,2027-2027),0)</f>
        <v>0</v>
      </c>
      <c r="P81" s="4" t="n">
        <f aca="false">IF(Headcount!$D$30&lt;=Timeline!P5,Headcount!$C$30*Headcount!$E$30/12*(1+burden)*(1+salary_infl)^MAX(0,2027-2027),0)</f>
        <v>0</v>
      </c>
      <c r="Q81" s="4" t="n">
        <f aca="false">IF(Headcount!$D$30&lt;=Timeline!Q5,Headcount!$C$30*Headcount!$E$30/12*(1+burden)*(1+salary_infl)^MAX(0,2028-2027),0)</f>
        <v>0</v>
      </c>
      <c r="R81" s="4" t="n">
        <f aca="false">IF(Headcount!$D$30&lt;=Timeline!R5,Headcount!$C$30*Headcount!$E$30/12*(1+burden)*(1+salary_infl)^MAX(0,2028-2027),0)</f>
        <v>0</v>
      </c>
      <c r="S81" s="4" t="n">
        <f aca="false">IF(Headcount!$D$30&lt;=Timeline!S5,Headcount!$C$30*Headcount!$E$30/12*(1+burden)*(1+salary_infl)^MAX(0,2028-2027),0)</f>
        <v>0</v>
      </c>
      <c r="T81" s="4" t="n">
        <f aca="false">IF(Headcount!$D$30&lt;=Timeline!T5,Headcount!$C$30*Headcount!$E$30/12*(1+burden)*(1+salary_infl)^MAX(0,2028-2027),0)</f>
        <v>0</v>
      </c>
      <c r="U81" s="4" t="n">
        <f aca="false">IF(Headcount!$D$30&lt;=Timeline!U5,Headcount!$C$30*Headcount!$E$30/12*(1+burden)*(1+salary_infl)^MAX(0,2028-2027),0)</f>
        <v>0</v>
      </c>
      <c r="V81" s="4" t="n">
        <f aca="false">IF(Headcount!$D$30&lt;=Timeline!V5,Headcount!$C$30*Headcount!$E$30/12*(1+burden)*(1+salary_infl)^MAX(0,2028-2027),0)</f>
        <v>0</v>
      </c>
      <c r="W81" s="4" t="n">
        <f aca="false">IF(Headcount!$D$30&lt;=Timeline!W5,Headcount!$C$30*Headcount!$E$30/12*(1+burden)*(1+salary_infl)^MAX(0,2028-2027),0)</f>
        <v>0</v>
      </c>
      <c r="X81" s="4" t="n">
        <f aca="false">IF(Headcount!$D$30&lt;=Timeline!X5,Headcount!$C$30*Headcount!$E$30/12*(1+burden)*(1+salary_infl)^MAX(0,2028-2027),0)</f>
        <v>0</v>
      </c>
      <c r="Y81" s="4" t="n">
        <f aca="false">IF(Headcount!$D$30&lt;=Timeline!Y5,Headcount!$C$30*Headcount!$E$30/12*(1+burden)*(1+salary_infl)^MAX(0,2028-2027),0)</f>
        <v>0</v>
      </c>
      <c r="Z81" s="4" t="n">
        <f aca="false">IF(Headcount!$D$30&lt;=Timeline!Z5,Headcount!$C$30*Headcount!$E$30/12*(1+burden)*(1+salary_infl)^MAX(0,2028-2027),0)</f>
        <v>0</v>
      </c>
      <c r="AA81" s="4" t="n">
        <f aca="false">IF(Headcount!$D$30&lt;=Timeline!AA5,Headcount!$C$30*Headcount!$E$30/12*(1+burden)*(1+salary_infl)^MAX(0,2028-2027),0)</f>
        <v>0</v>
      </c>
      <c r="AB81" s="4" t="n">
        <f aca="false">IF(Headcount!$D$30&lt;=Timeline!AB5,Headcount!$C$30*Headcount!$E$30/12*(1+burden)*(1+salary_infl)^MAX(0,2028-2027),0)</f>
        <v>0</v>
      </c>
      <c r="AC81" s="4" t="n">
        <f aca="false">Headcount!$C$30*Headcount!$E$30*(1+burden)*(1+salary_infl)^MAX(0,2029-2027)*MAX(0,MIN(12,(2029-YEAR(Headcount!$D$30))*12+13-MONTH(Headcount!$D$30)))/12</f>
        <v>243122.916666667</v>
      </c>
      <c r="AD81" s="4" t="n">
        <f aca="false">Headcount!$C$30*Headcount!$E$30*(1+burden)*(1+salary_infl)^MAX(0,2030-2027)*MAX(0,MIN(12,(2030-YEAR(Headcount!$D$30))*12+13-MONTH(Headcount!$D$30)))/12</f>
        <v>273181.75</v>
      </c>
      <c r="AE81" s="4" t="n">
        <f aca="false">Headcount!$C$30*Headcount!$E$30*(1+burden)*(1+salary_infl)^MAX(0,2031-2027)*MAX(0,MIN(12,(2031-YEAR(Headcount!$D$30))*12+13-MONTH(Headcount!$D$30)))/12</f>
        <v>281377.2025</v>
      </c>
      <c r="AG81" s="4" t="n">
        <f aca="false">SUMIF($C$3:$AE$3,AG$3,$C81:$AE81)</f>
        <v>0</v>
      </c>
      <c r="AH81" s="4" t="n">
        <f aca="false">SUMIF($C$3:$AE$3,AH$3,$C81:$AE81)</f>
        <v>0</v>
      </c>
      <c r="AI81" s="4" t="n">
        <f aca="false">SUMIF($C$3:$AE$3,AI$3,$C81:$AE81)</f>
        <v>0</v>
      </c>
      <c r="AJ81" s="4" t="n">
        <f aca="false">SUMIF($C$3:$AE$3,AJ$3,$C81:$AE81)</f>
        <v>243122.916666667</v>
      </c>
      <c r="AK81" s="4" t="n">
        <f aca="false">SUMIF($C$3:$AE$3,AK$3,$C81:$AE81)</f>
        <v>273181.75</v>
      </c>
      <c r="AL81" s="4" t="n">
        <f aca="false">SUMIF($C$3:$AE$3,AL$3,$C81:$AE81)</f>
        <v>281377.2025</v>
      </c>
    </row>
    <row r="82" customFormat="false" ht="15" hidden="false" customHeight="false" outlineLevel="0" collapsed="false">
      <c r="A82" s="0" t="str">
        <f aca="false">Headcount!A31</f>
        <v>R&amp;D engineers (Gen-2, platform)</v>
      </c>
      <c r="B82" s="2" t="str">
        <f aca="false">Headcount!B31</f>
        <v>R&amp;D</v>
      </c>
      <c r="C82" s="4" t="n">
        <f aca="false">IF(Headcount!$D$31&lt;=Timeline!C5,Headcount!$C$31*Headcount!$E$31/12*(1+burden)*(1+salary_infl)^MAX(0,2026-2027),0)</f>
        <v>0</v>
      </c>
      <c r="D82" s="4" t="n">
        <f aca="false">IF(Headcount!$D$31&lt;=Timeline!D5,Headcount!$C$31*Headcount!$E$31/12*(1+burden)*(1+salary_infl)^MAX(0,2026-2027),0)</f>
        <v>0</v>
      </c>
      <c r="E82" s="4" t="n">
        <f aca="false">IF(Headcount!$D$31&lt;=Timeline!E5,Headcount!$C$31*Headcount!$E$31/12*(1+burden)*(1+salary_infl)^MAX(0,2027-2027),0)</f>
        <v>0</v>
      </c>
      <c r="F82" s="4" t="n">
        <f aca="false">IF(Headcount!$D$31&lt;=Timeline!F5,Headcount!$C$31*Headcount!$E$31/12*(1+burden)*(1+salary_infl)^MAX(0,2027-2027),0)</f>
        <v>0</v>
      </c>
      <c r="G82" s="4" t="n">
        <f aca="false">IF(Headcount!$D$31&lt;=Timeline!G5,Headcount!$C$31*Headcount!$E$31/12*(1+burden)*(1+salary_infl)^MAX(0,2027-2027),0)</f>
        <v>0</v>
      </c>
      <c r="H82" s="4" t="n">
        <f aca="false">IF(Headcount!$D$31&lt;=Timeline!H5,Headcount!$C$31*Headcount!$E$31/12*(1+burden)*(1+salary_infl)^MAX(0,2027-2027),0)</f>
        <v>0</v>
      </c>
      <c r="I82" s="4" t="n">
        <f aca="false">IF(Headcount!$D$31&lt;=Timeline!I5,Headcount!$C$31*Headcount!$E$31/12*(1+burden)*(1+salary_infl)^MAX(0,2027-2027),0)</f>
        <v>0</v>
      </c>
      <c r="J82" s="4" t="n">
        <f aca="false">IF(Headcount!$D$31&lt;=Timeline!J5,Headcount!$C$31*Headcount!$E$31/12*(1+burden)*(1+salary_infl)^MAX(0,2027-2027),0)</f>
        <v>0</v>
      </c>
      <c r="K82" s="4" t="n">
        <f aca="false">IF(Headcount!$D$31&lt;=Timeline!K5,Headcount!$C$31*Headcount!$E$31/12*(1+burden)*(1+salary_infl)^MAX(0,2027-2027),0)</f>
        <v>0</v>
      </c>
      <c r="L82" s="4" t="n">
        <f aca="false">IF(Headcount!$D$31&lt;=Timeline!L5,Headcount!$C$31*Headcount!$E$31/12*(1+burden)*(1+salary_infl)^MAX(0,2027-2027),0)</f>
        <v>0</v>
      </c>
      <c r="M82" s="4" t="n">
        <f aca="false">IF(Headcount!$D$31&lt;=Timeline!M5,Headcount!$C$31*Headcount!$E$31/12*(1+burden)*(1+salary_infl)^MAX(0,2027-2027),0)</f>
        <v>0</v>
      </c>
      <c r="N82" s="4" t="n">
        <f aca="false">IF(Headcount!$D$31&lt;=Timeline!N5,Headcount!$C$31*Headcount!$E$31/12*(1+burden)*(1+salary_infl)^MAX(0,2027-2027),0)</f>
        <v>0</v>
      </c>
      <c r="O82" s="4" t="n">
        <f aca="false">IF(Headcount!$D$31&lt;=Timeline!O5,Headcount!$C$31*Headcount!$E$31/12*(1+burden)*(1+salary_infl)^MAX(0,2027-2027),0)</f>
        <v>0</v>
      </c>
      <c r="P82" s="4" t="n">
        <f aca="false">IF(Headcount!$D$31&lt;=Timeline!P5,Headcount!$C$31*Headcount!$E$31/12*(1+burden)*(1+salary_infl)^MAX(0,2027-2027),0)</f>
        <v>0</v>
      </c>
      <c r="Q82" s="4" t="n">
        <f aca="false">IF(Headcount!$D$31&lt;=Timeline!Q5,Headcount!$C$31*Headcount!$E$31/12*(1+burden)*(1+salary_infl)^MAX(0,2028-2027),0)</f>
        <v>0</v>
      </c>
      <c r="R82" s="4" t="n">
        <f aca="false">IF(Headcount!$D$31&lt;=Timeline!R5,Headcount!$C$31*Headcount!$E$31/12*(1+burden)*(1+salary_infl)^MAX(0,2028-2027),0)</f>
        <v>0</v>
      </c>
      <c r="S82" s="4" t="n">
        <f aca="false">IF(Headcount!$D$31&lt;=Timeline!S5,Headcount!$C$31*Headcount!$E$31/12*(1+burden)*(1+salary_infl)^MAX(0,2028-2027),0)</f>
        <v>0</v>
      </c>
      <c r="T82" s="4" t="n">
        <f aca="false">IF(Headcount!$D$31&lt;=Timeline!T5,Headcount!$C$31*Headcount!$E$31/12*(1+burden)*(1+salary_infl)^MAX(0,2028-2027),0)</f>
        <v>0</v>
      </c>
      <c r="U82" s="4" t="n">
        <f aca="false">IF(Headcount!$D$31&lt;=Timeline!U5,Headcount!$C$31*Headcount!$E$31/12*(1+burden)*(1+salary_infl)^MAX(0,2028-2027),0)</f>
        <v>0</v>
      </c>
      <c r="V82" s="4" t="n">
        <f aca="false">IF(Headcount!$D$31&lt;=Timeline!V5,Headcount!$C$31*Headcount!$E$31/12*(1+burden)*(1+salary_infl)^MAX(0,2028-2027),0)</f>
        <v>0</v>
      </c>
      <c r="W82" s="4" t="n">
        <f aca="false">IF(Headcount!$D$31&lt;=Timeline!W5,Headcount!$C$31*Headcount!$E$31/12*(1+burden)*(1+salary_infl)^MAX(0,2028-2027),0)</f>
        <v>0</v>
      </c>
      <c r="X82" s="4" t="n">
        <f aca="false">IF(Headcount!$D$31&lt;=Timeline!X5,Headcount!$C$31*Headcount!$E$31/12*(1+burden)*(1+salary_infl)^MAX(0,2028-2027),0)</f>
        <v>0</v>
      </c>
      <c r="Y82" s="4" t="n">
        <f aca="false">IF(Headcount!$D$31&lt;=Timeline!Y5,Headcount!$C$31*Headcount!$E$31/12*(1+burden)*(1+salary_infl)^MAX(0,2028-2027),0)</f>
        <v>0</v>
      </c>
      <c r="Z82" s="4" t="n">
        <f aca="false">IF(Headcount!$D$31&lt;=Timeline!Z5,Headcount!$C$31*Headcount!$E$31/12*(1+burden)*(1+salary_infl)^MAX(0,2028-2027),0)</f>
        <v>0</v>
      </c>
      <c r="AA82" s="4" t="n">
        <f aca="false">IF(Headcount!$D$31&lt;=Timeline!AA5,Headcount!$C$31*Headcount!$E$31/12*(1+burden)*(1+salary_infl)^MAX(0,2028-2027),0)</f>
        <v>0</v>
      </c>
      <c r="AB82" s="4" t="n">
        <f aca="false">IF(Headcount!$D$31&lt;=Timeline!AB5,Headcount!$C$31*Headcount!$E$31/12*(1+burden)*(1+salary_infl)^MAX(0,2028-2027),0)</f>
        <v>0</v>
      </c>
      <c r="AC82" s="4" t="n">
        <f aca="false">Headcount!$C$31*Headcount!$E$31*(1+burden)*(1+salary_infl)^MAX(0,2029-2027)*MAX(0,MIN(12,(2029-YEAR(Headcount!$D$31))*12+13-MONTH(Headcount!$D$31)))/12</f>
        <v>1370329.16666667</v>
      </c>
      <c r="AD82" s="4" t="n">
        <f aca="false">Headcount!$C$31*Headcount!$E$31*(1+burden)*(1+salary_infl)^MAX(0,2030-2027)*MAX(0,MIN(12,(2030-YEAR(Headcount!$D$31))*12+13-MONTH(Headcount!$D$31)))/12</f>
        <v>1693726.85</v>
      </c>
      <c r="AE82" s="4" t="n">
        <f aca="false">Headcount!$C$31*Headcount!$E$31*(1+burden)*(1+salary_infl)^MAX(0,2031-2027)*MAX(0,MIN(12,(2031-YEAR(Headcount!$D$31))*12+13-MONTH(Headcount!$D$31)))/12</f>
        <v>1744538.6555</v>
      </c>
      <c r="AG82" s="4" t="n">
        <f aca="false">SUMIF($C$3:$AE$3,AG$3,$C82:$AE82)</f>
        <v>0</v>
      </c>
      <c r="AH82" s="4" t="n">
        <f aca="false">SUMIF($C$3:$AE$3,AH$3,$C82:$AE82)</f>
        <v>0</v>
      </c>
      <c r="AI82" s="4" t="n">
        <f aca="false">SUMIF($C$3:$AE$3,AI$3,$C82:$AE82)</f>
        <v>0</v>
      </c>
      <c r="AJ82" s="4" t="n">
        <f aca="false">SUMIF($C$3:$AE$3,AJ$3,$C82:$AE82)</f>
        <v>1370329.16666667</v>
      </c>
      <c r="AK82" s="4" t="n">
        <f aca="false">SUMIF($C$3:$AE$3,AK$3,$C82:$AE82)</f>
        <v>1693726.85</v>
      </c>
      <c r="AL82" s="4" t="n">
        <f aca="false">SUMIF($C$3:$AE$3,AL$3,$C82:$AE82)</f>
        <v>1744538.6555</v>
      </c>
    </row>
    <row r="83" customFormat="false" ht="15" hidden="false" customHeight="false" outlineLevel="0" collapsed="false">
      <c r="A83" s="0" t="str">
        <f aca="false">Headcount!A32</f>
        <v>Content editors (30 new cities)</v>
      </c>
      <c r="B83" s="2" t="str">
        <f aca="false">Headcount!B32</f>
        <v>R&amp;D</v>
      </c>
      <c r="C83" s="4" t="n">
        <f aca="false">IF(Headcount!$D$32&lt;=Timeline!C5,Headcount!$C$32*Headcount!$E$32/12*(1+burden)*(1+salary_infl)^MAX(0,2026-2027),0)</f>
        <v>0</v>
      </c>
      <c r="D83" s="4" t="n">
        <f aca="false">IF(Headcount!$D$32&lt;=Timeline!D5,Headcount!$C$32*Headcount!$E$32/12*(1+burden)*(1+salary_infl)^MAX(0,2026-2027),0)</f>
        <v>0</v>
      </c>
      <c r="E83" s="4" t="n">
        <f aca="false">IF(Headcount!$D$32&lt;=Timeline!E5,Headcount!$C$32*Headcount!$E$32/12*(1+burden)*(1+salary_infl)^MAX(0,2027-2027),0)</f>
        <v>0</v>
      </c>
      <c r="F83" s="4" t="n">
        <f aca="false">IF(Headcount!$D$32&lt;=Timeline!F5,Headcount!$C$32*Headcount!$E$32/12*(1+burden)*(1+salary_infl)^MAX(0,2027-2027),0)</f>
        <v>0</v>
      </c>
      <c r="G83" s="4" t="n">
        <f aca="false">IF(Headcount!$D$32&lt;=Timeline!G5,Headcount!$C$32*Headcount!$E$32/12*(1+burden)*(1+salary_infl)^MAX(0,2027-2027),0)</f>
        <v>0</v>
      </c>
      <c r="H83" s="4" t="n">
        <f aca="false">IF(Headcount!$D$32&lt;=Timeline!H5,Headcount!$C$32*Headcount!$E$32/12*(1+burden)*(1+salary_infl)^MAX(0,2027-2027),0)</f>
        <v>0</v>
      </c>
      <c r="I83" s="4" t="n">
        <f aca="false">IF(Headcount!$D$32&lt;=Timeline!I5,Headcount!$C$32*Headcount!$E$32/12*(1+burden)*(1+salary_infl)^MAX(0,2027-2027),0)</f>
        <v>0</v>
      </c>
      <c r="J83" s="4" t="n">
        <f aca="false">IF(Headcount!$D$32&lt;=Timeline!J5,Headcount!$C$32*Headcount!$E$32/12*(1+burden)*(1+salary_infl)^MAX(0,2027-2027),0)</f>
        <v>0</v>
      </c>
      <c r="K83" s="4" t="n">
        <f aca="false">IF(Headcount!$D$32&lt;=Timeline!K5,Headcount!$C$32*Headcount!$E$32/12*(1+burden)*(1+salary_infl)^MAX(0,2027-2027),0)</f>
        <v>0</v>
      </c>
      <c r="L83" s="4" t="n">
        <f aca="false">IF(Headcount!$D$32&lt;=Timeline!L5,Headcount!$C$32*Headcount!$E$32/12*(1+burden)*(1+salary_infl)^MAX(0,2027-2027),0)</f>
        <v>0</v>
      </c>
      <c r="M83" s="4" t="n">
        <f aca="false">IF(Headcount!$D$32&lt;=Timeline!M5,Headcount!$C$32*Headcount!$E$32/12*(1+burden)*(1+salary_infl)^MAX(0,2027-2027),0)</f>
        <v>0</v>
      </c>
      <c r="N83" s="4" t="n">
        <f aca="false">IF(Headcount!$D$32&lt;=Timeline!N5,Headcount!$C$32*Headcount!$E$32/12*(1+burden)*(1+salary_infl)^MAX(0,2027-2027),0)</f>
        <v>0</v>
      </c>
      <c r="O83" s="4" t="n">
        <f aca="false">IF(Headcount!$D$32&lt;=Timeline!O5,Headcount!$C$32*Headcount!$E$32/12*(1+burden)*(1+salary_infl)^MAX(0,2027-2027),0)</f>
        <v>0</v>
      </c>
      <c r="P83" s="4" t="n">
        <f aca="false">IF(Headcount!$D$32&lt;=Timeline!P5,Headcount!$C$32*Headcount!$E$32/12*(1+burden)*(1+salary_infl)^MAX(0,2027-2027),0)</f>
        <v>0</v>
      </c>
      <c r="Q83" s="4" t="n">
        <f aca="false">IF(Headcount!$D$32&lt;=Timeline!Q5,Headcount!$C$32*Headcount!$E$32/12*(1+burden)*(1+salary_infl)^MAX(0,2028-2027),0)</f>
        <v>0</v>
      </c>
      <c r="R83" s="4" t="n">
        <f aca="false">IF(Headcount!$D$32&lt;=Timeline!R5,Headcount!$C$32*Headcount!$E$32/12*(1+burden)*(1+salary_infl)^MAX(0,2028-2027),0)</f>
        <v>0</v>
      </c>
      <c r="S83" s="4" t="n">
        <f aca="false">IF(Headcount!$D$32&lt;=Timeline!S5,Headcount!$C$32*Headcount!$E$32/12*(1+burden)*(1+salary_infl)^MAX(0,2028-2027),0)</f>
        <v>0</v>
      </c>
      <c r="T83" s="4" t="n">
        <f aca="false">IF(Headcount!$D$32&lt;=Timeline!T5,Headcount!$C$32*Headcount!$E$32/12*(1+burden)*(1+salary_infl)^MAX(0,2028-2027),0)</f>
        <v>0</v>
      </c>
      <c r="U83" s="4" t="n">
        <f aca="false">IF(Headcount!$D$32&lt;=Timeline!U5,Headcount!$C$32*Headcount!$E$32/12*(1+burden)*(1+salary_infl)^MAX(0,2028-2027),0)</f>
        <v>0</v>
      </c>
      <c r="V83" s="4" t="n">
        <f aca="false">IF(Headcount!$D$32&lt;=Timeline!V5,Headcount!$C$32*Headcount!$E$32/12*(1+burden)*(1+salary_infl)^MAX(0,2028-2027),0)</f>
        <v>0</v>
      </c>
      <c r="W83" s="4" t="n">
        <f aca="false">IF(Headcount!$D$32&lt;=Timeline!W5,Headcount!$C$32*Headcount!$E$32/12*(1+burden)*(1+salary_infl)^MAX(0,2028-2027),0)</f>
        <v>0</v>
      </c>
      <c r="X83" s="4" t="n">
        <f aca="false">IF(Headcount!$D$32&lt;=Timeline!X5,Headcount!$C$32*Headcount!$E$32/12*(1+burden)*(1+salary_infl)^MAX(0,2028-2027),0)</f>
        <v>0</v>
      </c>
      <c r="Y83" s="4" t="n">
        <f aca="false">IF(Headcount!$D$32&lt;=Timeline!Y5,Headcount!$C$32*Headcount!$E$32/12*(1+burden)*(1+salary_infl)^MAX(0,2028-2027),0)</f>
        <v>0</v>
      </c>
      <c r="Z83" s="4" t="n">
        <f aca="false">IF(Headcount!$D$32&lt;=Timeline!Z5,Headcount!$C$32*Headcount!$E$32/12*(1+burden)*(1+salary_infl)^MAX(0,2028-2027),0)</f>
        <v>0</v>
      </c>
      <c r="AA83" s="4" t="n">
        <f aca="false">IF(Headcount!$D$32&lt;=Timeline!AA5,Headcount!$C$32*Headcount!$E$32/12*(1+burden)*(1+salary_infl)^MAX(0,2028-2027),0)</f>
        <v>0</v>
      </c>
      <c r="AB83" s="4" t="n">
        <f aca="false">IF(Headcount!$D$32&lt;=Timeline!AB5,Headcount!$C$32*Headcount!$E$32/12*(1+burden)*(1+salary_infl)^MAX(0,2028-2027),0)</f>
        <v>0</v>
      </c>
      <c r="AC83" s="4" t="n">
        <f aca="false">Headcount!$C$32*Headcount!$E$32*(1+burden)*(1+salary_infl)^MAX(0,2029-2027)*MAX(0,MIN(12,(2029-YEAR(Headcount!$D$32))*12+13-MONTH(Headcount!$D$32)))/12</f>
        <v>318270</v>
      </c>
      <c r="AD83" s="4" t="n">
        <f aca="false">Headcount!$C$32*Headcount!$E$32*(1+burden)*(1+salary_infl)^MAX(0,2030-2027)*MAX(0,MIN(12,(2030-YEAR(Headcount!$D$32))*12+13-MONTH(Headcount!$D$32)))/12</f>
        <v>393381.72</v>
      </c>
      <c r="AE83" s="4" t="n">
        <f aca="false">Headcount!$C$32*Headcount!$E$32*(1+burden)*(1+salary_infl)^MAX(0,2031-2027)*MAX(0,MIN(12,(2031-YEAR(Headcount!$D$32))*12+13-MONTH(Headcount!$D$32)))/12</f>
        <v>405183.1716</v>
      </c>
      <c r="AG83" s="4" t="n">
        <f aca="false">SUMIF($C$3:$AE$3,AG$3,$C83:$AE83)</f>
        <v>0</v>
      </c>
      <c r="AH83" s="4" t="n">
        <f aca="false">SUMIF($C$3:$AE$3,AH$3,$C83:$AE83)</f>
        <v>0</v>
      </c>
      <c r="AI83" s="4" t="n">
        <f aca="false">SUMIF($C$3:$AE$3,AI$3,$C83:$AE83)</f>
        <v>0</v>
      </c>
      <c r="AJ83" s="4" t="n">
        <f aca="false">SUMIF($C$3:$AE$3,AJ$3,$C83:$AE83)</f>
        <v>318270</v>
      </c>
      <c r="AK83" s="4" t="n">
        <f aca="false">SUMIF($C$3:$AE$3,AK$3,$C83:$AE83)</f>
        <v>393381.72</v>
      </c>
      <c r="AL83" s="4" t="n">
        <f aca="false">SUMIF($C$3:$AE$3,AL$3,$C83:$AE83)</f>
        <v>405183.1716</v>
      </c>
    </row>
    <row r="84" customFormat="false" ht="15" hidden="false" customHeight="false" outlineLevel="0" collapsed="false">
      <c r="A84" s="0" t="str">
        <f aca="false">Headcount!A33</f>
        <v>S&amp;M team (performance, retail, EU/APAC)</v>
      </c>
      <c r="B84" s="2" t="str">
        <f aca="false">Headcount!B33</f>
        <v>S&amp;M</v>
      </c>
      <c r="C84" s="4" t="n">
        <f aca="false">IF(Headcount!$D$33&lt;=Timeline!C5,Headcount!$C$33*Headcount!$E$33/12*(1+burden)*(1+salary_infl)^MAX(0,2026-2027),0)</f>
        <v>0</v>
      </c>
      <c r="D84" s="4" t="n">
        <f aca="false">IF(Headcount!$D$33&lt;=Timeline!D5,Headcount!$C$33*Headcount!$E$33/12*(1+burden)*(1+salary_infl)^MAX(0,2026-2027),0)</f>
        <v>0</v>
      </c>
      <c r="E84" s="4" t="n">
        <f aca="false">IF(Headcount!$D$33&lt;=Timeline!E5,Headcount!$C$33*Headcount!$E$33/12*(1+burden)*(1+salary_infl)^MAX(0,2027-2027),0)</f>
        <v>0</v>
      </c>
      <c r="F84" s="4" t="n">
        <f aca="false">IF(Headcount!$D$33&lt;=Timeline!F5,Headcount!$C$33*Headcount!$E$33/12*(1+burden)*(1+salary_infl)^MAX(0,2027-2027),0)</f>
        <v>0</v>
      </c>
      <c r="G84" s="4" t="n">
        <f aca="false">IF(Headcount!$D$33&lt;=Timeline!G5,Headcount!$C$33*Headcount!$E$33/12*(1+burden)*(1+salary_infl)^MAX(0,2027-2027),0)</f>
        <v>0</v>
      </c>
      <c r="H84" s="4" t="n">
        <f aca="false">IF(Headcount!$D$33&lt;=Timeline!H5,Headcount!$C$33*Headcount!$E$33/12*(1+burden)*(1+salary_infl)^MAX(0,2027-2027),0)</f>
        <v>0</v>
      </c>
      <c r="I84" s="4" t="n">
        <f aca="false">IF(Headcount!$D$33&lt;=Timeline!I5,Headcount!$C$33*Headcount!$E$33/12*(1+burden)*(1+salary_infl)^MAX(0,2027-2027),0)</f>
        <v>0</v>
      </c>
      <c r="J84" s="4" t="n">
        <f aca="false">IF(Headcount!$D$33&lt;=Timeline!J5,Headcount!$C$33*Headcount!$E$33/12*(1+burden)*(1+salary_infl)^MAX(0,2027-2027),0)</f>
        <v>0</v>
      </c>
      <c r="K84" s="4" t="n">
        <f aca="false">IF(Headcount!$D$33&lt;=Timeline!K5,Headcount!$C$33*Headcount!$E$33/12*(1+burden)*(1+salary_infl)^MAX(0,2027-2027),0)</f>
        <v>0</v>
      </c>
      <c r="L84" s="4" t="n">
        <f aca="false">IF(Headcount!$D$33&lt;=Timeline!L5,Headcount!$C$33*Headcount!$E$33/12*(1+burden)*(1+salary_infl)^MAX(0,2027-2027),0)</f>
        <v>0</v>
      </c>
      <c r="M84" s="4" t="n">
        <f aca="false">IF(Headcount!$D$33&lt;=Timeline!M5,Headcount!$C$33*Headcount!$E$33/12*(1+burden)*(1+salary_infl)^MAX(0,2027-2027),0)</f>
        <v>0</v>
      </c>
      <c r="N84" s="4" t="n">
        <f aca="false">IF(Headcount!$D$33&lt;=Timeline!N5,Headcount!$C$33*Headcount!$E$33/12*(1+burden)*(1+salary_infl)^MAX(0,2027-2027),0)</f>
        <v>0</v>
      </c>
      <c r="O84" s="4" t="n">
        <f aca="false">IF(Headcount!$D$33&lt;=Timeline!O5,Headcount!$C$33*Headcount!$E$33/12*(1+burden)*(1+salary_infl)^MAX(0,2027-2027),0)</f>
        <v>0</v>
      </c>
      <c r="P84" s="4" t="n">
        <f aca="false">IF(Headcount!$D$33&lt;=Timeline!P5,Headcount!$C$33*Headcount!$E$33/12*(1+burden)*(1+salary_infl)^MAX(0,2027-2027),0)</f>
        <v>0</v>
      </c>
      <c r="Q84" s="4" t="n">
        <f aca="false">IF(Headcount!$D$33&lt;=Timeline!Q5,Headcount!$C$33*Headcount!$E$33/12*(1+burden)*(1+salary_infl)^MAX(0,2028-2027),0)</f>
        <v>0</v>
      </c>
      <c r="R84" s="4" t="n">
        <f aca="false">IF(Headcount!$D$33&lt;=Timeline!R5,Headcount!$C$33*Headcount!$E$33/12*(1+burden)*(1+salary_infl)^MAX(0,2028-2027),0)</f>
        <v>0</v>
      </c>
      <c r="S84" s="4" t="n">
        <f aca="false">IF(Headcount!$D$33&lt;=Timeline!S5,Headcount!$C$33*Headcount!$E$33/12*(1+burden)*(1+salary_infl)^MAX(0,2028-2027),0)</f>
        <v>0</v>
      </c>
      <c r="T84" s="4" t="n">
        <f aca="false">IF(Headcount!$D$33&lt;=Timeline!T5,Headcount!$C$33*Headcount!$E$33/12*(1+burden)*(1+salary_infl)^MAX(0,2028-2027),0)</f>
        <v>0</v>
      </c>
      <c r="U84" s="4" t="n">
        <f aca="false">IF(Headcount!$D$33&lt;=Timeline!U5,Headcount!$C$33*Headcount!$E$33/12*(1+burden)*(1+salary_infl)^MAX(0,2028-2027),0)</f>
        <v>0</v>
      </c>
      <c r="V84" s="4" t="n">
        <f aca="false">IF(Headcount!$D$33&lt;=Timeline!V5,Headcount!$C$33*Headcount!$E$33/12*(1+burden)*(1+salary_infl)^MAX(0,2028-2027),0)</f>
        <v>0</v>
      </c>
      <c r="W84" s="4" t="n">
        <f aca="false">IF(Headcount!$D$33&lt;=Timeline!W5,Headcount!$C$33*Headcount!$E$33/12*(1+burden)*(1+salary_infl)^MAX(0,2028-2027),0)</f>
        <v>0</v>
      </c>
      <c r="X84" s="4" t="n">
        <f aca="false">IF(Headcount!$D$33&lt;=Timeline!X5,Headcount!$C$33*Headcount!$E$33/12*(1+burden)*(1+salary_infl)^MAX(0,2028-2027),0)</f>
        <v>0</v>
      </c>
      <c r="Y84" s="4" t="n">
        <f aca="false">IF(Headcount!$D$33&lt;=Timeline!Y5,Headcount!$C$33*Headcount!$E$33/12*(1+burden)*(1+salary_infl)^MAX(0,2028-2027),0)</f>
        <v>0</v>
      </c>
      <c r="Z84" s="4" t="n">
        <f aca="false">IF(Headcount!$D$33&lt;=Timeline!Z5,Headcount!$C$33*Headcount!$E$33/12*(1+burden)*(1+salary_infl)^MAX(0,2028-2027),0)</f>
        <v>0</v>
      </c>
      <c r="AA84" s="4" t="n">
        <f aca="false">IF(Headcount!$D$33&lt;=Timeline!AA5,Headcount!$C$33*Headcount!$E$33/12*(1+burden)*(1+salary_infl)^MAX(0,2028-2027),0)</f>
        <v>0</v>
      </c>
      <c r="AB84" s="4" t="n">
        <f aca="false">IF(Headcount!$D$33&lt;=Timeline!AB5,Headcount!$C$33*Headcount!$E$33/12*(1+burden)*(1+salary_infl)^MAX(0,2028-2027),0)</f>
        <v>0</v>
      </c>
      <c r="AC84" s="4" t="n">
        <f aca="false">Headcount!$C$33*Headcount!$E$33*(1+burden)*(1+salary_infl)^MAX(0,2029-2027)*MAX(0,MIN(12,(2029-YEAR(Headcount!$D$33))*12+13-MONTH(Headcount!$D$33)))/12</f>
        <v>547026.5625</v>
      </c>
      <c r="AD84" s="4" t="n">
        <f aca="false">Headcount!$C$33*Headcount!$E$33*(1+burden)*(1+salary_infl)^MAX(0,2030-2027)*MAX(0,MIN(12,(2030-YEAR(Headcount!$D$33))*12+13-MONTH(Headcount!$D$33)))/12</f>
        <v>751249.8125</v>
      </c>
      <c r="AE84" s="4" t="n">
        <f aca="false">Headcount!$C$33*Headcount!$E$33*(1+burden)*(1+salary_infl)^MAX(0,2031-2027)*MAX(0,MIN(12,(2031-YEAR(Headcount!$D$33))*12+13-MONTH(Headcount!$D$33)))/12</f>
        <v>773787.306875</v>
      </c>
      <c r="AG84" s="4" t="n">
        <f aca="false">SUMIF($C$3:$AE$3,AG$3,$C84:$AE84)</f>
        <v>0</v>
      </c>
      <c r="AH84" s="4" t="n">
        <f aca="false">SUMIF($C$3:$AE$3,AH$3,$C84:$AE84)</f>
        <v>0</v>
      </c>
      <c r="AI84" s="4" t="n">
        <f aca="false">SUMIF($C$3:$AE$3,AI$3,$C84:$AE84)</f>
        <v>0</v>
      </c>
      <c r="AJ84" s="4" t="n">
        <f aca="false">SUMIF($C$3:$AE$3,AJ$3,$C84:$AE84)</f>
        <v>547026.5625</v>
      </c>
      <c r="AK84" s="4" t="n">
        <f aca="false">SUMIF($C$3:$AE$3,AK$3,$C84:$AE84)</f>
        <v>751249.8125</v>
      </c>
      <c r="AL84" s="4" t="n">
        <f aca="false">SUMIF($C$3:$AE$3,AL$3,$C84:$AE84)</f>
        <v>773787.306875</v>
      </c>
    </row>
    <row r="85" customFormat="false" ht="15" hidden="false" customHeight="false" outlineLevel="0" collapsed="false">
      <c r="A85" s="0" t="str">
        <f aca="false">Headcount!A34</f>
        <v>Ops / supply-chain / quality</v>
      </c>
      <c r="B85" s="2" t="str">
        <f aca="false">Headcount!B34</f>
        <v>Ops &amp; CS</v>
      </c>
      <c r="C85" s="4" t="n">
        <f aca="false">IF(Headcount!$D$34&lt;=Timeline!C5,Headcount!$C$34*Headcount!$E$34/12*(1+burden)*(1+salary_infl)^MAX(0,2026-2027),0)</f>
        <v>0</v>
      </c>
      <c r="D85" s="4" t="n">
        <f aca="false">IF(Headcount!$D$34&lt;=Timeline!D5,Headcount!$C$34*Headcount!$E$34/12*(1+burden)*(1+salary_infl)^MAX(0,2026-2027),0)</f>
        <v>0</v>
      </c>
      <c r="E85" s="4" t="n">
        <f aca="false">IF(Headcount!$D$34&lt;=Timeline!E5,Headcount!$C$34*Headcount!$E$34/12*(1+burden)*(1+salary_infl)^MAX(0,2027-2027),0)</f>
        <v>0</v>
      </c>
      <c r="F85" s="4" t="n">
        <f aca="false">IF(Headcount!$D$34&lt;=Timeline!F5,Headcount!$C$34*Headcount!$E$34/12*(1+burden)*(1+salary_infl)^MAX(0,2027-2027),0)</f>
        <v>0</v>
      </c>
      <c r="G85" s="4" t="n">
        <f aca="false">IF(Headcount!$D$34&lt;=Timeline!G5,Headcount!$C$34*Headcount!$E$34/12*(1+burden)*(1+salary_infl)^MAX(0,2027-2027),0)</f>
        <v>0</v>
      </c>
      <c r="H85" s="4" t="n">
        <f aca="false">IF(Headcount!$D$34&lt;=Timeline!H5,Headcount!$C$34*Headcount!$E$34/12*(1+burden)*(1+salary_infl)^MAX(0,2027-2027),0)</f>
        <v>0</v>
      </c>
      <c r="I85" s="4" t="n">
        <f aca="false">IF(Headcount!$D$34&lt;=Timeline!I5,Headcount!$C$34*Headcount!$E$34/12*(1+burden)*(1+salary_infl)^MAX(0,2027-2027),0)</f>
        <v>0</v>
      </c>
      <c r="J85" s="4" t="n">
        <f aca="false">IF(Headcount!$D$34&lt;=Timeline!J5,Headcount!$C$34*Headcount!$E$34/12*(1+burden)*(1+salary_infl)^MAX(0,2027-2027),0)</f>
        <v>0</v>
      </c>
      <c r="K85" s="4" t="n">
        <f aca="false">IF(Headcount!$D$34&lt;=Timeline!K5,Headcount!$C$34*Headcount!$E$34/12*(1+burden)*(1+salary_infl)^MAX(0,2027-2027),0)</f>
        <v>0</v>
      </c>
      <c r="L85" s="4" t="n">
        <f aca="false">IF(Headcount!$D$34&lt;=Timeline!L5,Headcount!$C$34*Headcount!$E$34/12*(1+burden)*(1+salary_infl)^MAX(0,2027-2027),0)</f>
        <v>0</v>
      </c>
      <c r="M85" s="4" t="n">
        <f aca="false">IF(Headcount!$D$34&lt;=Timeline!M5,Headcount!$C$34*Headcount!$E$34/12*(1+burden)*(1+salary_infl)^MAX(0,2027-2027),0)</f>
        <v>0</v>
      </c>
      <c r="N85" s="4" t="n">
        <f aca="false">IF(Headcount!$D$34&lt;=Timeline!N5,Headcount!$C$34*Headcount!$E$34/12*(1+burden)*(1+salary_infl)^MAX(0,2027-2027),0)</f>
        <v>0</v>
      </c>
      <c r="O85" s="4" t="n">
        <f aca="false">IF(Headcount!$D$34&lt;=Timeline!O5,Headcount!$C$34*Headcount!$E$34/12*(1+burden)*(1+salary_infl)^MAX(0,2027-2027),0)</f>
        <v>0</v>
      </c>
      <c r="P85" s="4" t="n">
        <f aca="false">IF(Headcount!$D$34&lt;=Timeline!P5,Headcount!$C$34*Headcount!$E$34/12*(1+burden)*(1+salary_infl)^MAX(0,2027-2027),0)</f>
        <v>0</v>
      </c>
      <c r="Q85" s="4" t="n">
        <f aca="false">IF(Headcount!$D$34&lt;=Timeline!Q5,Headcount!$C$34*Headcount!$E$34/12*(1+burden)*(1+salary_infl)^MAX(0,2028-2027),0)</f>
        <v>0</v>
      </c>
      <c r="R85" s="4" t="n">
        <f aca="false">IF(Headcount!$D$34&lt;=Timeline!R5,Headcount!$C$34*Headcount!$E$34/12*(1+burden)*(1+salary_infl)^MAX(0,2028-2027),0)</f>
        <v>0</v>
      </c>
      <c r="S85" s="4" t="n">
        <f aca="false">IF(Headcount!$D$34&lt;=Timeline!S5,Headcount!$C$34*Headcount!$E$34/12*(1+burden)*(1+salary_infl)^MAX(0,2028-2027),0)</f>
        <v>0</v>
      </c>
      <c r="T85" s="4" t="n">
        <f aca="false">IF(Headcount!$D$34&lt;=Timeline!T5,Headcount!$C$34*Headcount!$E$34/12*(1+burden)*(1+salary_infl)^MAX(0,2028-2027),0)</f>
        <v>0</v>
      </c>
      <c r="U85" s="4" t="n">
        <f aca="false">IF(Headcount!$D$34&lt;=Timeline!U5,Headcount!$C$34*Headcount!$E$34/12*(1+burden)*(1+salary_infl)^MAX(0,2028-2027),0)</f>
        <v>0</v>
      </c>
      <c r="V85" s="4" t="n">
        <f aca="false">IF(Headcount!$D$34&lt;=Timeline!V5,Headcount!$C$34*Headcount!$E$34/12*(1+burden)*(1+salary_infl)^MAX(0,2028-2027),0)</f>
        <v>0</v>
      </c>
      <c r="W85" s="4" t="n">
        <f aca="false">IF(Headcount!$D$34&lt;=Timeline!W5,Headcount!$C$34*Headcount!$E$34/12*(1+burden)*(1+salary_infl)^MAX(0,2028-2027),0)</f>
        <v>0</v>
      </c>
      <c r="X85" s="4" t="n">
        <f aca="false">IF(Headcount!$D$34&lt;=Timeline!X5,Headcount!$C$34*Headcount!$E$34/12*(1+burden)*(1+salary_infl)^MAX(0,2028-2027),0)</f>
        <v>0</v>
      </c>
      <c r="Y85" s="4" t="n">
        <f aca="false">IF(Headcount!$D$34&lt;=Timeline!Y5,Headcount!$C$34*Headcount!$E$34/12*(1+burden)*(1+salary_infl)^MAX(0,2028-2027),0)</f>
        <v>0</v>
      </c>
      <c r="Z85" s="4" t="n">
        <f aca="false">IF(Headcount!$D$34&lt;=Timeline!Z5,Headcount!$C$34*Headcount!$E$34/12*(1+burden)*(1+salary_infl)^MAX(0,2028-2027),0)</f>
        <v>0</v>
      </c>
      <c r="AA85" s="4" t="n">
        <f aca="false">IF(Headcount!$D$34&lt;=Timeline!AA5,Headcount!$C$34*Headcount!$E$34/12*(1+burden)*(1+salary_infl)^MAX(0,2028-2027),0)</f>
        <v>0</v>
      </c>
      <c r="AB85" s="4" t="n">
        <f aca="false">IF(Headcount!$D$34&lt;=Timeline!AB5,Headcount!$C$34*Headcount!$E$34/12*(1+burden)*(1+salary_infl)^MAX(0,2028-2027),0)</f>
        <v>0</v>
      </c>
      <c r="AC85" s="4" t="n">
        <f aca="false">Headcount!$C$34*Headcount!$E$34*(1+burden)*(1+salary_infl)^MAX(0,2029-2027)*MAX(0,MIN(12,(2029-YEAR(Headcount!$D$34))*12+13-MONTH(Headcount!$D$34)))/12</f>
        <v>298378.125</v>
      </c>
      <c r="AD85" s="4" t="n">
        <f aca="false">Headcount!$C$34*Headcount!$E$34*(1+burden)*(1+salary_infl)^MAX(0,2030-2027)*MAX(0,MIN(12,(2030-YEAR(Headcount!$D$34))*12+13-MONTH(Headcount!$D$34)))/12</f>
        <v>409772.625</v>
      </c>
      <c r="AE85" s="4" t="n">
        <f aca="false">Headcount!$C$34*Headcount!$E$34*(1+burden)*(1+salary_infl)^MAX(0,2031-2027)*MAX(0,MIN(12,(2031-YEAR(Headcount!$D$34))*12+13-MONTH(Headcount!$D$34)))/12</f>
        <v>422065.80375</v>
      </c>
      <c r="AG85" s="4" t="n">
        <f aca="false">SUMIF($C$3:$AE$3,AG$3,$C85:$AE85)</f>
        <v>0</v>
      </c>
      <c r="AH85" s="4" t="n">
        <f aca="false">SUMIF($C$3:$AE$3,AH$3,$C85:$AE85)</f>
        <v>0</v>
      </c>
      <c r="AI85" s="4" t="n">
        <f aca="false">SUMIF($C$3:$AE$3,AI$3,$C85:$AE85)</f>
        <v>0</v>
      </c>
      <c r="AJ85" s="4" t="n">
        <f aca="false">SUMIF($C$3:$AE$3,AJ$3,$C85:$AE85)</f>
        <v>298378.125</v>
      </c>
      <c r="AK85" s="4" t="n">
        <f aca="false">SUMIF($C$3:$AE$3,AK$3,$C85:$AE85)</f>
        <v>409772.625</v>
      </c>
      <c r="AL85" s="4" t="n">
        <f aca="false">SUMIF($C$3:$AE$3,AL$3,$C85:$AE85)</f>
        <v>422065.80375</v>
      </c>
    </row>
    <row r="86" customFormat="false" ht="15" hidden="false" customHeight="false" outlineLevel="0" collapsed="false">
      <c r="A86" s="0" t="str">
        <f aca="false">Headcount!A35</f>
        <v>Customer support agents</v>
      </c>
      <c r="B86" s="2" t="str">
        <f aca="false">Headcount!B35</f>
        <v>Ops &amp; CS</v>
      </c>
      <c r="C86" s="4" t="n">
        <f aca="false">IF(Headcount!$D$35&lt;=Timeline!C5,Headcount!$C$35*Headcount!$E$35/12*(1+burden)*(1+salary_infl)^MAX(0,2026-2027),0)</f>
        <v>0</v>
      </c>
      <c r="D86" s="4" t="n">
        <f aca="false">IF(Headcount!$D$35&lt;=Timeline!D5,Headcount!$C$35*Headcount!$E$35/12*(1+burden)*(1+salary_infl)^MAX(0,2026-2027),0)</f>
        <v>0</v>
      </c>
      <c r="E86" s="4" t="n">
        <f aca="false">IF(Headcount!$D$35&lt;=Timeline!E5,Headcount!$C$35*Headcount!$E$35/12*(1+burden)*(1+salary_infl)^MAX(0,2027-2027),0)</f>
        <v>0</v>
      </c>
      <c r="F86" s="4" t="n">
        <f aca="false">IF(Headcount!$D$35&lt;=Timeline!F5,Headcount!$C$35*Headcount!$E$35/12*(1+burden)*(1+salary_infl)^MAX(0,2027-2027),0)</f>
        <v>0</v>
      </c>
      <c r="G86" s="4" t="n">
        <f aca="false">IF(Headcount!$D$35&lt;=Timeline!G5,Headcount!$C$35*Headcount!$E$35/12*(1+burden)*(1+salary_infl)^MAX(0,2027-2027),0)</f>
        <v>0</v>
      </c>
      <c r="H86" s="4" t="n">
        <f aca="false">IF(Headcount!$D$35&lt;=Timeline!H5,Headcount!$C$35*Headcount!$E$35/12*(1+burden)*(1+salary_infl)^MAX(0,2027-2027),0)</f>
        <v>0</v>
      </c>
      <c r="I86" s="4" t="n">
        <f aca="false">IF(Headcount!$D$35&lt;=Timeline!I5,Headcount!$C$35*Headcount!$E$35/12*(1+burden)*(1+salary_infl)^MAX(0,2027-2027),0)</f>
        <v>0</v>
      </c>
      <c r="J86" s="4" t="n">
        <f aca="false">IF(Headcount!$D$35&lt;=Timeline!J5,Headcount!$C$35*Headcount!$E$35/12*(1+burden)*(1+salary_infl)^MAX(0,2027-2027),0)</f>
        <v>0</v>
      </c>
      <c r="K86" s="4" t="n">
        <f aca="false">IF(Headcount!$D$35&lt;=Timeline!K5,Headcount!$C$35*Headcount!$E$35/12*(1+burden)*(1+salary_infl)^MAX(0,2027-2027),0)</f>
        <v>0</v>
      </c>
      <c r="L86" s="4" t="n">
        <f aca="false">IF(Headcount!$D$35&lt;=Timeline!L5,Headcount!$C$35*Headcount!$E$35/12*(1+burden)*(1+salary_infl)^MAX(0,2027-2027),0)</f>
        <v>0</v>
      </c>
      <c r="M86" s="4" t="n">
        <f aca="false">IF(Headcount!$D$35&lt;=Timeline!M5,Headcount!$C$35*Headcount!$E$35/12*(1+burden)*(1+salary_infl)^MAX(0,2027-2027),0)</f>
        <v>0</v>
      </c>
      <c r="N86" s="4" t="n">
        <f aca="false">IF(Headcount!$D$35&lt;=Timeline!N5,Headcount!$C$35*Headcount!$E$35/12*(1+burden)*(1+salary_infl)^MAX(0,2027-2027),0)</f>
        <v>0</v>
      </c>
      <c r="O86" s="4" t="n">
        <f aca="false">IF(Headcount!$D$35&lt;=Timeline!O5,Headcount!$C$35*Headcount!$E$35/12*(1+burden)*(1+salary_infl)^MAX(0,2027-2027),0)</f>
        <v>0</v>
      </c>
      <c r="P86" s="4" t="n">
        <f aca="false">IF(Headcount!$D$35&lt;=Timeline!P5,Headcount!$C$35*Headcount!$E$35/12*(1+burden)*(1+salary_infl)^MAX(0,2027-2027),0)</f>
        <v>0</v>
      </c>
      <c r="Q86" s="4" t="n">
        <f aca="false">IF(Headcount!$D$35&lt;=Timeline!Q5,Headcount!$C$35*Headcount!$E$35/12*(1+burden)*(1+salary_infl)^MAX(0,2028-2027),0)</f>
        <v>0</v>
      </c>
      <c r="R86" s="4" t="n">
        <f aca="false">IF(Headcount!$D$35&lt;=Timeline!R5,Headcount!$C$35*Headcount!$E$35/12*(1+burden)*(1+salary_infl)^MAX(0,2028-2027),0)</f>
        <v>0</v>
      </c>
      <c r="S86" s="4" t="n">
        <f aca="false">IF(Headcount!$D$35&lt;=Timeline!S5,Headcount!$C$35*Headcount!$E$35/12*(1+burden)*(1+salary_infl)^MAX(0,2028-2027),0)</f>
        <v>0</v>
      </c>
      <c r="T86" s="4" t="n">
        <f aca="false">IF(Headcount!$D$35&lt;=Timeline!T5,Headcount!$C$35*Headcount!$E$35/12*(1+burden)*(1+salary_infl)^MAX(0,2028-2027),0)</f>
        <v>0</v>
      </c>
      <c r="U86" s="4" t="n">
        <f aca="false">IF(Headcount!$D$35&lt;=Timeline!U5,Headcount!$C$35*Headcount!$E$35/12*(1+burden)*(1+salary_infl)^MAX(0,2028-2027),0)</f>
        <v>0</v>
      </c>
      <c r="V86" s="4" t="n">
        <f aca="false">IF(Headcount!$D$35&lt;=Timeline!V5,Headcount!$C$35*Headcount!$E$35/12*(1+burden)*(1+salary_infl)^MAX(0,2028-2027),0)</f>
        <v>0</v>
      </c>
      <c r="W86" s="4" t="n">
        <f aca="false">IF(Headcount!$D$35&lt;=Timeline!W5,Headcount!$C$35*Headcount!$E$35/12*(1+burden)*(1+salary_infl)^MAX(0,2028-2027),0)</f>
        <v>0</v>
      </c>
      <c r="X86" s="4" t="n">
        <f aca="false">IF(Headcount!$D$35&lt;=Timeline!X5,Headcount!$C$35*Headcount!$E$35/12*(1+burden)*(1+salary_infl)^MAX(0,2028-2027),0)</f>
        <v>0</v>
      </c>
      <c r="Y86" s="4" t="n">
        <f aca="false">IF(Headcount!$D$35&lt;=Timeline!Y5,Headcount!$C$35*Headcount!$E$35/12*(1+burden)*(1+salary_infl)^MAX(0,2028-2027),0)</f>
        <v>0</v>
      </c>
      <c r="Z86" s="4" t="n">
        <f aca="false">IF(Headcount!$D$35&lt;=Timeline!Z5,Headcount!$C$35*Headcount!$E$35/12*(1+burden)*(1+salary_infl)^MAX(0,2028-2027),0)</f>
        <v>0</v>
      </c>
      <c r="AA86" s="4" t="n">
        <f aca="false">IF(Headcount!$D$35&lt;=Timeline!AA5,Headcount!$C$35*Headcount!$E$35/12*(1+burden)*(1+salary_infl)^MAX(0,2028-2027),0)</f>
        <v>0</v>
      </c>
      <c r="AB86" s="4" t="n">
        <f aca="false">IF(Headcount!$D$35&lt;=Timeline!AB5,Headcount!$C$35*Headcount!$E$35/12*(1+burden)*(1+salary_infl)^MAX(0,2028-2027),0)</f>
        <v>0</v>
      </c>
      <c r="AC86" s="4" t="n">
        <f aca="false">Headcount!$C$35*Headcount!$E$35*(1+burden)*(1+salary_infl)^MAX(0,2029-2027)*MAX(0,MIN(12,(2029-YEAR(Headcount!$D$35))*12+13-MONTH(Headcount!$D$35)))/12</f>
        <v>232071.875</v>
      </c>
      <c r="AD86" s="4" t="n">
        <f aca="false">Headcount!$C$35*Headcount!$E$35*(1+burden)*(1+salary_infl)^MAX(0,2030-2027)*MAX(0,MIN(12,(2030-YEAR(Headcount!$D$35))*12+13-MONTH(Headcount!$D$35)))/12</f>
        <v>409772.625</v>
      </c>
      <c r="AE86" s="4" t="n">
        <f aca="false">Headcount!$C$35*Headcount!$E$35*(1+burden)*(1+salary_infl)^MAX(0,2031-2027)*MAX(0,MIN(12,(2031-YEAR(Headcount!$D$35))*12+13-MONTH(Headcount!$D$35)))/12</f>
        <v>422065.80375</v>
      </c>
      <c r="AG86" s="4" t="n">
        <f aca="false">SUMIF($C$3:$AE$3,AG$3,$C86:$AE86)</f>
        <v>0</v>
      </c>
      <c r="AH86" s="4" t="n">
        <f aca="false">SUMIF($C$3:$AE$3,AH$3,$C86:$AE86)</f>
        <v>0</v>
      </c>
      <c r="AI86" s="4" t="n">
        <f aca="false">SUMIF($C$3:$AE$3,AI$3,$C86:$AE86)</f>
        <v>0</v>
      </c>
      <c r="AJ86" s="4" t="n">
        <f aca="false">SUMIF($C$3:$AE$3,AJ$3,$C86:$AE86)</f>
        <v>232071.875</v>
      </c>
      <c r="AK86" s="4" t="n">
        <f aca="false">SUMIF($C$3:$AE$3,AK$3,$C86:$AE86)</f>
        <v>409772.625</v>
      </c>
      <c r="AL86" s="4" t="n">
        <f aca="false">SUMIF($C$3:$AE$3,AL$3,$C86:$AE86)</f>
        <v>422065.80375</v>
      </c>
    </row>
    <row r="87" customFormat="false" ht="15" hidden="false" customHeight="false" outlineLevel="0" collapsed="false">
      <c r="A87" s="0" t="str">
        <f aca="false">Headcount!A36</f>
        <v>G&amp;A (finance, legal, people)</v>
      </c>
      <c r="B87" s="2" t="str">
        <f aca="false">Headcount!B36</f>
        <v>G&amp;A</v>
      </c>
      <c r="C87" s="4" t="n">
        <f aca="false">IF(Headcount!$D$36&lt;=Timeline!C5,Headcount!$C$36*Headcount!$E$36/12*(1+burden)*(1+salary_infl)^MAX(0,2026-2027),0)</f>
        <v>0</v>
      </c>
      <c r="D87" s="4" t="n">
        <f aca="false">IF(Headcount!$D$36&lt;=Timeline!D5,Headcount!$C$36*Headcount!$E$36/12*(1+burden)*(1+salary_infl)^MAX(0,2026-2027),0)</f>
        <v>0</v>
      </c>
      <c r="E87" s="4" t="n">
        <f aca="false">IF(Headcount!$D$36&lt;=Timeline!E5,Headcount!$C$36*Headcount!$E$36/12*(1+burden)*(1+salary_infl)^MAX(0,2027-2027),0)</f>
        <v>0</v>
      </c>
      <c r="F87" s="4" t="n">
        <f aca="false">IF(Headcount!$D$36&lt;=Timeline!F5,Headcount!$C$36*Headcount!$E$36/12*(1+burden)*(1+salary_infl)^MAX(0,2027-2027),0)</f>
        <v>0</v>
      </c>
      <c r="G87" s="4" t="n">
        <f aca="false">IF(Headcount!$D$36&lt;=Timeline!G5,Headcount!$C$36*Headcount!$E$36/12*(1+burden)*(1+salary_infl)^MAX(0,2027-2027),0)</f>
        <v>0</v>
      </c>
      <c r="H87" s="4" t="n">
        <f aca="false">IF(Headcount!$D$36&lt;=Timeline!H5,Headcount!$C$36*Headcount!$E$36/12*(1+burden)*(1+salary_infl)^MAX(0,2027-2027),0)</f>
        <v>0</v>
      </c>
      <c r="I87" s="4" t="n">
        <f aca="false">IF(Headcount!$D$36&lt;=Timeline!I5,Headcount!$C$36*Headcount!$E$36/12*(1+burden)*(1+salary_infl)^MAX(0,2027-2027),0)</f>
        <v>0</v>
      </c>
      <c r="J87" s="4" t="n">
        <f aca="false">IF(Headcount!$D$36&lt;=Timeline!J5,Headcount!$C$36*Headcount!$E$36/12*(1+burden)*(1+salary_infl)^MAX(0,2027-2027),0)</f>
        <v>0</v>
      </c>
      <c r="K87" s="4" t="n">
        <f aca="false">IF(Headcount!$D$36&lt;=Timeline!K5,Headcount!$C$36*Headcount!$E$36/12*(1+burden)*(1+salary_infl)^MAX(0,2027-2027),0)</f>
        <v>0</v>
      </c>
      <c r="L87" s="4" t="n">
        <f aca="false">IF(Headcount!$D$36&lt;=Timeline!L5,Headcount!$C$36*Headcount!$E$36/12*(1+burden)*(1+salary_infl)^MAX(0,2027-2027),0)</f>
        <v>0</v>
      </c>
      <c r="M87" s="4" t="n">
        <f aca="false">IF(Headcount!$D$36&lt;=Timeline!M5,Headcount!$C$36*Headcount!$E$36/12*(1+burden)*(1+salary_infl)^MAX(0,2027-2027),0)</f>
        <v>0</v>
      </c>
      <c r="N87" s="4" t="n">
        <f aca="false">IF(Headcount!$D$36&lt;=Timeline!N5,Headcount!$C$36*Headcount!$E$36/12*(1+burden)*(1+salary_infl)^MAX(0,2027-2027),0)</f>
        <v>0</v>
      </c>
      <c r="O87" s="4" t="n">
        <f aca="false">IF(Headcount!$D$36&lt;=Timeline!O5,Headcount!$C$36*Headcount!$E$36/12*(1+burden)*(1+salary_infl)^MAX(0,2027-2027),0)</f>
        <v>0</v>
      </c>
      <c r="P87" s="4" t="n">
        <f aca="false">IF(Headcount!$D$36&lt;=Timeline!P5,Headcount!$C$36*Headcount!$E$36/12*(1+burden)*(1+salary_infl)^MAX(0,2027-2027),0)</f>
        <v>0</v>
      </c>
      <c r="Q87" s="4" t="n">
        <f aca="false">IF(Headcount!$D$36&lt;=Timeline!Q5,Headcount!$C$36*Headcount!$E$36/12*(1+burden)*(1+salary_infl)^MAX(0,2028-2027),0)</f>
        <v>0</v>
      </c>
      <c r="R87" s="4" t="n">
        <f aca="false">IF(Headcount!$D$36&lt;=Timeline!R5,Headcount!$C$36*Headcount!$E$36/12*(1+burden)*(1+salary_infl)^MAX(0,2028-2027),0)</f>
        <v>0</v>
      </c>
      <c r="S87" s="4" t="n">
        <f aca="false">IF(Headcount!$D$36&lt;=Timeline!S5,Headcount!$C$36*Headcount!$E$36/12*(1+burden)*(1+salary_infl)^MAX(0,2028-2027),0)</f>
        <v>0</v>
      </c>
      <c r="T87" s="4" t="n">
        <f aca="false">IF(Headcount!$D$36&lt;=Timeline!T5,Headcount!$C$36*Headcount!$E$36/12*(1+burden)*(1+salary_infl)^MAX(0,2028-2027),0)</f>
        <v>0</v>
      </c>
      <c r="U87" s="4" t="n">
        <f aca="false">IF(Headcount!$D$36&lt;=Timeline!U5,Headcount!$C$36*Headcount!$E$36/12*(1+burden)*(1+salary_infl)^MAX(0,2028-2027),0)</f>
        <v>0</v>
      </c>
      <c r="V87" s="4" t="n">
        <f aca="false">IF(Headcount!$D$36&lt;=Timeline!V5,Headcount!$C$36*Headcount!$E$36/12*(1+burden)*(1+salary_infl)^MAX(0,2028-2027),0)</f>
        <v>0</v>
      </c>
      <c r="W87" s="4" t="n">
        <f aca="false">IF(Headcount!$D$36&lt;=Timeline!W5,Headcount!$C$36*Headcount!$E$36/12*(1+burden)*(1+salary_infl)^MAX(0,2028-2027),0)</f>
        <v>0</v>
      </c>
      <c r="X87" s="4" t="n">
        <f aca="false">IF(Headcount!$D$36&lt;=Timeline!X5,Headcount!$C$36*Headcount!$E$36/12*(1+burden)*(1+salary_infl)^MAX(0,2028-2027),0)</f>
        <v>0</v>
      </c>
      <c r="Y87" s="4" t="n">
        <f aca="false">IF(Headcount!$D$36&lt;=Timeline!Y5,Headcount!$C$36*Headcount!$E$36/12*(1+burden)*(1+salary_infl)^MAX(0,2028-2027),0)</f>
        <v>0</v>
      </c>
      <c r="Z87" s="4" t="n">
        <f aca="false">IF(Headcount!$D$36&lt;=Timeline!Z5,Headcount!$C$36*Headcount!$E$36/12*(1+burden)*(1+salary_infl)^MAX(0,2028-2027),0)</f>
        <v>0</v>
      </c>
      <c r="AA87" s="4" t="n">
        <f aca="false">IF(Headcount!$D$36&lt;=Timeline!AA5,Headcount!$C$36*Headcount!$E$36/12*(1+burden)*(1+salary_infl)^MAX(0,2028-2027),0)</f>
        <v>0</v>
      </c>
      <c r="AB87" s="4" t="n">
        <f aca="false">IF(Headcount!$D$36&lt;=Timeline!AB5,Headcount!$C$36*Headcount!$E$36/12*(1+burden)*(1+salary_infl)^MAX(0,2028-2027),0)</f>
        <v>0</v>
      </c>
      <c r="AC87" s="4" t="n">
        <f aca="false">Headcount!$C$36*Headcount!$E$36*(1+burden)*(1+salary_infl)^MAX(0,2029-2027)*MAX(0,MIN(12,(2029-YEAR(Headcount!$D$36))*12+13-MONTH(Headcount!$D$36)))/12</f>
        <v>255279.0625</v>
      </c>
      <c r="AD87" s="4" t="n">
        <f aca="false">Headcount!$C$36*Headcount!$E$36*(1+burden)*(1+salary_infl)^MAX(0,2030-2027)*MAX(0,MIN(12,(2030-YEAR(Headcount!$D$36))*12+13-MONTH(Headcount!$D$36)))/12</f>
        <v>450749.8875</v>
      </c>
      <c r="AE87" s="4" t="n">
        <f aca="false">Headcount!$C$36*Headcount!$E$36*(1+burden)*(1+salary_infl)^MAX(0,2031-2027)*MAX(0,MIN(12,(2031-YEAR(Headcount!$D$36))*12+13-MONTH(Headcount!$D$36)))/12</f>
        <v>464272.384125</v>
      </c>
      <c r="AG87" s="4" t="n">
        <f aca="false">SUMIF($C$3:$AE$3,AG$3,$C87:$AE87)</f>
        <v>0</v>
      </c>
      <c r="AH87" s="4" t="n">
        <f aca="false">SUMIF($C$3:$AE$3,AH$3,$C87:$AE87)</f>
        <v>0</v>
      </c>
      <c r="AI87" s="4" t="n">
        <f aca="false">SUMIF($C$3:$AE$3,AI$3,$C87:$AE87)</f>
        <v>0</v>
      </c>
      <c r="AJ87" s="4" t="n">
        <f aca="false">SUMIF($C$3:$AE$3,AJ$3,$C87:$AE87)</f>
        <v>255279.0625</v>
      </c>
      <c r="AK87" s="4" t="n">
        <f aca="false">SUMIF($C$3:$AE$3,AK$3,$C87:$AE87)</f>
        <v>450749.8875</v>
      </c>
      <c r="AL87" s="4" t="n">
        <f aca="false">SUMIF($C$3:$AE$3,AL$3,$C87:$AE87)</f>
        <v>464272.384125</v>
      </c>
    </row>
    <row r="88" customFormat="false" ht="15" hidden="false" customHeight="false" outlineLevel="0" collapsed="false">
      <c r="A88" s="0" t="str">
        <f aca="false">Headcount!A37</f>
        <v>CFO</v>
      </c>
      <c r="B88" s="2" t="str">
        <f aca="false">Headcount!B37</f>
        <v>G&amp;A</v>
      </c>
      <c r="C88" s="4" t="n">
        <f aca="false">IF(Headcount!$D$37&lt;=Timeline!C5,Headcount!$C$37*Headcount!$E$37/12*(1+burden)*(1+salary_infl)^MAX(0,2026-2027),0)</f>
        <v>0</v>
      </c>
      <c r="D88" s="4" t="n">
        <f aca="false">IF(Headcount!$D$37&lt;=Timeline!D5,Headcount!$C$37*Headcount!$E$37/12*(1+burden)*(1+salary_infl)^MAX(0,2026-2027),0)</f>
        <v>0</v>
      </c>
      <c r="E88" s="4" t="n">
        <f aca="false">IF(Headcount!$D$37&lt;=Timeline!E5,Headcount!$C$37*Headcount!$E$37/12*(1+burden)*(1+salary_infl)^MAX(0,2027-2027),0)</f>
        <v>0</v>
      </c>
      <c r="F88" s="4" t="n">
        <f aca="false">IF(Headcount!$D$37&lt;=Timeline!F5,Headcount!$C$37*Headcount!$E$37/12*(1+burden)*(1+salary_infl)^MAX(0,2027-2027),0)</f>
        <v>0</v>
      </c>
      <c r="G88" s="4" t="n">
        <f aca="false">IF(Headcount!$D$37&lt;=Timeline!G5,Headcount!$C$37*Headcount!$E$37/12*(1+burden)*(1+salary_infl)^MAX(0,2027-2027),0)</f>
        <v>0</v>
      </c>
      <c r="H88" s="4" t="n">
        <f aca="false">IF(Headcount!$D$37&lt;=Timeline!H5,Headcount!$C$37*Headcount!$E$37/12*(1+burden)*(1+salary_infl)^MAX(0,2027-2027),0)</f>
        <v>0</v>
      </c>
      <c r="I88" s="4" t="n">
        <f aca="false">IF(Headcount!$D$37&lt;=Timeline!I5,Headcount!$C$37*Headcount!$E$37/12*(1+burden)*(1+salary_infl)^MAX(0,2027-2027),0)</f>
        <v>0</v>
      </c>
      <c r="J88" s="4" t="n">
        <f aca="false">IF(Headcount!$D$37&lt;=Timeline!J5,Headcount!$C$37*Headcount!$E$37/12*(1+burden)*(1+salary_infl)^MAX(0,2027-2027),0)</f>
        <v>0</v>
      </c>
      <c r="K88" s="4" t="n">
        <f aca="false">IF(Headcount!$D$37&lt;=Timeline!K5,Headcount!$C$37*Headcount!$E$37/12*(1+burden)*(1+salary_infl)^MAX(0,2027-2027),0)</f>
        <v>0</v>
      </c>
      <c r="L88" s="4" t="n">
        <f aca="false">IF(Headcount!$D$37&lt;=Timeline!L5,Headcount!$C$37*Headcount!$E$37/12*(1+burden)*(1+salary_infl)^MAX(0,2027-2027),0)</f>
        <v>0</v>
      </c>
      <c r="M88" s="4" t="n">
        <f aca="false">IF(Headcount!$D$37&lt;=Timeline!M5,Headcount!$C$37*Headcount!$E$37/12*(1+burden)*(1+salary_infl)^MAX(0,2027-2027),0)</f>
        <v>0</v>
      </c>
      <c r="N88" s="4" t="n">
        <f aca="false">IF(Headcount!$D$37&lt;=Timeline!N5,Headcount!$C$37*Headcount!$E$37/12*(1+burden)*(1+salary_infl)^MAX(0,2027-2027),0)</f>
        <v>0</v>
      </c>
      <c r="O88" s="4" t="n">
        <f aca="false">IF(Headcount!$D$37&lt;=Timeline!O5,Headcount!$C$37*Headcount!$E$37/12*(1+burden)*(1+salary_infl)^MAX(0,2027-2027),0)</f>
        <v>0</v>
      </c>
      <c r="P88" s="4" t="n">
        <f aca="false">IF(Headcount!$D$37&lt;=Timeline!P5,Headcount!$C$37*Headcount!$E$37/12*(1+burden)*(1+salary_infl)^MAX(0,2027-2027),0)</f>
        <v>0</v>
      </c>
      <c r="Q88" s="4" t="n">
        <f aca="false">IF(Headcount!$D$37&lt;=Timeline!Q5,Headcount!$C$37*Headcount!$E$37/12*(1+burden)*(1+salary_infl)^MAX(0,2028-2027),0)</f>
        <v>0</v>
      </c>
      <c r="R88" s="4" t="n">
        <f aca="false">IF(Headcount!$D$37&lt;=Timeline!R5,Headcount!$C$37*Headcount!$E$37/12*(1+burden)*(1+salary_infl)^MAX(0,2028-2027),0)</f>
        <v>0</v>
      </c>
      <c r="S88" s="4" t="n">
        <f aca="false">IF(Headcount!$D$37&lt;=Timeline!S5,Headcount!$C$37*Headcount!$E$37/12*(1+burden)*(1+salary_infl)^MAX(0,2028-2027),0)</f>
        <v>0</v>
      </c>
      <c r="T88" s="4" t="n">
        <f aca="false">IF(Headcount!$D$37&lt;=Timeline!T5,Headcount!$C$37*Headcount!$E$37/12*(1+burden)*(1+salary_infl)^MAX(0,2028-2027),0)</f>
        <v>0</v>
      </c>
      <c r="U88" s="4" t="n">
        <f aca="false">IF(Headcount!$D$37&lt;=Timeline!U5,Headcount!$C$37*Headcount!$E$37/12*(1+burden)*(1+salary_infl)^MAX(0,2028-2027),0)</f>
        <v>0</v>
      </c>
      <c r="V88" s="4" t="n">
        <f aca="false">IF(Headcount!$D$37&lt;=Timeline!V5,Headcount!$C$37*Headcount!$E$37/12*(1+burden)*(1+salary_infl)^MAX(0,2028-2027),0)</f>
        <v>0</v>
      </c>
      <c r="W88" s="4" t="n">
        <f aca="false">IF(Headcount!$D$37&lt;=Timeline!W5,Headcount!$C$37*Headcount!$E$37/12*(1+burden)*(1+salary_infl)^MAX(0,2028-2027),0)</f>
        <v>0</v>
      </c>
      <c r="X88" s="4" t="n">
        <f aca="false">IF(Headcount!$D$37&lt;=Timeline!X5,Headcount!$C$37*Headcount!$E$37/12*(1+burden)*(1+salary_infl)^MAX(0,2028-2027),0)</f>
        <v>0</v>
      </c>
      <c r="Y88" s="4" t="n">
        <f aca="false">IF(Headcount!$D$37&lt;=Timeline!Y5,Headcount!$C$37*Headcount!$E$37/12*(1+burden)*(1+salary_infl)^MAX(0,2028-2027),0)</f>
        <v>0</v>
      </c>
      <c r="Z88" s="4" t="n">
        <f aca="false">IF(Headcount!$D$37&lt;=Timeline!Z5,Headcount!$C$37*Headcount!$E$37/12*(1+burden)*(1+salary_infl)^MAX(0,2028-2027),0)</f>
        <v>0</v>
      </c>
      <c r="AA88" s="4" t="n">
        <f aca="false">IF(Headcount!$D$37&lt;=Timeline!AA5,Headcount!$C$37*Headcount!$E$37/12*(1+burden)*(1+salary_infl)^MAX(0,2028-2027),0)</f>
        <v>0</v>
      </c>
      <c r="AB88" s="4" t="n">
        <f aca="false">IF(Headcount!$D$37&lt;=Timeline!AB5,Headcount!$C$37*Headcount!$E$37/12*(1+burden)*(1+salary_infl)^MAX(0,2028-2027),0)</f>
        <v>0</v>
      </c>
      <c r="AC88" s="4" t="n">
        <f aca="false">Headcount!$C$37*Headcount!$E$37*(1+burden)*(1+salary_infl)^MAX(0,2029-2027)*MAX(0,MIN(12,(2029-YEAR(Headcount!$D$37))*12+13-MONTH(Headcount!$D$37)))/12</f>
        <v>101669.583333333</v>
      </c>
      <c r="AD88" s="4" t="n">
        <f aca="false">Headcount!$C$37*Headcount!$E$37*(1+burden)*(1+salary_infl)^MAX(0,2030-2027)*MAX(0,MIN(12,(2030-YEAR(Headcount!$D$37))*12+13-MONTH(Headcount!$D$37)))/12</f>
        <v>314159.0125</v>
      </c>
      <c r="AE88" s="4" t="n">
        <f aca="false">Headcount!$C$37*Headcount!$E$37*(1+burden)*(1+salary_infl)^MAX(0,2031-2027)*MAX(0,MIN(12,(2031-YEAR(Headcount!$D$37))*12+13-MONTH(Headcount!$D$37)))/12</f>
        <v>323583.782875</v>
      </c>
      <c r="AG88" s="4" t="n">
        <f aca="false">SUMIF($C$3:$AE$3,AG$3,$C88:$AE88)</f>
        <v>0</v>
      </c>
      <c r="AH88" s="4" t="n">
        <f aca="false">SUMIF($C$3:$AE$3,AH$3,$C88:$AE88)</f>
        <v>0</v>
      </c>
      <c r="AI88" s="4" t="n">
        <f aca="false">SUMIF($C$3:$AE$3,AI$3,$C88:$AE88)</f>
        <v>0</v>
      </c>
      <c r="AJ88" s="4" t="n">
        <f aca="false">SUMIF($C$3:$AE$3,AJ$3,$C88:$AE88)</f>
        <v>101669.583333333</v>
      </c>
      <c r="AK88" s="4" t="n">
        <f aca="false">SUMIF($C$3:$AE$3,AK$3,$C88:$AE88)</f>
        <v>314159.0125</v>
      </c>
      <c r="AL88" s="4" t="n">
        <f aca="false">SUMIF($C$3:$AE$3,AL$3,$C88:$AE88)</f>
        <v>323583.782875</v>
      </c>
    </row>
    <row r="89" customFormat="false" ht="15" hidden="false" customHeight="false" outlineLevel="0" collapsed="false">
      <c r="A89" s="0" t="str">
        <f aca="false">Headcount!A38</f>
        <v>R&amp;D engineers</v>
      </c>
      <c r="B89" s="2" t="str">
        <f aca="false">Headcount!B38</f>
        <v>R&amp;D</v>
      </c>
      <c r="C89" s="4" t="n">
        <f aca="false">IF(Headcount!$D$38&lt;=Timeline!C5,Headcount!$C$38*Headcount!$E$38/12*(1+burden)*(1+salary_infl)^MAX(0,2026-2027),0)</f>
        <v>0</v>
      </c>
      <c r="D89" s="4" t="n">
        <f aca="false">IF(Headcount!$D$38&lt;=Timeline!D5,Headcount!$C$38*Headcount!$E$38/12*(1+burden)*(1+salary_infl)^MAX(0,2026-2027),0)</f>
        <v>0</v>
      </c>
      <c r="E89" s="4" t="n">
        <f aca="false">IF(Headcount!$D$38&lt;=Timeline!E5,Headcount!$C$38*Headcount!$E$38/12*(1+burden)*(1+salary_infl)^MAX(0,2027-2027),0)</f>
        <v>0</v>
      </c>
      <c r="F89" s="4" t="n">
        <f aca="false">IF(Headcount!$D$38&lt;=Timeline!F5,Headcount!$C$38*Headcount!$E$38/12*(1+burden)*(1+salary_infl)^MAX(0,2027-2027),0)</f>
        <v>0</v>
      </c>
      <c r="G89" s="4" t="n">
        <f aca="false">IF(Headcount!$D$38&lt;=Timeline!G5,Headcount!$C$38*Headcount!$E$38/12*(1+burden)*(1+salary_infl)^MAX(0,2027-2027),0)</f>
        <v>0</v>
      </c>
      <c r="H89" s="4" t="n">
        <f aca="false">IF(Headcount!$D$38&lt;=Timeline!H5,Headcount!$C$38*Headcount!$E$38/12*(1+burden)*(1+salary_infl)^MAX(0,2027-2027),0)</f>
        <v>0</v>
      </c>
      <c r="I89" s="4" t="n">
        <f aca="false">IF(Headcount!$D$38&lt;=Timeline!I5,Headcount!$C$38*Headcount!$E$38/12*(1+burden)*(1+salary_infl)^MAX(0,2027-2027),0)</f>
        <v>0</v>
      </c>
      <c r="J89" s="4" t="n">
        <f aca="false">IF(Headcount!$D$38&lt;=Timeline!J5,Headcount!$C$38*Headcount!$E$38/12*(1+burden)*(1+salary_infl)^MAX(0,2027-2027),0)</f>
        <v>0</v>
      </c>
      <c r="K89" s="4" t="n">
        <f aca="false">IF(Headcount!$D$38&lt;=Timeline!K5,Headcount!$C$38*Headcount!$E$38/12*(1+burden)*(1+salary_infl)^MAX(0,2027-2027),0)</f>
        <v>0</v>
      </c>
      <c r="L89" s="4" t="n">
        <f aca="false">IF(Headcount!$D$38&lt;=Timeline!L5,Headcount!$C$38*Headcount!$E$38/12*(1+burden)*(1+salary_infl)^MAX(0,2027-2027),0)</f>
        <v>0</v>
      </c>
      <c r="M89" s="4" t="n">
        <f aca="false">IF(Headcount!$D$38&lt;=Timeline!M5,Headcount!$C$38*Headcount!$E$38/12*(1+burden)*(1+salary_infl)^MAX(0,2027-2027),0)</f>
        <v>0</v>
      </c>
      <c r="N89" s="4" t="n">
        <f aca="false">IF(Headcount!$D$38&lt;=Timeline!N5,Headcount!$C$38*Headcount!$E$38/12*(1+burden)*(1+salary_infl)^MAX(0,2027-2027),0)</f>
        <v>0</v>
      </c>
      <c r="O89" s="4" t="n">
        <f aca="false">IF(Headcount!$D$38&lt;=Timeline!O5,Headcount!$C$38*Headcount!$E$38/12*(1+burden)*(1+salary_infl)^MAX(0,2027-2027),0)</f>
        <v>0</v>
      </c>
      <c r="P89" s="4" t="n">
        <f aca="false">IF(Headcount!$D$38&lt;=Timeline!P5,Headcount!$C$38*Headcount!$E$38/12*(1+burden)*(1+salary_infl)^MAX(0,2027-2027),0)</f>
        <v>0</v>
      </c>
      <c r="Q89" s="4" t="n">
        <f aca="false">IF(Headcount!$D$38&lt;=Timeline!Q5,Headcount!$C$38*Headcount!$E$38/12*(1+burden)*(1+salary_infl)^MAX(0,2028-2027),0)</f>
        <v>0</v>
      </c>
      <c r="R89" s="4" t="n">
        <f aca="false">IF(Headcount!$D$38&lt;=Timeline!R5,Headcount!$C$38*Headcount!$E$38/12*(1+burden)*(1+salary_infl)^MAX(0,2028-2027),0)</f>
        <v>0</v>
      </c>
      <c r="S89" s="4" t="n">
        <f aca="false">IF(Headcount!$D$38&lt;=Timeline!S5,Headcount!$C$38*Headcount!$E$38/12*(1+burden)*(1+salary_infl)^MAX(0,2028-2027),0)</f>
        <v>0</v>
      </c>
      <c r="T89" s="4" t="n">
        <f aca="false">IF(Headcount!$D$38&lt;=Timeline!T5,Headcount!$C$38*Headcount!$E$38/12*(1+burden)*(1+salary_infl)^MAX(0,2028-2027),0)</f>
        <v>0</v>
      </c>
      <c r="U89" s="4" t="n">
        <f aca="false">IF(Headcount!$D$38&lt;=Timeline!U5,Headcount!$C$38*Headcount!$E$38/12*(1+burden)*(1+salary_infl)^MAX(0,2028-2027),0)</f>
        <v>0</v>
      </c>
      <c r="V89" s="4" t="n">
        <f aca="false">IF(Headcount!$D$38&lt;=Timeline!V5,Headcount!$C$38*Headcount!$E$38/12*(1+burden)*(1+salary_infl)^MAX(0,2028-2027),0)</f>
        <v>0</v>
      </c>
      <c r="W89" s="4" t="n">
        <f aca="false">IF(Headcount!$D$38&lt;=Timeline!W5,Headcount!$C$38*Headcount!$E$38/12*(1+burden)*(1+salary_infl)^MAX(0,2028-2027),0)</f>
        <v>0</v>
      </c>
      <c r="X89" s="4" t="n">
        <f aca="false">IF(Headcount!$D$38&lt;=Timeline!X5,Headcount!$C$38*Headcount!$E$38/12*(1+burden)*(1+salary_infl)^MAX(0,2028-2027),0)</f>
        <v>0</v>
      </c>
      <c r="Y89" s="4" t="n">
        <f aca="false">IF(Headcount!$D$38&lt;=Timeline!Y5,Headcount!$C$38*Headcount!$E$38/12*(1+burden)*(1+salary_infl)^MAX(0,2028-2027),0)</f>
        <v>0</v>
      </c>
      <c r="Z89" s="4" t="n">
        <f aca="false">IF(Headcount!$D$38&lt;=Timeline!Z5,Headcount!$C$38*Headcount!$E$38/12*(1+burden)*(1+salary_infl)^MAX(0,2028-2027),0)</f>
        <v>0</v>
      </c>
      <c r="AA89" s="4" t="n">
        <f aca="false">IF(Headcount!$D$38&lt;=Timeline!AA5,Headcount!$C$38*Headcount!$E$38/12*(1+burden)*(1+salary_infl)^MAX(0,2028-2027),0)</f>
        <v>0</v>
      </c>
      <c r="AB89" s="4" t="n">
        <f aca="false">IF(Headcount!$D$38&lt;=Timeline!AB5,Headcount!$C$38*Headcount!$E$38/12*(1+burden)*(1+salary_infl)^MAX(0,2028-2027),0)</f>
        <v>0</v>
      </c>
      <c r="AC89" s="4" t="n">
        <f aca="false">Headcount!$C$38*Headcount!$E$38*(1+burden)*(1+salary_infl)^MAX(0,2029-2027)*MAX(0,MIN(12,(2029-YEAR(Headcount!$D$38))*12+13-MONTH(Headcount!$D$38)))/12</f>
        <v>0</v>
      </c>
      <c r="AD89" s="4" t="n">
        <f aca="false">Headcount!$C$38*Headcount!$E$38*(1+burden)*(1+salary_infl)^MAX(0,2030-2027)*MAX(0,MIN(12,(2030-YEAR(Headcount!$D$38))*12+13-MONTH(Headcount!$D$38)))/12</f>
        <v>1821211.66666667</v>
      </c>
      <c r="AE89" s="4" t="n">
        <f aca="false">Headcount!$C$38*Headcount!$E$38*(1+burden)*(1+salary_infl)^MAX(0,2031-2027)*MAX(0,MIN(12,(2031-YEAR(Headcount!$D$38))*12+13-MONTH(Headcount!$D$38)))/12</f>
        <v>2251017.62</v>
      </c>
      <c r="AG89" s="4" t="n">
        <f aca="false">SUMIF($C$3:$AE$3,AG$3,$C89:$AE89)</f>
        <v>0</v>
      </c>
      <c r="AH89" s="4" t="n">
        <f aca="false">SUMIF($C$3:$AE$3,AH$3,$C89:$AE89)</f>
        <v>0</v>
      </c>
      <c r="AI89" s="4" t="n">
        <f aca="false">SUMIF($C$3:$AE$3,AI$3,$C89:$AE89)</f>
        <v>0</v>
      </c>
      <c r="AJ89" s="4" t="n">
        <f aca="false">SUMIF($C$3:$AE$3,AJ$3,$C89:$AE89)</f>
        <v>0</v>
      </c>
      <c r="AK89" s="4" t="n">
        <f aca="false">SUMIF($C$3:$AE$3,AK$3,$C89:$AE89)</f>
        <v>1821211.66666667</v>
      </c>
      <c r="AL89" s="4" t="n">
        <f aca="false">SUMIF($C$3:$AE$3,AL$3,$C89:$AE89)</f>
        <v>2251017.62</v>
      </c>
    </row>
    <row r="90" customFormat="false" ht="15" hidden="false" customHeight="false" outlineLevel="0" collapsed="false">
      <c r="A90" s="0" t="str">
        <f aca="false">Headcount!A39</f>
        <v>Content editors</v>
      </c>
      <c r="B90" s="2" t="str">
        <f aca="false">Headcount!B39</f>
        <v>R&amp;D</v>
      </c>
      <c r="C90" s="4" t="n">
        <f aca="false">IF(Headcount!$D$39&lt;=Timeline!C5,Headcount!$C$39*Headcount!$E$39/12*(1+burden)*(1+salary_infl)^MAX(0,2026-2027),0)</f>
        <v>0</v>
      </c>
      <c r="D90" s="4" t="n">
        <f aca="false">IF(Headcount!$D$39&lt;=Timeline!D5,Headcount!$C$39*Headcount!$E$39/12*(1+burden)*(1+salary_infl)^MAX(0,2026-2027),0)</f>
        <v>0</v>
      </c>
      <c r="E90" s="4" t="n">
        <f aca="false">IF(Headcount!$D$39&lt;=Timeline!E5,Headcount!$C$39*Headcount!$E$39/12*(1+burden)*(1+salary_infl)^MAX(0,2027-2027),0)</f>
        <v>0</v>
      </c>
      <c r="F90" s="4" t="n">
        <f aca="false">IF(Headcount!$D$39&lt;=Timeline!F5,Headcount!$C$39*Headcount!$E$39/12*(1+burden)*(1+salary_infl)^MAX(0,2027-2027),0)</f>
        <v>0</v>
      </c>
      <c r="G90" s="4" t="n">
        <f aca="false">IF(Headcount!$D$39&lt;=Timeline!G5,Headcount!$C$39*Headcount!$E$39/12*(1+burden)*(1+salary_infl)^MAX(0,2027-2027),0)</f>
        <v>0</v>
      </c>
      <c r="H90" s="4" t="n">
        <f aca="false">IF(Headcount!$D$39&lt;=Timeline!H5,Headcount!$C$39*Headcount!$E$39/12*(1+burden)*(1+salary_infl)^MAX(0,2027-2027),0)</f>
        <v>0</v>
      </c>
      <c r="I90" s="4" t="n">
        <f aca="false">IF(Headcount!$D$39&lt;=Timeline!I5,Headcount!$C$39*Headcount!$E$39/12*(1+burden)*(1+salary_infl)^MAX(0,2027-2027),0)</f>
        <v>0</v>
      </c>
      <c r="J90" s="4" t="n">
        <f aca="false">IF(Headcount!$D$39&lt;=Timeline!J5,Headcount!$C$39*Headcount!$E$39/12*(1+burden)*(1+salary_infl)^MAX(0,2027-2027),0)</f>
        <v>0</v>
      </c>
      <c r="K90" s="4" t="n">
        <f aca="false">IF(Headcount!$D$39&lt;=Timeline!K5,Headcount!$C$39*Headcount!$E$39/12*(1+burden)*(1+salary_infl)^MAX(0,2027-2027),0)</f>
        <v>0</v>
      </c>
      <c r="L90" s="4" t="n">
        <f aca="false">IF(Headcount!$D$39&lt;=Timeline!L5,Headcount!$C$39*Headcount!$E$39/12*(1+burden)*(1+salary_infl)^MAX(0,2027-2027),0)</f>
        <v>0</v>
      </c>
      <c r="M90" s="4" t="n">
        <f aca="false">IF(Headcount!$D$39&lt;=Timeline!M5,Headcount!$C$39*Headcount!$E$39/12*(1+burden)*(1+salary_infl)^MAX(0,2027-2027),0)</f>
        <v>0</v>
      </c>
      <c r="N90" s="4" t="n">
        <f aca="false">IF(Headcount!$D$39&lt;=Timeline!N5,Headcount!$C$39*Headcount!$E$39/12*(1+burden)*(1+salary_infl)^MAX(0,2027-2027),0)</f>
        <v>0</v>
      </c>
      <c r="O90" s="4" t="n">
        <f aca="false">IF(Headcount!$D$39&lt;=Timeline!O5,Headcount!$C$39*Headcount!$E$39/12*(1+burden)*(1+salary_infl)^MAX(0,2027-2027),0)</f>
        <v>0</v>
      </c>
      <c r="P90" s="4" t="n">
        <f aca="false">IF(Headcount!$D$39&lt;=Timeline!P5,Headcount!$C$39*Headcount!$E$39/12*(1+burden)*(1+salary_infl)^MAX(0,2027-2027),0)</f>
        <v>0</v>
      </c>
      <c r="Q90" s="4" t="n">
        <f aca="false">IF(Headcount!$D$39&lt;=Timeline!Q5,Headcount!$C$39*Headcount!$E$39/12*(1+burden)*(1+salary_infl)^MAX(0,2028-2027),0)</f>
        <v>0</v>
      </c>
      <c r="R90" s="4" t="n">
        <f aca="false">IF(Headcount!$D$39&lt;=Timeline!R5,Headcount!$C$39*Headcount!$E$39/12*(1+burden)*(1+salary_infl)^MAX(0,2028-2027),0)</f>
        <v>0</v>
      </c>
      <c r="S90" s="4" t="n">
        <f aca="false">IF(Headcount!$D$39&lt;=Timeline!S5,Headcount!$C$39*Headcount!$E$39/12*(1+burden)*(1+salary_infl)^MAX(0,2028-2027),0)</f>
        <v>0</v>
      </c>
      <c r="T90" s="4" t="n">
        <f aca="false">IF(Headcount!$D$39&lt;=Timeline!T5,Headcount!$C$39*Headcount!$E$39/12*(1+burden)*(1+salary_infl)^MAX(0,2028-2027),0)</f>
        <v>0</v>
      </c>
      <c r="U90" s="4" t="n">
        <f aca="false">IF(Headcount!$D$39&lt;=Timeline!U5,Headcount!$C$39*Headcount!$E$39/12*(1+burden)*(1+salary_infl)^MAX(0,2028-2027),0)</f>
        <v>0</v>
      </c>
      <c r="V90" s="4" t="n">
        <f aca="false">IF(Headcount!$D$39&lt;=Timeline!V5,Headcount!$C$39*Headcount!$E$39/12*(1+burden)*(1+salary_infl)^MAX(0,2028-2027),0)</f>
        <v>0</v>
      </c>
      <c r="W90" s="4" t="n">
        <f aca="false">IF(Headcount!$D$39&lt;=Timeline!W5,Headcount!$C$39*Headcount!$E$39/12*(1+burden)*(1+salary_infl)^MAX(0,2028-2027),0)</f>
        <v>0</v>
      </c>
      <c r="X90" s="4" t="n">
        <f aca="false">IF(Headcount!$D$39&lt;=Timeline!X5,Headcount!$C$39*Headcount!$E$39/12*(1+burden)*(1+salary_infl)^MAX(0,2028-2027),0)</f>
        <v>0</v>
      </c>
      <c r="Y90" s="4" t="n">
        <f aca="false">IF(Headcount!$D$39&lt;=Timeline!Y5,Headcount!$C$39*Headcount!$E$39/12*(1+burden)*(1+salary_infl)^MAX(0,2028-2027),0)</f>
        <v>0</v>
      </c>
      <c r="Z90" s="4" t="n">
        <f aca="false">IF(Headcount!$D$39&lt;=Timeline!Z5,Headcount!$C$39*Headcount!$E$39/12*(1+burden)*(1+salary_infl)^MAX(0,2028-2027),0)</f>
        <v>0</v>
      </c>
      <c r="AA90" s="4" t="n">
        <f aca="false">IF(Headcount!$D$39&lt;=Timeline!AA5,Headcount!$C$39*Headcount!$E$39/12*(1+burden)*(1+salary_infl)^MAX(0,2028-2027),0)</f>
        <v>0</v>
      </c>
      <c r="AB90" s="4" t="n">
        <f aca="false">IF(Headcount!$D$39&lt;=Timeline!AB5,Headcount!$C$39*Headcount!$E$39/12*(1+burden)*(1+salary_infl)^MAX(0,2028-2027),0)</f>
        <v>0</v>
      </c>
      <c r="AC90" s="4" t="n">
        <f aca="false">Headcount!$C$39*Headcount!$E$39*(1+burden)*(1+salary_infl)^MAX(0,2029-2027)*MAX(0,MIN(12,(2029-YEAR(Headcount!$D$39))*12+13-MONTH(Headcount!$D$39)))/12</f>
        <v>0</v>
      </c>
      <c r="AD90" s="4" t="n">
        <f aca="false">Headcount!$C$39*Headcount!$E$39*(1+burden)*(1+salary_infl)^MAX(0,2030-2027)*MAX(0,MIN(12,(2030-YEAR(Headcount!$D$39))*12+13-MONTH(Headcount!$D$39)))/12</f>
        <v>341477.1875</v>
      </c>
      <c r="AE90" s="4" t="n">
        <f aca="false">Headcount!$C$39*Headcount!$E$39*(1+burden)*(1+salary_infl)^MAX(0,2031-2027)*MAX(0,MIN(12,(2031-YEAR(Headcount!$D$39))*12+13-MONTH(Headcount!$D$39)))/12</f>
        <v>422065.80375</v>
      </c>
      <c r="AG90" s="4" t="n">
        <f aca="false">SUMIF($C$3:$AE$3,AG$3,$C90:$AE90)</f>
        <v>0</v>
      </c>
      <c r="AH90" s="4" t="n">
        <f aca="false">SUMIF($C$3:$AE$3,AH$3,$C90:$AE90)</f>
        <v>0</v>
      </c>
      <c r="AI90" s="4" t="n">
        <f aca="false">SUMIF($C$3:$AE$3,AI$3,$C90:$AE90)</f>
        <v>0</v>
      </c>
      <c r="AJ90" s="4" t="n">
        <f aca="false">SUMIF($C$3:$AE$3,AJ$3,$C90:$AE90)</f>
        <v>0</v>
      </c>
      <c r="AK90" s="4" t="n">
        <f aca="false">SUMIF($C$3:$AE$3,AK$3,$C90:$AE90)</f>
        <v>341477.1875</v>
      </c>
      <c r="AL90" s="4" t="n">
        <f aca="false">SUMIF($C$3:$AE$3,AL$3,$C90:$AE90)</f>
        <v>422065.80375</v>
      </c>
    </row>
    <row r="91" customFormat="false" ht="15" hidden="false" customHeight="false" outlineLevel="0" collapsed="false">
      <c r="A91" s="0" t="str">
        <f aca="false">Headcount!A40</f>
        <v>S&amp;M team</v>
      </c>
      <c r="B91" s="2" t="str">
        <f aca="false">Headcount!B40</f>
        <v>S&amp;M</v>
      </c>
      <c r="C91" s="4" t="n">
        <f aca="false">IF(Headcount!$D$40&lt;=Timeline!C5,Headcount!$C$40*Headcount!$E$40/12*(1+burden)*(1+salary_infl)^MAX(0,2026-2027),0)</f>
        <v>0</v>
      </c>
      <c r="D91" s="4" t="n">
        <f aca="false">IF(Headcount!$D$40&lt;=Timeline!D5,Headcount!$C$40*Headcount!$E$40/12*(1+burden)*(1+salary_infl)^MAX(0,2026-2027),0)</f>
        <v>0</v>
      </c>
      <c r="E91" s="4" t="n">
        <f aca="false">IF(Headcount!$D$40&lt;=Timeline!E5,Headcount!$C$40*Headcount!$E$40/12*(1+burden)*(1+salary_infl)^MAX(0,2027-2027),0)</f>
        <v>0</v>
      </c>
      <c r="F91" s="4" t="n">
        <f aca="false">IF(Headcount!$D$40&lt;=Timeline!F5,Headcount!$C$40*Headcount!$E$40/12*(1+burden)*(1+salary_infl)^MAX(0,2027-2027),0)</f>
        <v>0</v>
      </c>
      <c r="G91" s="4" t="n">
        <f aca="false">IF(Headcount!$D$40&lt;=Timeline!G5,Headcount!$C$40*Headcount!$E$40/12*(1+burden)*(1+salary_infl)^MAX(0,2027-2027),0)</f>
        <v>0</v>
      </c>
      <c r="H91" s="4" t="n">
        <f aca="false">IF(Headcount!$D$40&lt;=Timeline!H5,Headcount!$C$40*Headcount!$E$40/12*(1+burden)*(1+salary_infl)^MAX(0,2027-2027),0)</f>
        <v>0</v>
      </c>
      <c r="I91" s="4" t="n">
        <f aca="false">IF(Headcount!$D$40&lt;=Timeline!I5,Headcount!$C$40*Headcount!$E$40/12*(1+burden)*(1+salary_infl)^MAX(0,2027-2027),0)</f>
        <v>0</v>
      </c>
      <c r="J91" s="4" t="n">
        <f aca="false">IF(Headcount!$D$40&lt;=Timeline!J5,Headcount!$C$40*Headcount!$E$40/12*(1+burden)*(1+salary_infl)^MAX(0,2027-2027),0)</f>
        <v>0</v>
      </c>
      <c r="K91" s="4" t="n">
        <f aca="false">IF(Headcount!$D$40&lt;=Timeline!K5,Headcount!$C$40*Headcount!$E$40/12*(1+burden)*(1+salary_infl)^MAX(0,2027-2027),0)</f>
        <v>0</v>
      </c>
      <c r="L91" s="4" t="n">
        <f aca="false">IF(Headcount!$D$40&lt;=Timeline!L5,Headcount!$C$40*Headcount!$E$40/12*(1+burden)*(1+salary_infl)^MAX(0,2027-2027),0)</f>
        <v>0</v>
      </c>
      <c r="M91" s="4" t="n">
        <f aca="false">IF(Headcount!$D$40&lt;=Timeline!M5,Headcount!$C$40*Headcount!$E$40/12*(1+burden)*(1+salary_infl)^MAX(0,2027-2027),0)</f>
        <v>0</v>
      </c>
      <c r="N91" s="4" t="n">
        <f aca="false">IF(Headcount!$D$40&lt;=Timeline!N5,Headcount!$C$40*Headcount!$E$40/12*(1+burden)*(1+salary_infl)^MAX(0,2027-2027),0)</f>
        <v>0</v>
      </c>
      <c r="O91" s="4" t="n">
        <f aca="false">IF(Headcount!$D$40&lt;=Timeline!O5,Headcount!$C$40*Headcount!$E$40/12*(1+burden)*(1+salary_infl)^MAX(0,2027-2027),0)</f>
        <v>0</v>
      </c>
      <c r="P91" s="4" t="n">
        <f aca="false">IF(Headcount!$D$40&lt;=Timeline!P5,Headcount!$C$40*Headcount!$E$40/12*(1+burden)*(1+salary_infl)^MAX(0,2027-2027),0)</f>
        <v>0</v>
      </c>
      <c r="Q91" s="4" t="n">
        <f aca="false">IF(Headcount!$D$40&lt;=Timeline!Q5,Headcount!$C$40*Headcount!$E$40/12*(1+burden)*(1+salary_infl)^MAX(0,2028-2027),0)</f>
        <v>0</v>
      </c>
      <c r="R91" s="4" t="n">
        <f aca="false">IF(Headcount!$D$40&lt;=Timeline!R5,Headcount!$C$40*Headcount!$E$40/12*(1+burden)*(1+salary_infl)^MAX(0,2028-2027),0)</f>
        <v>0</v>
      </c>
      <c r="S91" s="4" t="n">
        <f aca="false">IF(Headcount!$D$40&lt;=Timeline!S5,Headcount!$C$40*Headcount!$E$40/12*(1+burden)*(1+salary_infl)^MAX(0,2028-2027),0)</f>
        <v>0</v>
      </c>
      <c r="T91" s="4" t="n">
        <f aca="false">IF(Headcount!$D$40&lt;=Timeline!T5,Headcount!$C$40*Headcount!$E$40/12*(1+burden)*(1+salary_infl)^MAX(0,2028-2027),0)</f>
        <v>0</v>
      </c>
      <c r="U91" s="4" t="n">
        <f aca="false">IF(Headcount!$D$40&lt;=Timeline!U5,Headcount!$C$40*Headcount!$E$40/12*(1+burden)*(1+salary_infl)^MAX(0,2028-2027),0)</f>
        <v>0</v>
      </c>
      <c r="V91" s="4" t="n">
        <f aca="false">IF(Headcount!$D$40&lt;=Timeline!V5,Headcount!$C$40*Headcount!$E$40/12*(1+burden)*(1+salary_infl)^MAX(0,2028-2027),0)</f>
        <v>0</v>
      </c>
      <c r="W91" s="4" t="n">
        <f aca="false">IF(Headcount!$D$40&lt;=Timeline!W5,Headcount!$C$40*Headcount!$E$40/12*(1+burden)*(1+salary_infl)^MAX(0,2028-2027),0)</f>
        <v>0</v>
      </c>
      <c r="X91" s="4" t="n">
        <f aca="false">IF(Headcount!$D$40&lt;=Timeline!X5,Headcount!$C$40*Headcount!$E$40/12*(1+burden)*(1+salary_infl)^MAX(0,2028-2027),0)</f>
        <v>0</v>
      </c>
      <c r="Y91" s="4" t="n">
        <f aca="false">IF(Headcount!$D$40&lt;=Timeline!Y5,Headcount!$C$40*Headcount!$E$40/12*(1+burden)*(1+salary_infl)^MAX(0,2028-2027),0)</f>
        <v>0</v>
      </c>
      <c r="Z91" s="4" t="n">
        <f aca="false">IF(Headcount!$D$40&lt;=Timeline!Z5,Headcount!$C$40*Headcount!$E$40/12*(1+burden)*(1+salary_infl)^MAX(0,2028-2027),0)</f>
        <v>0</v>
      </c>
      <c r="AA91" s="4" t="n">
        <f aca="false">IF(Headcount!$D$40&lt;=Timeline!AA5,Headcount!$C$40*Headcount!$E$40/12*(1+burden)*(1+salary_infl)^MAX(0,2028-2027),0)</f>
        <v>0</v>
      </c>
      <c r="AB91" s="4" t="n">
        <f aca="false">IF(Headcount!$D$40&lt;=Timeline!AB5,Headcount!$C$40*Headcount!$E$40/12*(1+burden)*(1+salary_infl)^MAX(0,2028-2027),0)</f>
        <v>0</v>
      </c>
      <c r="AC91" s="4" t="n">
        <f aca="false">Headcount!$C$40*Headcount!$E$40*(1+burden)*(1+salary_infl)^MAX(0,2029-2027)*MAX(0,MIN(12,(2029-YEAR(Headcount!$D$40))*12+13-MONTH(Headcount!$D$40)))/12</f>
        <v>0</v>
      </c>
      <c r="AD91" s="4" t="n">
        <f aca="false">Headcount!$C$40*Headcount!$E$40*(1+burden)*(1+salary_infl)^MAX(0,2030-2027)*MAX(0,MIN(12,(2030-YEAR(Headcount!$D$40))*12+13-MONTH(Headcount!$D$40)))/12</f>
        <v>785397.53125</v>
      </c>
      <c r="AE91" s="4" t="n">
        <f aca="false">Headcount!$C$40*Headcount!$E$40*(1+burden)*(1+salary_infl)^MAX(0,2031-2027)*MAX(0,MIN(12,(2031-YEAR(Headcount!$D$40))*12+13-MONTH(Headcount!$D$40)))/12</f>
        <v>970751.348625</v>
      </c>
      <c r="AG91" s="4" t="n">
        <f aca="false">SUMIF($C$3:$AE$3,AG$3,$C91:$AE91)</f>
        <v>0</v>
      </c>
      <c r="AH91" s="4" t="n">
        <f aca="false">SUMIF($C$3:$AE$3,AH$3,$C91:$AE91)</f>
        <v>0</v>
      </c>
      <c r="AI91" s="4" t="n">
        <f aca="false">SUMIF($C$3:$AE$3,AI$3,$C91:$AE91)</f>
        <v>0</v>
      </c>
      <c r="AJ91" s="4" t="n">
        <f aca="false">SUMIF($C$3:$AE$3,AJ$3,$C91:$AE91)</f>
        <v>0</v>
      </c>
      <c r="AK91" s="4" t="n">
        <f aca="false">SUMIF($C$3:$AE$3,AK$3,$C91:$AE91)</f>
        <v>785397.53125</v>
      </c>
      <c r="AL91" s="4" t="n">
        <f aca="false">SUMIF($C$3:$AE$3,AL$3,$C91:$AE91)</f>
        <v>970751.348625</v>
      </c>
    </row>
    <row r="92" customFormat="false" ht="15" hidden="false" customHeight="false" outlineLevel="0" collapsed="false">
      <c r="A92" s="0" t="str">
        <f aca="false">Headcount!A41</f>
        <v>Ops / CS</v>
      </c>
      <c r="B92" s="2" t="str">
        <f aca="false">Headcount!B41</f>
        <v>Ops &amp; CS</v>
      </c>
      <c r="C92" s="4" t="n">
        <f aca="false">IF(Headcount!$D$41&lt;=Timeline!C5,Headcount!$C$41*Headcount!$E$41/12*(1+burden)*(1+salary_infl)^MAX(0,2026-2027),0)</f>
        <v>0</v>
      </c>
      <c r="D92" s="4" t="n">
        <f aca="false">IF(Headcount!$D$41&lt;=Timeline!D5,Headcount!$C$41*Headcount!$E$41/12*(1+burden)*(1+salary_infl)^MAX(0,2026-2027),0)</f>
        <v>0</v>
      </c>
      <c r="E92" s="4" t="n">
        <f aca="false">IF(Headcount!$D$41&lt;=Timeline!E5,Headcount!$C$41*Headcount!$E$41/12*(1+burden)*(1+salary_infl)^MAX(0,2027-2027),0)</f>
        <v>0</v>
      </c>
      <c r="F92" s="4" t="n">
        <f aca="false">IF(Headcount!$D$41&lt;=Timeline!F5,Headcount!$C$41*Headcount!$E$41/12*(1+burden)*(1+salary_infl)^MAX(0,2027-2027),0)</f>
        <v>0</v>
      </c>
      <c r="G92" s="4" t="n">
        <f aca="false">IF(Headcount!$D$41&lt;=Timeline!G5,Headcount!$C$41*Headcount!$E$41/12*(1+burden)*(1+salary_infl)^MAX(0,2027-2027),0)</f>
        <v>0</v>
      </c>
      <c r="H92" s="4" t="n">
        <f aca="false">IF(Headcount!$D$41&lt;=Timeline!H5,Headcount!$C$41*Headcount!$E$41/12*(1+burden)*(1+salary_infl)^MAX(0,2027-2027),0)</f>
        <v>0</v>
      </c>
      <c r="I92" s="4" t="n">
        <f aca="false">IF(Headcount!$D$41&lt;=Timeline!I5,Headcount!$C$41*Headcount!$E$41/12*(1+burden)*(1+salary_infl)^MAX(0,2027-2027),0)</f>
        <v>0</v>
      </c>
      <c r="J92" s="4" t="n">
        <f aca="false">IF(Headcount!$D$41&lt;=Timeline!J5,Headcount!$C$41*Headcount!$E$41/12*(1+burden)*(1+salary_infl)^MAX(0,2027-2027),0)</f>
        <v>0</v>
      </c>
      <c r="K92" s="4" t="n">
        <f aca="false">IF(Headcount!$D$41&lt;=Timeline!K5,Headcount!$C$41*Headcount!$E$41/12*(1+burden)*(1+salary_infl)^MAX(0,2027-2027),0)</f>
        <v>0</v>
      </c>
      <c r="L92" s="4" t="n">
        <f aca="false">IF(Headcount!$D$41&lt;=Timeline!L5,Headcount!$C$41*Headcount!$E$41/12*(1+burden)*(1+salary_infl)^MAX(0,2027-2027),0)</f>
        <v>0</v>
      </c>
      <c r="M92" s="4" t="n">
        <f aca="false">IF(Headcount!$D$41&lt;=Timeline!M5,Headcount!$C$41*Headcount!$E$41/12*(1+burden)*(1+salary_infl)^MAX(0,2027-2027),0)</f>
        <v>0</v>
      </c>
      <c r="N92" s="4" t="n">
        <f aca="false">IF(Headcount!$D$41&lt;=Timeline!N5,Headcount!$C$41*Headcount!$E$41/12*(1+burden)*(1+salary_infl)^MAX(0,2027-2027),0)</f>
        <v>0</v>
      </c>
      <c r="O92" s="4" t="n">
        <f aca="false">IF(Headcount!$D$41&lt;=Timeline!O5,Headcount!$C$41*Headcount!$E$41/12*(1+burden)*(1+salary_infl)^MAX(0,2027-2027),0)</f>
        <v>0</v>
      </c>
      <c r="P92" s="4" t="n">
        <f aca="false">IF(Headcount!$D$41&lt;=Timeline!P5,Headcount!$C$41*Headcount!$E$41/12*(1+burden)*(1+salary_infl)^MAX(0,2027-2027),0)</f>
        <v>0</v>
      </c>
      <c r="Q92" s="4" t="n">
        <f aca="false">IF(Headcount!$D$41&lt;=Timeline!Q5,Headcount!$C$41*Headcount!$E$41/12*(1+burden)*(1+salary_infl)^MAX(0,2028-2027),0)</f>
        <v>0</v>
      </c>
      <c r="R92" s="4" t="n">
        <f aca="false">IF(Headcount!$D$41&lt;=Timeline!R5,Headcount!$C$41*Headcount!$E$41/12*(1+burden)*(1+salary_infl)^MAX(0,2028-2027),0)</f>
        <v>0</v>
      </c>
      <c r="S92" s="4" t="n">
        <f aca="false">IF(Headcount!$D$41&lt;=Timeline!S5,Headcount!$C$41*Headcount!$E$41/12*(1+burden)*(1+salary_infl)^MAX(0,2028-2027),0)</f>
        <v>0</v>
      </c>
      <c r="T92" s="4" t="n">
        <f aca="false">IF(Headcount!$D$41&lt;=Timeline!T5,Headcount!$C$41*Headcount!$E$41/12*(1+burden)*(1+salary_infl)^MAX(0,2028-2027),0)</f>
        <v>0</v>
      </c>
      <c r="U92" s="4" t="n">
        <f aca="false">IF(Headcount!$D$41&lt;=Timeline!U5,Headcount!$C$41*Headcount!$E$41/12*(1+burden)*(1+salary_infl)^MAX(0,2028-2027),0)</f>
        <v>0</v>
      </c>
      <c r="V92" s="4" t="n">
        <f aca="false">IF(Headcount!$D$41&lt;=Timeline!V5,Headcount!$C$41*Headcount!$E$41/12*(1+burden)*(1+salary_infl)^MAX(0,2028-2027),0)</f>
        <v>0</v>
      </c>
      <c r="W92" s="4" t="n">
        <f aca="false">IF(Headcount!$D$41&lt;=Timeline!W5,Headcount!$C$41*Headcount!$E$41/12*(1+burden)*(1+salary_infl)^MAX(0,2028-2027),0)</f>
        <v>0</v>
      </c>
      <c r="X92" s="4" t="n">
        <f aca="false">IF(Headcount!$D$41&lt;=Timeline!X5,Headcount!$C$41*Headcount!$E$41/12*(1+burden)*(1+salary_infl)^MAX(0,2028-2027),0)</f>
        <v>0</v>
      </c>
      <c r="Y92" s="4" t="n">
        <f aca="false">IF(Headcount!$D$41&lt;=Timeline!Y5,Headcount!$C$41*Headcount!$E$41/12*(1+burden)*(1+salary_infl)^MAX(0,2028-2027),0)</f>
        <v>0</v>
      </c>
      <c r="Z92" s="4" t="n">
        <f aca="false">IF(Headcount!$D$41&lt;=Timeline!Z5,Headcount!$C$41*Headcount!$E$41/12*(1+burden)*(1+salary_infl)^MAX(0,2028-2027),0)</f>
        <v>0</v>
      </c>
      <c r="AA92" s="4" t="n">
        <f aca="false">IF(Headcount!$D$41&lt;=Timeline!AA5,Headcount!$C$41*Headcount!$E$41/12*(1+burden)*(1+salary_infl)^MAX(0,2028-2027),0)</f>
        <v>0</v>
      </c>
      <c r="AB92" s="4" t="n">
        <f aca="false">IF(Headcount!$D$41&lt;=Timeline!AB5,Headcount!$C$41*Headcount!$E$41/12*(1+burden)*(1+salary_infl)^MAX(0,2028-2027),0)</f>
        <v>0</v>
      </c>
      <c r="AC92" s="4" t="n">
        <f aca="false">Headcount!$C$41*Headcount!$E$41*(1+burden)*(1+salary_infl)^MAX(0,2029-2027)*MAX(0,MIN(12,(2029-YEAR(Headcount!$D$41))*12+13-MONTH(Headcount!$D$41)))/12</f>
        <v>0</v>
      </c>
      <c r="AD92" s="4" t="n">
        <f aca="false">Headcount!$C$41*Headcount!$E$41*(1+burden)*(1+salary_infl)^MAX(0,2030-2027)*MAX(0,MIN(12,(2030-YEAR(Headcount!$D$41))*12+13-MONTH(Headcount!$D$41)))/12</f>
        <v>437090.8</v>
      </c>
      <c r="AE92" s="4" t="n">
        <f aca="false">Headcount!$C$41*Headcount!$E$41*(1+burden)*(1+salary_infl)^MAX(0,2031-2027)*MAX(0,MIN(12,(2031-YEAR(Headcount!$D$41))*12+13-MONTH(Headcount!$D$41)))/12</f>
        <v>675305.286</v>
      </c>
      <c r="AG92" s="4" t="n">
        <f aca="false">SUMIF($C$3:$AE$3,AG$3,$C92:$AE92)</f>
        <v>0</v>
      </c>
      <c r="AH92" s="4" t="n">
        <f aca="false">SUMIF($C$3:$AE$3,AH$3,$C92:$AE92)</f>
        <v>0</v>
      </c>
      <c r="AI92" s="4" t="n">
        <f aca="false">SUMIF($C$3:$AE$3,AI$3,$C92:$AE92)</f>
        <v>0</v>
      </c>
      <c r="AJ92" s="4" t="n">
        <f aca="false">SUMIF($C$3:$AE$3,AJ$3,$C92:$AE92)</f>
        <v>0</v>
      </c>
      <c r="AK92" s="4" t="n">
        <f aca="false">SUMIF($C$3:$AE$3,AK$3,$C92:$AE92)</f>
        <v>437090.8</v>
      </c>
      <c r="AL92" s="4" t="n">
        <f aca="false">SUMIF($C$3:$AE$3,AL$3,$C92:$AE92)</f>
        <v>675305.286</v>
      </c>
    </row>
    <row r="93" customFormat="false" ht="15" hidden="false" customHeight="false" outlineLevel="0" collapsed="false">
      <c r="A93" s="0" t="str">
        <f aca="false">Headcount!A42</f>
        <v>G&amp;A</v>
      </c>
      <c r="B93" s="2" t="str">
        <f aca="false">Headcount!B42</f>
        <v>G&amp;A</v>
      </c>
      <c r="C93" s="4" t="n">
        <f aca="false">IF(Headcount!$D$42&lt;=Timeline!C5,Headcount!$C$42*Headcount!$E$42/12*(1+burden)*(1+salary_infl)^MAX(0,2026-2027),0)</f>
        <v>0</v>
      </c>
      <c r="D93" s="4" t="n">
        <f aca="false">IF(Headcount!$D$42&lt;=Timeline!D5,Headcount!$C$42*Headcount!$E$42/12*(1+burden)*(1+salary_infl)^MAX(0,2026-2027),0)</f>
        <v>0</v>
      </c>
      <c r="E93" s="4" t="n">
        <f aca="false">IF(Headcount!$D$42&lt;=Timeline!E5,Headcount!$C$42*Headcount!$E$42/12*(1+burden)*(1+salary_infl)^MAX(0,2027-2027),0)</f>
        <v>0</v>
      </c>
      <c r="F93" s="4" t="n">
        <f aca="false">IF(Headcount!$D$42&lt;=Timeline!F5,Headcount!$C$42*Headcount!$E$42/12*(1+burden)*(1+salary_infl)^MAX(0,2027-2027),0)</f>
        <v>0</v>
      </c>
      <c r="G93" s="4" t="n">
        <f aca="false">IF(Headcount!$D$42&lt;=Timeline!G5,Headcount!$C$42*Headcount!$E$42/12*(1+burden)*(1+salary_infl)^MAX(0,2027-2027),0)</f>
        <v>0</v>
      </c>
      <c r="H93" s="4" t="n">
        <f aca="false">IF(Headcount!$D$42&lt;=Timeline!H5,Headcount!$C$42*Headcount!$E$42/12*(1+burden)*(1+salary_infl)^MAX(0,2027-2027),0)</f>
        <v>0</v>
      </c>
      <c r="I93" s="4" t="n">
        <f aca="false">IF(Headcount!$D$42&lt;=Timeline!I5,Headcount!$C$42*Headcount!$E$42/12*(1+burden)*(1+salary_infl)^MAX(0,2027-2027),0)</f>
        <v>0</v>
      </c>
      <c r="J93" s="4" t="n">
        <f aca="false">IF(Headcount!$D$42&lt;=Timeline!J5,Headcount!$C$42*Headcount!$E$42/12*(1+burden)*(1+salary_infl)^MAX(0,2027-2027),0)</f>
        <v>0</v>
      </c>
      <c r="K93" s="4" t="n">
        <f aca="false">IF(Headcount!$D$42&lt;=Timeline!K5,Headcount!$C$42*Headcount!$E$42/12*(1+burden)*(1+salary_infl)^MAX(0,2027-2027),0)</f>
        <v>0</v>
      </c>
      <c r="L93" s="4" t="n">
        <f aca="false">IF(Headcount!$D$42&lt;=Timeline!L5,Headcount!$C$42*Headcount!$E$42/12*(1+burden)*(1+salary_infl)^MAX(0,2027-2027),0)</f>
        <v>0</v>
      </c>
      <c r="M93" s="4" t="n">
        <f aca="false">IF(Headcount!$D$42&lt;=Timeline!M5,Headcount!$C$42*Headcount!$E$42/12*(1+burden)*(1+salary_infl)^MAX(0,2027-2027),0)</f>
        <v>0</v>
      </c>
      <c r="N93" s="4" t="n">
        <f aca="false">IF(Headcount!$D$42&lt;=Timeline!N5,Headcount!$C$42*Headcount!$E$42/12*(1+burden)*(1+salary_infl)^MAX(0,2027-2027),0)</f>
        <v>0</v>
      </c>
      <c r="O93" s="4" t="n">
        <f aca="false">IF(Headcount!$D$42&lt;=Timeline!O5,Headcount!$C$42*Headcount!$E$42/12*(1+burden)*(1+salary_infl)^MAX(0,2027-2027),0)</f>
        <v>0</v>
      </c>
      <c r="P93" s="4" t="n">
        <f aca="false">IF(Headcount!$D$42&lt;=Timeline!P5,Headcount!$C$42*Headcount!$E$42/12*(1+burden)*(1+salary_infl)^MAX(0,2027-2027),0)</f>
        <v>0</v>
      </c>
      <c r="Q93" s="4" t="n">
        <f aca="false">IF(Headcount!$D$42&lt;=Timeline!Q5,Headcount!$C$42*Headcount!$E$42/12*(1+burden)*(1+salary_infl)^MAX(0,2028-2027),0)</f>
        <v>0</v>
      </c>
      <c r="R93" s="4" t="n">
        <f aca="false">IF(Headcount!$D$42&lt;=Timeline!R5,Headcount!$C$42*Headcount!$E$42/12*(1+burden)*(1+salary_infl)^MAX(0,2028-2027),0)</f>
        <v>0</v>
      </c>
      <c r="S93" s="4" t="n">
        <f aca="false">IF(Headcount!$D$42&lt;=Timeline!S5,Headcount!$C$42*Headcount!$E$42/12*(1+burden)*(1+salary_infl)^MAX(0,2028-2027),0)</f>
        <v>0</v>
      </c>
      <c r="T93" s="4" t="n">
        <f aca="false">IF(Headcount!$D$42&lt;=Timeline!T5,Headcount!$C$42*Headcount!$E$42/12*(1+burden)*(1+salary_infl)^MAX(0,2028-2027),0)</f>
        <v>0</v>
      </c>
      <c r="U93" s="4" t="n">
        <f aca="false">IF(Headcount!$D$42&lt;=Timeline!U5,Headcount!$C$42*Headcount!$E$42/12*(1+burden)*(1+salary_infl)^MAX(0,2028-2027),0)</f>
        <v>0</v>
      </c>
      <c r="V93" s="4" t="n">
        <f aca="false">IF(Headcount!$D$42&lt;=Timeline!V5,Headcount!$C$42*Headcount!$E$42/12*(1+burden)*(1+salary_infl)^MAX(0,2028-2027),0)</f>
        <v>0</v>
      </c>
      <c r="W93" s="4" t="n">
        <f aca="false">IF(Headcount!$D$42&lt;=Timeline!W5,Headcount!$C$42*Headcount!$E$42/12*(1+burden)*(1+salary_infl)^MAX(0,2028-2027),0)</f>
        <v>0</v>
      </c>
      <c r="X93" s="4" t="n">
        <f aca="false">IF(Headcount!$D$42&lt;=Timeline!X5,Headcount!$C$42*Headcount!$E$42/12*(1+burden)*(1+salary_infl)^MAX(0,2028-2027),0)</f>
        <v>0</v>
      </c>
      <c r="Y93" s="4" t="n">
        <f aca="false">IF(Headcount!$D$42&lt;=Timeline!Y5,Headcount!$C$42*Headcount!$E$42/12*(1+burden)*(1+salary_infl)^MAX(0,2028-2027),0)</f>
        <v>0</v>
      </c>
      <c r="Z93" s="4" t="n">
        <f aca="false">IF(Headcount!$D$42&lt;=Timeline!Z5,Headcount!$C$42*Headcount!$E$42/12*(1+burden)*(1+salary_infl)^MAX(0,2028-2027),0)</f>
        <v>0</v>
      </c>
      <c r="AA93" s="4" t="n">
        <f aca="false">IF(Headcount!$D$42&lt;=Timeline!AA5,Headcount!$C$42*Headcount!$E$42/12*(1+burden)*(1+salary_infl)^MAX(0,2028-2027),0)</f>
        <v>0</v>
      </c>
      <c r="AB93" s="4" t="n">
        <f aca="false">IF(Headcount!$D$42&lt;=Timeline!AB5,Headcount!$C$42*Headcount!$E$42/12*(1+burden)*(1+salary_infl)^MAX(0,2028-2027),0)</f>
        <v>0</v>
      </c>
      <c r="AC93" s="4" t="n">
        <f aca="false">Headcount!$C$42*Headcount!$E$42*(1+burden)*(1+salary_infl)^MAX(0,2029-2027)*MAX(0,MIN(12,(2029-YEAR(Headcount!$D$42))*12+13-MONTH(Headcount!$D$42)))/12</f>
        <v>0</v>
      </c>
      <c r="AD93" s="4" t="n">
        <f aca="false">Headcount!$C$42*Headcount!$E$42*(1+burden)*(1+salary_infl)^MAX(0,2030-2027)*MAX(0,MIN(12,(2030-YEAR(Headcount!$D$42))*12+13-MONTH(Headcount!$D$42)))/12</f>
        <v>327818.1</v>
      </c>
      <c r="AE93" s="4" t="n">
        <f aca="false">Headcount!$C$42*Headcount!$E$42*(1+burden)*(1+salary_infl)^MAX(0,2031-2027)*MAX(0,MIN(12,(2031-YEAR(Headcount!$D$42))*12+13-MONTH(Headcount!$D$42)))/12</f>
        <v>506478.9645</v>
      </c>
      <c r="AG93" s="4" t="n">
        <f aca="false">SUMIF($C$3:$AE$3,AG$3,$C93:$AE93)</f>
        <v>0</v>
      </c>
      <c r="AH93" s="4" t="n">
        <f aca="false">SUMIF($C$3:$AE$3,AH$3,$C93:$AE93)</f>
        <v>0</v>
      </c>
      <c r="AI93" s="4" t="n">
        <f aca="false">SUMIF($C$3:$AE$3,AI$3,$C93:$AE93)</f>
        <v>0</v>
      </c>
      <c r="AJ93" s="4" t="n">
        <f aca="false">SUMIF($C$3:$AE$3,AJ$3,$C93:$AE93)</f>
        <v>0</v>
      </c>
      <c r="AK93" s="4" t="n">
        <f aca="false">SUMIF($C$3:$AE$3,AK$3,$C93:$AE93)</f>
        <v>327818.1</v>
      </c>
      <c r="AL93" s="4" t="n">
        <f aca="false">SUMIF($C$3:$AE$3,AL$3,$C93:$AE93)</f>
        <v>506478.9645</v>
      </c>
    </row>
    <row r="94" customFormat="false" ht="15" hidden="false" customHeight="false" outlineLevel="0" collapsed="false">
      <c r="A94" s="0" t="str">
        <f aca="false">Headcount!A43</f>
        <v>R&amp;D engineers</v>
      </c>
      <c r="B94" s="2" t="str">
        <f aca="false">Headcount!B43</f>
        <v>R&amp;D</v>
      </c>
      <c r="C94" s="4" t="n">
        <f aca="false">IF(Headcount!$D$43&lt;=Timeline!C5,Headcount!$C$43*Headcount!$E$43/12*(1+burden)*(1+salary_infl)^MAX(0,2026-2027),0)</f>
        <v>0</v>
      </c>
      <c r="D94" s="4" t="n">
        <f aca="false">IF(Headcount!$D$43&lt;=Timeline!D5,Headcount!$C$43*Headcount!$E$43/12*(1+burden)*(1+salary_infl)^MAX(0,2026-2027),0)</f>
        <v>0</v>
      </c>
      <c r="E94" s="4" t="n">
        <f aca="false">IF(Headcount!$D$43&lt;=Timeline!E5,Headcount!$C$43*Headcount!$E$43/12*(1+burden)*(1+salary_infl)^MAX(0,2027-2027),0)</f>
        <v>0</v>
      </c>
      <c r="F94" s="4" t="n">
        <f aca="false">IF(Headcount!$D$43&lt;=Timeline!F5,Headcount!$C$43*Headcount!$E$43/12*(1+burden)*(1+salary_infl)^MAX(0,2027-2027),0)</f>
        <v>0</v>
      </c>
      <c r="G94" s="4" t="n">
        <f aca="false">IF(Headcount!$D$43&lt;=Timeline!G5,Headcount!$C$43*Headcount!$E$43/12*(1+burden)*(1+salary_infl)^MAX(0,2027-2027),0)</f>
        <v>0</v>
      </c>
      <c r="H94" s="4" t="n">
        <f aca="false">IF(Headcount!$D$43&lt;=Timeline!H5,Headcount!$C$43*Headcount!$E$43/12*(1+burden)*(1+salary_infl)^MAX(0,2027-2027),0)</f>
        <v>0</v>
      </c>
      <c r="I94" s="4" t="n">
        <f aca="false">IF(Headcount!$D$43&lt;=Timeline!I5,Headcount!$C$43*Headcount!$E$43/12*(1+burden)*(1+salary_infl)^MAX(0,2027-2027),0)</f>
        <v>0</v>
      </c>
      <c r="J94" s="4" t="n">
        <f aca="false">IF(Headcount!$D$43&lt;=Timeline!J5,Headcount!$C$43*Headcount!$E$43/12*(1+burden)*(1+salary_infl)^MAX(0,2027-2027),0)</f>
        <v>0</v>
      </c>
      <c r="K94" s="4" t="n">
        <f aca="false">IF(Headcount!$D$43&lt;=Timeline!K5,Headcount!$C$43*Headcount!$E$43/12*(1+burden)*(1+salary_infl)^MAX(0,2027-2027),0)</f>
        <v>0</v>
      </c>
      <c r="L94" s="4" t="n">
        <f aca="false">IF(Headcount!$D$43&lt;=Timeline!L5,Headcount!$C$43*Headcount!$E$43/12*(1+burden)*(1+salary_infl)^MAX(0,2027-2027),0)</f>
        <v>0</v>
      </c>
      <c r="M94" s="4" t="n">
        <f aca="false">IF(Headcount!$D$43&lt;=Timeline!M5,Headcount!$C$43*Headcount!$E$43/12*(1+burden)*(1+salary_infl)^MAX(0,2027-2027),0)</f>
        <v>0</v>
      </c>
      <c r="N94" s="4" t="n">
        <f aca="false">IF(Headcount!$D$43&lt;=Timeline!N5,Headcount!$C$43*Headcount!$E$43/12*(1+burden)*(1+salary_infl)^MAX(0,2027-2027),0)</f>
        <v>0</v>
      </c>
      <c r="O94" s="4" t="n">
        <f aca="false">IF(Headcount!$D$43&lt;=Timeline!O5,Headcount!$C$43*Headcount!$E$43/12*(1+burden)*(1+salary_infl)^MAX(0,2027-2027),0)</f>
        <v>0</v>
      </c>
      <c r="P94" s="4" t="n">
        <f aca="false">IF(Headcount!$D$43&lt;=Timeline!P5,Headcount!$C$43*Headcount!$E$43/12*(1+burden)*(1+salary_infl)^MAX(0,2027-2027),0)</f>
        <v>0</v>
      </c>
      <c r="Q94" s="4" t="n">
        <f aca="false">IF(Headcount!$D$43&lt;=Timeline!Q5,Headcount!$C$43*Headcount!$E$43/12*(1+burden)*(1+salary_infl)^MAX(0,2028-2027),0)</f>
        <v>0</v>
      </c>
      <c r="R94" s="4" t="n">
        <f aca="false">IF(Headcount!$D$43&lt;=Timeline!R5,Headcount!$C$43*Headcount!$E$43/12*(1+burden)*(1+salary_infl)^MAX(0,2028-2027),0)</f>
        <v>0</v>
      </c>
      <c r="S94" s="4" t="n">
        <f aca="false">IF(Headcount!$D$43&lt;=Timeline!S5,Headcount!$C$43*Headcount!$E$43/12*(1+burden)*(1+salary_infl)^MAX(0,2028-2027),0)</f>
        <v>0</v>
      </c>
      <c r="T94" s="4" t="n">
        <f aca="false">IF(Headcount!$D$43&lt;=Timeline!T5,Headcount!$C$43*Headcount!$E$43/12*(1+burden)*(1+salary_infl)^MAX(0,2028-2027),0)</f>
        <v>0</v>
      </c>
      <c r="U94" s="4" t="n">
        <f aca="false">IF(Headcount!$D$43&lt;=Timeline!U5,Headcount!$C$43*Headcount!$E$43/12*(1+burden)*(1+salary_infl)^MAX(0,2028-2027),0)</f>
        <v>0</v>
      </c>
      <c r="V94" s="4" t="n">
        <f aca="false">IF(Headcount!$D$43&lt;=Timeline!V5,Headcount!$C$43*Headcount!$E$43/12*(1+burden)*(1+salary_infl)^MAX(0,2028-2027),0)</f>
        <v>0</v>
      </c>
      <c r="W94" s="4" t="n">
        <f aca="false">IF(Headcount!$D$43&lt;=Timeline!W5,Headcount!$C$43*Headcount!$E$43/12*(1+burden)*(1+salary_infl)^MAX(0,2028-2027),0)</f>
        <v>0</v>
      </c>
      <c r="X94" s="4" t="n">
        <f aca="false">IF(Headcount!$D$43&lt;=Timeline!X5,Headcount!$C$43*Headcount!$E$43/12*(1+burden)*(1+salary_infl)^MAX(0,2028-2027),0)</f>
        <v>0</v>
      </c>
      <c r="Y94" s="4" t="n">
        <f aca="false">IF(Headcount!$D$43&lt;=Timeline!Y5,Headcount!$C$43*Headcount!$E$43/12*(1+burden)*(1+salary_infl)^MAX(0,2028-2027),0)</f>
        <v>0</v>
      </c>
      <c r="Z94" s="4" t="n">
        <f aca="false">IF(Headcount!$D$43&lt;=Timeline!Z5,Headcount!$C$43*Headcount!$E$43/12*(1+burden)*(1+salary_infl)^MAX(0,2028-2027),0)</f>
        <v>0</v>
      </c>
      <c r="AA94" s="4" t="n">
        <f aca="false">IF(Headcount!$D$43&lt;=Timeline!AA5,Headcount!$C$43*Headcount!$E$43/12*(1+burden)*(1+salary_infl)^MAX(0,2028-2027),0)</f>
        <v>0</v>
      </c>
      <c r="AB94" s="4" t="n">
        <f aca="false">IF(Headcount!$D$43&lt;=Timeline!AB5,Headcount!$C$43*Headcount!$E$43/12*(1+burden)*(1+salary_infl)^MAX(0,2028-2027),0)</f>
        <v>0</v>
      </c>
      <c r="AC94" s="4" t="n">
        <f aca="false">Headcount!$C$43*Headcount!$E$43*(1+burden)*(1+salary_infl)^MAX(0,2029-2027)*MAX(0,MIN(12,(2029-YEAR(Headcount!$D$43))*12+13-MONTH(Headcount!$D$43)))/12</f>
        <v>0</v>
      </c>
      <c r="AD94" s="4" t="n">
        <f aca="false">Headcount!$C$43*Headcount!$E$43*(1+burden)*(1+salary_infl)^MAX(0,2030-2027)*MAX(0,MIN(12,(2030-YEAR(Headcount!$D$43))*12+13-MONTH(Headcount!$D$43)))/12</f>
        <v>0</v>
      </c>
      <c r="AE94" s="4" t="n">
        <f aca="false">Headcount!$C$43*Headcount!$E$43*(1+burden)*(1+salary_infl)^MAX(0,2031-2027)*MAX(0,MIN(12,(2031-YEAR(Headcount!$D$43))*12+13-MONTH(Headcount!$D$43)))/12</f>
        <v>1934468.2671875</v>
      </c>
      <c r="AG94" s="4" t="n">
        <f aca="false">SUMIF($C$3:$AE$3,AG$3,$C94:$AE94)</f>
        <v>0</v>
      </c>
      <c r="AH94" s="4" t="n">
        <f aca="false">SUMIF($C$3:$AE$3,AH$3,$C94:$AE94)</f>
        <v>0</v>
      </c>
      <c r="AI94" s="4" t="n">
        <f aca="false">SUMIF($C$3:$AE$3,AI$3,$C94:$AE94)</f>
        <v>0</v>
      </c>
      <c r="AJ94" s="4" t="n">
        <f aca="false">SUMIF($C$3:$AE$3,AJ$3,$C94:$AE94)</f>
        <v>0</v>
      </c>
      <c r="AK94" s="4" t="n">
        <f aca="false">SUMIF($C$3:$AE$3,AK$3,$C94:$AE94)</f>
        <v>0</v>
      </c>
      <c r="AL94" s="4" t="n">
        <f aca="false">SUMIF($C$3:$AE$3,AL$3,$C94:$AE94)</f>
        <v>1934468.2671875</v>
      </c>
    </row>
    <row r="95" customFormat="false" ht="15" hidden="false" customHeight="false" outlineLevel="0" collapsed="false">
      <c r="A95" s="0" t="str">
        <f aca="false">Headcount!A44</f>
        <v>S&amp;M team</v>
      </c>
      <c r="B95" s="2" t="str">
        <f aca="false">Headcount!B44</f>
        <v>S&amp;M</v>
      </c>
      <c r="C95" s="4" t="n">
        <f aca="false">IF(Headcount!$D$44&lt;=Timeline!C5,Headcount!$C$44*Headcount!$E$44/12*(1+burden)*(1+salary_infl)^MAX(0,2026-2027),0)</f>
        <v>0</v>
      </c>
      <c r="D95" s="4" t="n">
        <f aca="false">IF(Headcount!$D$44&lt;=Timeline!D5,Headcount!$C$44*Headcount!$E$44/12*(1+burden)*(1+salary_infl)^MAX(0,2026-2027),0)</f>
        <v>0</v>
      </c>
      <c r="E95" s="4" t="n">
        <f aca="false">IF(Headcount!$D$44&lt;=Timeline!E5,Headcount!$C$44*Headcount!$E$44/12*(1+burden)*(1+salary_infl)^MAX(0,2027-2027),0)</f>
        <v>0</v>
      </c>
      <c r="F95" s="4" t="n">
        <f aca="false">IF(Headcount!$D$44&lt;=Timeline!F5,Headcount!$C$44*Headcount!$E$44/12*(1+burden)*(1+salary_infl)^MAX(0,2027-2027),0)</f>
        <v>0</v>
      </c>
      <c r="G95" s="4" t="n">
        <f aca="false">IF(Headcount!$D$44&lt;=Timeline!G5,Headcount!$C$44*Headcount!$E$44/12*(1+burden)*(1+salary_infl)^MAX(0,2027-2027),0)</f>
        <v>0</v>
      </c>
      <c r="H95" s="4" t="n">
        <f aca="false">IF(Headcount!$D$44&lt;=Timeline!H5,Headcount!$C$44*Headcount!$E$44/12*(1+burden)*(1+salary_infl)^MAX(0,2027-2027),0)</f>
        <v>0</v>
      </c>
      <c r="I95" s="4" t="n">
        <f aca="false">IF(Headcount!$D$44&lt;=Timeline!I5,Headcount!$C$44*Headcount!$E$44/12*(1+burden)*(1+salary_infl)^MAX(0,2027-2027),0)</f>
        <v>0</v>
      </c>
      <c r="J95" s="4" t="n">
        <f aca="false">IF(Headcount!$D$44&lt;=Timeline!J5,Headcount!$C$44*Headcount!$E$44/12*(1+burden)*(1+salary_infl)^MAX(0,2027-2027),0)</f>
        <v>0</v>
      </c>
      <c r="K95" s="4" t="n">
        <f aca="false">IF(Headcount!$D$44&lt;=Timeline!K5,Headcount!$C$44*Headcount!$E$44/12*(1+burden)*(1+salary_infl)^MAX(0,2027-2027),0)</f>
        <v>0</v>
      </c>
      <c r="L95" s="4" t="n">
        <f aca="false">IF(Headcount!$D$44&lt;=Timeline!L5,Headcount!$C$44*Headcount!$E$44/12*(1+burden)*(1+salary_infl)^MAX(0,2027-2027),0)</f>
        <v>0</v>
      </c>
      <c r="M95" s="4" t="n">
        <f aca="false">IF(Headcount!$D$44&lt;=Timeline!M5,Headcount!$C$44*Headcount!$E$44/12*(1+burden)*(1+salary_infl)^MAX(0,2027-2027),0)</f>
        <v>0</v>
      </c>
      <c r="N95" s="4" t="n">
        <f aca="false">IF(Headcount!$D$44&lt;=Timeline!N5,Headcount!$C$44*Headcount!$E$44/12*(1+burden)*(1+salary_infl)^MAX(0,2027-2027),0)</f>
        <v>0</v>
      </c>
      <c r="O95" s="4" t="n">
        <f aca="false">IF(Headcount!$D$44&lt;=Timeline!O5,Headcount!$C$44*Headcount!$E$44/12*(1+burden)*(1+salary_infl)^MAX(0,2027-2027),0)</f>
        <v>0</v>
      </c>
      <c r="P95" s="4" t="n">
        <f aca="false">IF(Headcount!$D$44&lt;=Timeline!P5,Headcount!$C$44*Headcount!$E$44/12*(1+burden)*(1+salary_infl)^MAX(0,2027-2027),0)</f>
        <v>0</v>
      </c>
      <c r="Q95" s="4" t="n">
        <f aca="false">IF(Headcount!$D$44&lt;=Timeline!Q5,Headcount!$C$44*Headcount!$E$44/12*(1+burden)*(1+salary_infl)^MAX(0,2028-2027),0)</f>
        <v>0</v>
      </c>
      <c r="R95" s="4" t="n">
        <f aca="false">IF(Headcount!$D$44&lt;=Timeline!R5,Headcount!$C$44*Headcount!$E$44/12*(1+burden)*(1+salary_infl)^MAX(0,2028-2027),0)</f>
        <v>0</v>
      </c>
      <c r="S95" s="4" t="n">
        <f aca="false">IF(Headcount!$D$44&lt;=Timeline!S5,Headcount!$C$44*Headcount!$E$44/12*(1+burden)*(1+salary_infl)^MAX(0,2028-2027),0)</f>
        <v>0</v>
      </c>
      <c r="T95" s="4" t="n">
        <f aca="false">IF(Headcount!$D$44&lt;=Timeline!T5,Headcount!$C$44*Headcount!$E$44/12*(1+burden)*(1+salary_infl)^MAX(0,2028-2027),0)</f>
        <v>0</v>
      </c>
      <c r="U95" s="4" t="n">
        <f aca="false">IF(Headcount!$D$44&lt;=Timeline!U5,Headcount!$C$44*Headcount!$E$44/12*(1+burden)*(1+salary_infl)^MAX(0,2028-2027),0)</f>
        <v>0</v>
      </c>
      <c r="V95" s="4" t="n">
        <f aca="false">IF(Headcount!$D$44&lt;=Timeline!V5,Headcount!$C$44*Headcount!$E$44/12*(1+burden)*(1+salary_infl)^MAX(0,2028-2027),0)</f>
        <v>0</v>
      </c>
      <c r="W95" s="4" t="n">
        <f aca="false">IF(Headcount!$D$44&lt;=Timeline!W5,Headcount!$C$44*Headcount!$E$44/12*(1+burden)*(1+salary_infl)^MAX(0,2028-2027),0)</f>
        <v>0</v>
      </c>
      <c r="X95" s="4" t="n">
        <f aca="false">IF(Headcount!$D$44&lt;=Timeline!X5,Headcount!$C$44*Headcount!$E$44/12*(1+burden)*(1+salary_infl)^MAX(0,2028-2027),0)</f>
        <v>0</v>
      </c>
      <c r="Y95" s="4" t="n">
        <f aca="false">IF(Headcount!$D$44&lt;=Timeline!Y5,Headcount!$C$44*Headcount!$E$44/12*(1+burden)*(1+salary_infl)^MAX(0,2028-2027),0)</f>
        <v>0</v>
      </c>
      <c r="Z95" s="4" t="n">
        <f aca="false">IF(Headcount!$D$44&lt;=Timeline!Z5,Headcount!$C$44*Headcount!$E$44/12*(1+burden)*(1+salary_infl)^MAX(0,2028-2027),0)</f>
        <v>0</v>
      </c>
      <c r="AA95" s="4" t="n">
        <f aca="false">IF(Headcount!$D$44&lt;=Timeline!AA5,Headcount!$C$44*Headcount!$E$44/12*(1+burden)*(1+salary_infl)^MAX(0,2028-2027),0)</f>
        <v>0</v>
      </c>
      <c r="AB95" s="4" t="n">
        <f aca="false">IF(Headcount!$D$44&lt;=Timeline!AB5,Headcount!$C$44*Headcount!$E$44/12*(1+burden)*(1+salary_infl)^MAX(0,2028-2027),0)</f>
        <v>0</v>
      </c>
      <c r="AC95" s="4" t="n">
        <f aca="false">Headcount!$C$44*Headcount!$E$44*(1+burden)*(1+salary_infl)^MAX(0,2029-2027)*MAX(0,MIN(12,(2029-YEAR(Headcount!$D$44))*12+13-MONTH(Headcount!$D$44)))/12</f>
        <v>0</v>
      </c>
      <c r="AD95" s="4" t="n">
        <f aca="false">Headcount!$C$44*Headcount!$E$44*(1+burden)*(1+salary_infl)^MAX(0,2030-2027)*MAX(0,MIN(12,(2030-YEAR(Headcount!$D$44))*12+13-MONTH(Headcount!$D$44)))/12</f>
        <v>0</v>
      </c>
      <c r="AE95" s="4" t="n">
        <f aca="false">Headcount!$C$44*Headcount!$E$44*(1+burden)*(1+salary_infl)^MAX(0,2031-2027)*MAX(0,MIN(12,(2031-YEAR(Headcount!$D$44))*12+13-MONTH(Headcount!$D$44)))/12</f>
        <v>844131.6075</v>
      </c>
      <c r="AG95" s="4" t="n">
        <f aca="false">SUMIF($C$3:$AE$3,AG$3,$C95:$AE95)</f>
        <v>0</v>
      </c>
      <c r="AH95" s="4" t="n">
        <f aca="false">SUMIF($C$3:$AE$3,AH$3,$C95:$AE95)</f>
        <v>0</v>
      </c>
      <c r="AI95" s="4" t="n">
        <f aca="false">SUMIF($C$3:$AE$3,AI$3,$C95:$AE95)</f>
        <v>0</v>
      </c>
      <c r="AJ95" s="4" t="n">
        <f aca="false">SUMIF($C$3:$AE$3,AJ$3,$C95:$AE95)</f>
        <v>0</v>
      </c>
      <c r="AK95" s="4" t="n">
        <f aca="false">SUMIF($C$3:$AE$3,AK$3,$C95:$AE95)</f>
        <v>0</v>
      </c>
      <c r="AL95" s="4" t="n">
        <f aca="false">SUMIF($C$3:$AE$3,AL$3,$C95:$AE95)</f>
        <v>844131.6075</v>
      </c>
    </row>
    <row r="96" customFormat="false" ht="15" hidden="false" customHeight="false" outlineLevel="0" collapsed="false">
      <c r="A96" s="0" t="str">
        <f aca="false">Headcount!A45</f>
        <v>Ops / CS</v>
      </c>
      <c r="B96" s="2" t="str">
        <f aca="false">Headcount!B45</f>
        <v>Ops &amp; CS</v>
      </c>
      <c r="C96" s="4" t="n">
        <f aca="false">IF(Headcount!$D$45&lt;=Timeline!C5,Headcount!$C$45*Headcount!$E$45/12*(1+burden)*(1+salary_infl)^MAX(0,2026-2027),0)</f>
        <v>0</v>
      </c>
      <c r="D96" s="4" t="n">
        <f aca="false">IF(Headcount!$D$45&lt;=Timeline!D5,Headcount!$C$45*Headcount!$E$45/12*(1+burden)*(1+salary_infl)^MAX(0,2026-2027),0)</f>
        <v>0</v>
      </c>
      <c r="E96" s="4" t="n">
        <f aca="false">IF(Headcount!$D$45&lt;=Timeline!E5,Headcount!$C$45*Headcount!$E$45/12*(1+burden)*(1+salary_infl)^MAX(0,2027-2027),0)</f>
        <v>0</v>
      </c>
      <c r="F96" s="4" t="n">
        <f aca="false">IF(Headcount!$D$45&lt;=Timeline!F5,Headcount!$C$45*Headcount!$E$45/12*(1+burden)*(1+salary_infl)^MAX(0,2027-2027),0)</f>
        <v>0</v>
      </c>
      <c r="G96" s="4" t="n">
        <f aca="false">IF(Headcount!$D$45&lt;=Timeline!G5,Headcount!$C$45*Headcount!$E$45/12*(1+burden)*(1+salary_infl)^MAX(0,2027-2027),0)</f>
        <v>0</v>
      </c>
      <c r="H96" s="4" t="n">
        <f aca="false">IF(Headcount!$D$45&lt;=Timeline!H5,Headcount!$C$45*Headcount!$E$45/12*(1+burden)*(1+salary_infl)^MAX(0,2027-2027),0)</f>
        <v>0</v>
      </c>
      <c r="I96" s="4" t="n">
        <f aca="false">IF(Headcount!$D$45&lt;=Timeline!I5,Headcount!$C$45*Headcount!$E$45/12*(1+burden)*(1+salary_infl)^MAX(0,2027-2027),0)</f>
        <v>0</v>
      </c>
      <c r="J96" s="4" t="n">
        <f aca="false">IF(Headcount!$D$45&lt;=Timeline!J5,Headcount!$C$45*Headcount!$E$45/12*(1+burden)*(1+salary_infl)^MAX(0,2027-2027),0)</f>
        <v>0</v>
      </c>
      <c r="K96" s="4" t="n">
        <f aca="false">IF(Headcount!$D$45&lt;=Timeline!K5,Headcount!$C$45*Headcount!$E$45/12*(1+burden)*(1+salary_infl)^MAX(0,2027-2027),0)</f>
        <v>0</v>
      </c>
      <c r="L96" s="4" t="n">
        <f aca="false">IF(Headcount!$D$45&lt;=Timeline!L5,Headcount!$C$45*Headcount!$E$45/12*(1+burden)*(1+salary_infl)^MAX(0,2027-2027),0)</f>
        <v>0</v>
      </c>
      <c r="M96" s="4" t="n">
        <f aca="false">IF(Headcount!$D$45&lt;=Timeline!M5,Headcount!$C$45*Headcount!$E$45/12*(1+burden)*(1+salary_infl)^MAX(0,2027-2027),0)</f>
        <v>0</v>
      </c>
      <c r="N96" s="4" t="n">
        <f aca="false">IF(Headcount!$D$45&lt;=Timeline!N5,Headcount!$C$45*Headcount!$E$45/12*(1+burden)*(1+salary_infl)^MAX(0,2027-2027),0)</f>
        <v>0</v>
      </c>
      <c r="O96" s="4" t="n">
        <f aca="false">IF(Headcount!$D$45&lt;=Timeline!O5,Headcount!$C$45*Headcount!$E$45/12*(1+burden)*(1+salary_infl)^MAX(0,2027-2027),0)</f>
        <v>0</v>
      </c>
      <c r="P96" s="4" t="n">
        <f aca="false">IF(Headcount!$D$45&lt;=Timeline!P5,Headcount!$C$45*Headcount!$E$45/12*(1+burden)*(1+salary_infl)^MAX(0,2027-2027),0)</f>
        <v>0</v>
      </c>
      <c r="Q96" s="4" t="n">
        <f aca="false">IF(Headcount!$D$45&lt;=Timeline!Q5,Headcount!$C$45*Headcount!$E$45/12*(1+burden)*(1+salary_infl)^MAX(0,2028-2027),0)</f>
        <v>0</v>
      </c>
      <c r="R96" s="4" t="n">
        <f aca="false">IF(Headcount!$D$45&lt;=Timeline!R5,Headcount!$C$45*Headcount!$E$45/12*(1+burden)*(1+salary_infl)^MAX(0,2028-2027),0)</f>
        <v>0</v>
      </c>
      <c r="S96" s="4" t="n">
        <f aca="false">IF(Headcount!$D$45&lt;=Timeline!S5,Headcount!$C$45*Headcount!$E$45/12*(1+burden)*(1+salary_infl)^MAX(0,2028-2027),0)</f>
        <v>0</v>
      </c>
      <c r="T96" s="4" t="n">
        <f aca="false">IF(Headcount!$D$45&lt;=Timeline!T5,Headcount!$C$45*Headcount!$E$45/12*(1+burden)*(1+salary_infl)^MAX(0,2028-2027),0)</f>
        <v>0</v>
      </c>
      <c r="U96" s="4" t="n">
        <f aca="false">IF(Headcount!$D$45&lt;=Timeline!U5,Headcount!$C$45*Headcount!$E$45/12*(1+burden)*(1+salary_infl)^MAX(0,2028-2027),0)</f>
        <v>0</v>
      </c>
      <c r="V96" s="4" t="n">
        <f aca="false">IF(Headcount!$D$45&lt;=Timeline!V5,Headcount!$C$45*Headcount!$E$45/12*(1+burden)*(1+salary_infl)^MAX(0,2028-2027),0)</f>
        <v>0</v>
      </c>
      <c r="W96" s="4" t="n">
        <f aca="false">IF(Headcount!$D$45&lt;=Timeline!W5,Headcount!$C$45*Headcount!$E$45/12*(1+burden)*(1+salary_infl)^MAX(0,2028-2027),0)</f>
        <v>0</v>
      </c>
      <c r="X96" s="4" t="n">
        <f aca="false">IF(Headcount!$D$45&lt;=Timeline!X5,Headcount!$C$45*Headcount!$E$45/12*(1+burden)*(1+salary_infl)^MAX(0,2028-2027),0)</f>
        <v>0</v>
      </c>
      <c r="Y96" s="4" t="n">
        <f aca="false">IF(Headcount!$D$45&lt;=Timeline!Y5,Headcount!$C$45*Headcount!$E$45/12*(1+burden)*(1+salary_infl)^MAX(0,2028-2027),0)</f>
        <v>0</v>
      </c>
      <c r="Z96" s="4" t="n">
        <f aca="false">IF(Headcount!$D$45&lt;=Timeline!Z5,Headcount!$C$45*Headcount!$E$45/12*(1+burden)*(1+salary_infl)^MAX(0,2028-2027),0)</f>
        <v>0</v>
      </c>
      <c r="AA96" s="4" t="n">
        <f aca="false">IF(Headcount!$D$45&lt;=Timeline!AA5,Headcount!$C$45*Headcount!$E$45/12*(1+burden)*(1+salary_infl)^MAX(0,2028-2027),0)</f>
        <v>0</v>
      </c>
      <c r="AB96" s="4" t="n">
        <f aca="false">IF(Headcount!$D$45&lt;=Timeline!AB5,Headcount!$C$45*Headcount!$E$45/12*(1+burden)*(1+salary_infl)^MAX(0,2028-2027),0)</f>
        <v>0</v>
      </c>
      <c r="AC96" s="4" t="n">
        <f aca="false">Headcount!$C$45*Headcount!$E$45*(1+burden)*(1+salary_infl)^MAX(0,2029-2027)*MAX(0,MIN(12,(2029-YEAR(Headcount!$D$45))*12+13-MONTH(Headcount!$D$45)))/12</f>
        <v>0</v>
      </c>
      <c r="AD96" s="4" t="n">
        <f aca="false">Headcount!$C$45*Headcount!$E$45*(1+burden)*(1+salary_infl)^MAX(0,2030-2027)*MAX(0,MIN(12,(2030-YEAR(Headcount!$D$45))*12+13-MONTH(Headcount!$D$45)))/12</f>
        <v>0</v>
      </c>
      <c r="AE96" s="4" t="n">
        <f aca="false">Headcount!$C$45*Headcount!$E$45*(1+burden)*(1+salary_infl)^MAX(0,2031-2027)*MAX(0,MIN(12,(2031-YEAR(Headcount!$D$45))*12+13-MONTH(Headcount!$D$45)))/12</f>
        <v>633098.705625</v>
      </c>
      <c r="AG96" s="4" t="n">
        <f aca="false">SUMIF($C$3:$AE$3,AG$3,$C96:$AE96)</f>
        <v>0</v>
      </c>
      <c r="AH96" s="4" t="n">
        <f aca="false">SUMIF($C$3:$AE$3,AH$3,$C96:$AE96)</f>
        <v>0</v>
      </c>
      <c r="AI96" s="4" t="n">
        <f aca="false">SUMIF($C$3:$AE$3,AI$3,$C96:$AE96)</f>
        <v>0</v>
      </c>
      <c r="AJ96" s="4" t="n">
        <f aca="false">SUMIF($C$3:$AE$3,AJ$3,$C96:$AE96)</f>
        <v>0</v>
      </c>
      <c r="AK96" s="4" t="n">
        <f aca="false">SUMIF($C$3:$AE$3,AK$3,$C96:$AE96)</f>
        <v>0</v>
      </c>
      <c r="AL96" s="4" t="n">
        <f aca="false">SUMIF($C$3:$AE$3,AL$3,$C96:$AE96)</f>
        <v>633098.705625</v>
      </c>
    </row>
    <row r="97" customFormat="false" ht="15" hidden="false" customHeight="false" outlineLevel="0" collapsed="false">
      <c r="A97" s="0" t="str">
        <f aca="false">Headcount!A46</f>
        <v>G&amp;A</v>
      </c>
      <c r="B97" s="2" t="str">
        <f aca="false">Headcount!B46</f>
        <v>G&amp;A</v>
      </c>
      <c r="C97" s="4" t="n">
        <f aca="false">IF(Headcount!$D$46&lt;=Timeline!C5,Headcount!$C$46*Headcount!$E$46/12*(1+burden)*(1+salary_infl)^MAX(0,2026-2027),0)</f>
        <v>0</v>
      </c>
      <c r="D97" s="4" t="n">
        <f aca="false">IF(Headcount!$D$46&lt;=Timeline!D5,Headcount!$C$46*Headcount!$E$46/12*(1+burden)*(1+salary_infl)^MAX(0,2026-2027),0)</f>
        <v>0</v>
      </c>
      <c r="E97" s="4" t="n">
        <f aca="false">IF(Headcount!$D$46&lt;=Timeline!E5,Headcount!$C$46*Headcount!$E$46/12*(1+burden)*(1+salary_infl)^MAX(0,2027-2027),0)</f>
        <v>0</v>
      </c>
      <c r="F97" s="4" t="n">
        <f aca="false">IF(Headcount!$D$46&lt;=Timeline!F5,Headcount!$C$46*Headcount!$E$46/12*(1+burden)*(1+salary_infl)^MAX(0,2027-2027),0)</f>
        <v>0</v>
      </c>
      <c r="G97" s="4" t="n">
        <f aca="false">IF(Headcount!$D$46&lt;=Timeline!G5,Headcount!$C$46*Headcount!$E$46/12*(1+burden)*(1+salary_infl)^MAX(0,2027-2027),0)</f>
        <v>0</v>
      </c>
      <c r="H97" s="4" t="n">
        <f aca="false">IF(Headcount!$D$46&lt;=Timeline!H5,Headcount!$C$46*Headcount!$E$46/12*(1+burden)*(1+salary_infl)^MAX(0,2027-2027),0)</f>
        <v>0</v>
      </c>
      <c r="I97" s="4" t="n">
        <f aca="false">IF(Headcount!$D$46&lt;=Timeline!I5,Headcount!$C$46*Headcount!$E$46/12*(1+burden)*(1+salary_infl)^MAX(0,2027-2027),0)</f>
        <v>0</v>
      </c>
      <c r="J97" s="4" t="n">
        <f aca="false">IF(Headcount!$D$46&lt;=Timeline!J5,Headcount!$C$46*Headcount!$E$46/12*(1+burden)*(1+salary_infl)^MAX(0,2027-2027),0)</f>
        <v>0</v>
      </c>
      <c r="K97" s="4" t="n">
        <f aca="false">IF(Headcount!$D$46&lt;=Timeline!K5,Headcount!$C$46*Headcount!$E$46/12*(1+burden)*(1+salary_infl)^MAX(0,2027-2027),0)</f>
        <v>0</v>
      </c>
      <c r="L97" s="4" t="n">
        <f aca="false">IF(Headcount!$D$46&lt;=Timeline!L5,Headcount!$C$46*Headcount!$E$46/12*(1+burden)*(1+salary_infl)^MAX(0,2027-2027),0)</f>
        <v>0</v>
      </c>
      <c r="M97" s="4" t="n">
        <f aca="false">IF(Headcount!$D$46&lt;=Timeline!M5,Headcount!$C$46*Headcount!$E$46/12*(1+burden)*(1+salary_infl)^MAX(0,2027-2027),0)</f>
        <v>0</v>
      </c>
      <c r="N97" s="4" t="n">
        <f aca="false">IF(Headcount!$D$46&lt;=Timeline!N5,Headcount!$C$46*Headcount!$E$46/12*(1+burden)*(1+salary_infl)^MAX(0,2027-2027),0)</f>
        <v>0</v>
      </c>
      <c r="O97" s="4" t="n">
        <f aca="false">IF(Headcount!$D$46&lt;=Timeline!O5,Headcount!$C$46*Headcount!$E$46/12*(1+burden)*(1+salary_infl)^MAX(0,2027-2027),0)</f>
        <v>0</v>
      </c>
      <c r="P97" s="4" t="n">
        <f aca="false">IF(Headcount!$D$46&lt;=Timeline!P5,Headcount!$C$46*Headcount!$E$46/12*(1+burden)*(1+salary_infl)^MAX(0,2027-2027),0)</f>
        <v>0</v>
      </c>
      <c r="Q97" s="4" t="n">
        <f aca="false">IF(Headcount!$D$46&lt;=Timeline!Q5,Headcount!$C$46*Headcount!$E$46/12*(1+burden)*(1+salary_infl)^MAX(0,2028-2027),0)</f>
        <v>0</v>
      </c>
      <c r="R97" s="4" t="n">
        <f aca="false">IF(Headcount!$D$46&lt;=Timeline!R5,Headcount!$C$46*Headcount!$E$46/12*(1+burden)*(1+salary_infl)^MAX(0,2028-2027),0)</f>
        <v>0</v>
      </c>
      <c r="S97" s="4" t="n">
        <f aca="false">IF(Headcount!$D$46&lt;=Timeline!S5,Headcount!$C$46*Headcount!$E$46/12*(1+burden)*(1+salary_infl)^MAX(0,2028-2027),0)</f>
        <v>0</v>
      </c>
      <c r="T97" s="4" t="n">
        <f aca="false">IF(Headcount!$D$46&lt;=Timeline!T5,Headcount!$C$46*Headcount!$E$46/12*(1+burden)*(1+salary_infl)^MAX(0,2028-2027),0)</f>
        <v>0</v>
      </c>
      <c r="U97" s="4" t="n">
        <f aca="false">IF(Headcount!$D$46&lt;=Timeline!U5,Headcount!$C$46*Headcount!$E$46/12*(1+burden)*(1+salary_infl)^MAX(0,2028-2027),0)</f>
        <v>0</v>
      </c>
      <c r="V97" s="4" t="n">
        <f aca="false">IF(Headcount!$D$46&lt;=Timeline!V5,Headcount!$C$46*Headcount!$E$46/12*(1+burden)*(1+salary_infl)^MAX(0,2028-2027),0)</f>
        <v>0</v>
      </c>
      <c r="W97" s="4" t="n">
        <f aca="false">IF(Headcount!$D$46&lt;=Timeline!W5,Headcount!$C$46*Headcount!$E$46/12*(1+burden)*(1+salary_infl)^MAX(0,2028-2027),0)</f>
        <v>0</v>
      </c>
      <c r="X97" s="4" t="n">
        <f aca="false">IF(Headcount!$D$46&lt;=Timeline!X5,Headcount!$C$46*Headcount!$E$46/12*(1+burden)*(1+salary_infl)^MAX(0,2028-2027),0)</f>
        <v>0</v>
      </c>
      <c r="Y97" s="4" t="n">
        <f aca="false">IF(Headcount!$D$46&lt;=Timeline!Y5,Headcount!$C$46*Headcount!$E$46/12*(1+burden)*(1+salary_infl)^MAX(0,2028-2027),0)</f>
        <v>0</v>
      </c>
      <c r="Z97" s="4" t="n">
        <f aca="false">IF(Headcount!$D$46&lt;=Timeline!Z5,Headcount!$C$46*Headcount!$E$46/12*(1+burden)*(1+salary_infl)^MAX(0,2028-2027),0)</f>
        <v>0</v>
      </c>
      <c r="AA97" s="4" t="n">
        <f aca="false">IF(Headcount!$D$46&lt;=Timeline!AA5,Headcount!$C$46*Headcount!$E$46/12*(1+burden)*(1+salary_infl)^MAX(0,2028-2027),0)</f>
        <v>0</v>
      </c>
      <c r="AB97" s="4" t="n">
        <f aca="false">IF(Headcount!$D$46&lt;=Timeline!AB5,Headcount!$C$46*Headcount!$E$46/12*(1+burden)*(1+salary_infl)^MAX(0,2028-2027),0)</f>
        <v>0</v>
      </c>
      <c r="AC97" s="4" t="n">
        <f aca="false">Headcount!$C$46*Headcount!$E$46*(1+burden)*(1+salary_infl)^MAX(0,2029-2027)*MAX(0,MIN(12,(2029-YEAR(Headcount!$D$46))*12+13-MONTH(Headcount!$D$46)))/12</f>
        <v>0</v>
      </c>
      <c r="AD97" s="4" t="n">
        <f aca="false">Headcount!$C$46*Headcount!$E$46*(1+burden)*(1+salary_infl)^MAX(0,2030-2027)*MAX(0,MIN(12,(2030-YEAR(Headcount!$D$46))*12+13-MONTH(Headcount!$D$46)))/12</f>
        <v>0</v>
      </c>
      <c r="AE97" s="4" t="n">
        <f aca="false">Headcount!$C$46*Headcount!$E$46*(1+burden)*(1+salary_infl)^MAX(0,2031-2027)*MAX(0,MIN(12,(2031-YEAR(Headcount!$D$46))*12+13-MONTH(Headcount!$D$46)))/12</f>
        <v>395686.691015625</v>
      </c>
      <c r="AG97" s="4" t="n">
        <f aca="false">SUMIF($C$3:$AE$3,AG$3,$C97:$AE97)</f>
        <v>0</v>
      </c>
      <c r="AH97" s="4" t="n">
        <f aca="false">SUMIF($C$3:$AE$3,AH$3,$C97:$AE97)</f>
        <v>0</v>
      </c>
      <c r="AI97" s="4" t="n">
        <f aca="false">SUMIF($C$3:$AE$3,AI$3,$C97:$AE97)</f>
        <v>0</v>
      </c>
      <c r="AJ97" s="4" t="n">
        <f aca="false">SUMIF($C$3:$AE$3,AJ$3,$C97:$AE97)</f>
        <v>0</v>
      </c>
      <c r="AK97" s="4" t="n">
        <f aca="false">SUMIF($C$3:$AE$3,AK$3,$C97:$AE97)</f>
        <v>0</v>
      </c>
      <c r="AL97" s="4" t="n">
        <f aca="false">SUMIF($C$3:$AE$3,AL$3,$C97:$AE97)</f>
        <v>395686.691015625</v>
      </c>
    </row>
    <row r="99" customFormat="false" ht="15" hidden="false" customHeight="false" outlineLevel="0" collapsed="false">
      <c r="A99" s="8" t="s">
        <v>596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customFormat="false" ht="15" hidden="false" customHeight="false" outlineLevel="0" collapsed="false">
      <c r="A100" s="0" t="s">
        <v>597</v>
      </c>
      <c r="B100" s="2"/>
      <c r="C100" s="4" t="n">
        <f aca="false">SUMIF($B$10:$B$52,"R&amp;D",C10:C52)</f>
        <v>1</v>
      </c>
      <c r="D100" s="4" t="n">
        <f aca="false">SUMIF($B$10:$B$52,"R&amp;D",D10:D52)</f>
        <v>2</v>
      </c>
      <c r="E100" s="4" t="n">
        <f aca="false">SUMIF($B$10:$B$52,"R&amp;D",E10:E52)</f>
        <v>4</v>
      </c>
      <c r="F100" s="4" t="n">
        <f aca="false">SUMIF($B$10:$B$52,"R&amp;D",F10:F52)</f>
        <v>4</v>
      </c>
      <c r="G100" s="4" t="n">
        <f aca="false">SUMIF($B$10:$B$52,"R&amp;D",G10:G52)</f>
        <v>5</v>
      </c>
      <c r="H100" s="4" t="n">
        <f aca="false">SUMIF($B$10:$B$52,"R&amp;D",H10:H52)</f>
        <v>5</v>
      </c>
      <c r="I100" s="4" t="n">
        <f aca="false">SUMIF($B$10:$B$52,"R&amp;D",I10:I52)</f>
        <v>5</v>
      </c>
      <c r="J100" s="4" t="n">
        <f aca="false">SUMIF($B$10:$B$52,"R&amp;D",J10:J52)</f>
        <v>5</v>
      </c>
      <c r="K100" s="4" t="n">
        <f aca="false">SUMIF($B$10:$B$52,"R&amp;D",K10:K52)</f>
        <v>5</v>
      </c>
      <c r="L100" s="4" t="n">
        <f aca="false">SUMIF($B$10:$B$52,"R&amp;D",L10:L52)</f>
        <v>6</v>
      </c>
      <c r="M100" s="4" t="n">
        <f aca="false">SUMIF($B$10:$B$52,"R&amp;D",M10:M52)</f>
        <v>8</v>
      </c>
      <c r="N100" s="4" t="n">
        <f aca="false">SUMIF($B$10:$B$52,"R&amp;D",N10:N52)</f>
        <v>8</v>
      </c>
      <c r="O100" s="4" t="n">
        <f aca="false">SUMIF($B$10:$B$52,"R&amp;D",O10:O52)</f>
        <v>8</v>
      </c>
      <c r="P100" s="4" t="n">
        <f aca="false">SUMIF($B$10:$B$52,"R&amp;D",P10:P52)</f>
        <v>8</v>
      </c>
      <c r="Q100" s="4" t="n">
        <f aca="false">SUMIF($B$10:$B$52,"R&amp;D",Q10:Q52)</f>
        <v>10</v>
      </c>
      <c r="R100" s="4" t="n">
        <f aca="false">SUMIF($B$10:$B$52,"R&amp;D",R10:R52)</f>
        <v>12</v>
      </c>
      <c r="S100" s="4" t="n">
        <f aca="false">SUMIF($B$10:$B$52,"R&amp;D",S10:S52)</f>
        <v>12</v>
      </c>
      <c r="T100" s="4" t="n">
        <f aca="false">SUMIF($B$10:$B$52,"R&amp;D",T10:T52)</f>
        <v>13</v>
      </c>
      <c r="U100" s="4" t="n">
        <f aca="false">SUMIF($B$10:$B$52,"R&amp;D",U10:U52)</f>
        <v>13</v>
      </c>
      <c r="V100" s="4" t="n">
        <f aca="false">SUMIF($B$10:$B$52,"R&amp;D",V10:V52)</f>
        <v>14</v>
      </c>
      <c r="W100" s="4" t="n">
        <f aca="false">SUMIF($B$10:$B$52,"R&amp;D",W10:W52)</f>
        <v>14</v>
      </c>
      <c r="X100" s="4" t="n">
        <f aca="false">SUMIF($B$10:$B$52,"R&amp;D",X10:X52)</f>
        <v>14</v>
      </c>
      <c r="Y100" s="4" t="n">
        <f aca="false">SUMIF($B$10:$B$52,"R&amp;D",Y10:Y52)</f>
        <v>14</v>
      </c>
      <c r="Z100" s="4" t="n">
        <f aca="false">SUMIF($B$10:$B$52,"R&amp;D",Z10:Z52)</f>
        <v>14</v>
      </c>
      <c r="AA100" s="4" t="n">
        <f aca="false">SUMIF($B$10:$B$52,"R&amp;D",AA10:AA52)</f>
        <v>15</v>
      </c>
      <c r="AB100" s="4" t="n">
        <f aca="false">SUMIF($B$10:$B$52,"R&amp;D",AB10:AB52)</f>
        <v>15</v>
      </c>
      <c r="AC100" s="4" t="n">
        <f aca="false">SUMIF($B$10:$B$52,"R&amp;D",AC10:AC52)</f>
        <v>27</v>
      </c>
      <c r="AD100" s="4" t="n">
        <f aca="false">SUMIF($B$10:$B$52,"R&amp;D",AD10:AD52)</f>
        <v>41</v>
      </c>
      <c r="AE100" s="4" t="n">
        <f aca="false">SUMIF($B$10:$B$52,"R&amp;D",AE10:AE52)</f>
        <v>51</v>
      </c>
      <c r="AG100" s="4" t="n">
        <f aca="false">D100</f>
        <v>2</v>
      </c>
      <c r="AH100" s="4" t="n">
        <f aca="false">P100</f>
        <v>8</v>
      </c>
      <c r="AI100" s="4" t="n">
        <f aca="false">AB100</f>
        <v>15</v>
      </c>
      <c r="AJ100" s="4" t="n">
        <f aca="false">AC100</f>
        <v>27</v>
      </c>
      <c r="AK100" s="4" t="n">
        <f aca="false">AD100</f>
        <v>41</v>
      </c>
      <c r="AL100" s="4" t="n">
        <f aca="false">AE100</f>
        <v>51</v>
      </c>
    </row>
    <row r="101" customFormat="false" ht="15" hidden="false" customHeight="false" outlineLevel="0" collapsed="false">
      <c r="A101" s="0" t="s">
        <v>598</v>
      </c>
      <c r="B101" s="2"/>
      <c r="C101" s="4" t="n">
        <f aca="false">SUMIF($B$10:$B$52,"S&amp;M",C10:C52)</f>
        <v>0</v>
      </c>
      <c r="D101" s="4" t="n">
        <f aca="false">SUMIF($B$10:$B$52,"S&amp;M",D10:D52)</f>
        <v>0</v>
      </c>
      <c r="E101" s="4" t="n">
        <f aca="false">SUMIF($B$10:$B$52,"S&amp;M",E10:E52)</f>
        <v>0</v>
      </c>
      <c r="F101" s="4" t="n">
        <f aca="false">SUMIF($B$10:$B$52,"S&amp;M",F10:F52)</f>
        <v>1</v>
      </c>
      <c r="G101" s="4" t="n">
        <f aca="false">SUMIF($B$10:$B$52,"S&amp;M",G10:G52)</f>
        <v>1</v>
      </c>
      <c r="H101" s="4" t="n">
        <f aca="false">SUMIF($B$10:$B$52,"S&amp;M",H10:H52)</f>
        <v>1</v>
      </c>
      <c r="I101" s="4" t="n">
        <f aca="false">SUMIF($B$10:$B$52,"S&amp;M",I10:I52)</f>
        <v>1</v>
      </c>
      <c r="J101" s="4" t="n">
        <f aca="false">SUMIF($B$10:$B$52,"S&amp;M",J10:J52)</f>
        <v>1</v>
      </c>
      <c r="K101" s="4" t="n">
        <f aca="false">SUMIF($B$10:$B$52,"S&amp;M",K10:K52)</f>
        <v>1</v>
      </c>
      <c r="L101" s="4" t="n">
        <f aca="false">SUMIF($B$10:$B$52,"S&amp;M",L10:L52)</f>
        <v>1</v>
      </c>
      <c r="M101" s="4" t="n">
        <f aca="false">SUMIF($B$10:$B$52,"S&amp;M",M10:M52)</f>
        <v>1</v>
      </c>
      <c r="N101" s="4" t="n">
        <f aca="false">SUMIF($B$10:$B$52,"S&amp;M",N10:N52)</f>
        <v>2</v>
      </c>
      <c r="O101" s="4" t="n">
        <f aca="false">SUMIF($B$10:$B$52,"S&amp;M",O10:O52)</f>
        <v>2</v>
      </c>
      <c r="P101" s="4" t="n">
        <f aca="false">SUMIF($B$10:$B$52,"S&amp;M",P10:P52)</f>
        <v>2</v>
      </c>
      <c r="Q101" s="4" t="n">
        <f aca="false">SUMIF($B$10:$B$52,"S&amp;M",Q10:Q52)</f>
        <v>2</v>
      </c>
      <c r="R101" s="4" t="n">
        <f aca="false">SUMIF($B$10:$B$52,"S&amp;M",R10:R52)</f>
        <v>2</v>
      </c>
      <c r="S101" s="4" t="n">
        <f aca="false">SUMIF($B$10:$B$52,"S&amp;M",S10:S52)</f>
        <v>3</v>
      </c>
      <c r="T101" s="4" t="n">
        <f aca="false">SUMIF($B$10:$B$52,"S&amp;M",T10:T52)</f>
        <v>4</v>
      </c>
      <c r="U101" s="4" t="n">
        <f aca="false">SUMIF($B$10:$B$52,"S&amp;M",U10:U52)</f>
        <v>4</v>
      </c>
      <c r="V101" s="4" t="n">
        <f aca="false">SUMIF($B$10:$B$52,"S&amp;M",V10:V52)</f>
        <v>5</v>
      </c>
      <c r="W101" s="4" t="n">
        <f aca="false">SUMIF($B$10:$B$52,"S&amp;M",W10:W52)</f>
        <v>5</v>
      </c>
      <c r="X101" s="4" t="n">
        <f aca="false">SUMIF($B$10:$B$52,"S&amp;M",X10:X52)</f>
        <v>5</v>
      </c>
      <c r="Y101" s="4" t="n">
        <f aca="false">SUMIF($B$10:$B$52,"S&amp;M",Y10:Y52)</f>
        <v>5</v>
      </c>
      <c r="Z101" s="4" t="n">
        <f aca="false">SUMIF($B$10:$B$52,"S&amp;M",Z10:Z52)</f>
        <v>5</v>
      </c>
      <c r="AA101" s="4" t="n">
        <f aca="false">SUMIF($B$10:$B$52,"S&amp;M",AA10:AA52)</f>
        <v>5</v>
      </c>
      <c r="AB101" s="4" t="n">
        <f aca="false">SUMIF($B$10:$B$52,"S&amp;M",AB10:AB52)</f>
        <v>5</v>
      </c>
      <c r="AC101" s="4" t="n">
        <f aca="false">SUMIF($B$10:$B$52,"S&amp;M",AC10:AC52)</f>
        <v>11</v>
      </c>
      <c r="AD101" s="4" t="n">
        <f aca="false">SUMIF($B$10:$B$52,"S&amp;M",AD10:AD52)</f>
        <v>17</v>
      </c>
      <c r="AE101" s="4" t="n">
        <f aca="false">SUMIF($B$10:$B$52,"S&amp;M",AE10:AE52)</f>
        <v>23</v>
      </c>
      <c r="AG101" s="4" t="n">
        <f aca="false">D101</f>
        <v>0</v>
      </c>
      <c r="AH101" s="4" t="n">
        <f aca="false">P101</f>
        <v>2</v>
      </c>
      <c r="AI101" s="4" t="n">
        <f aca="false">AB101</f>
        <v>5</v>
      </c>
      <c r="AJ101" s="4" t="n">
        <f aca="false">AC101</f>
        <v>11</v>
      </c>
      <c r="AK101" s="4" t="n">
        <f aca="false">AD101</f>
        <v>17</v>
      </c>
      <c r="AL101" s="4" t="n">
        <f aca="false">AE101</f>
        <v>23</v>
      </c>
    </row>
    <row r="102" customFormat="false" ht="15" hidden="false" customHeight="false" outlineLevel="0" collapsed="false">
      <c r="A102" s="0" t="s">
        <v>599</v>
      </c>
      <c r="B102" s="2"/>
      <c r="C102" s="4" t="n">
        <f aca="false">SUMIF($B$10:$B$52,"Ops &amp; CS",C10:C52)</f>
        <v>0</v>
      </c>
      <c r="D102" s="4" t="n">
        <f aca="false">SUMIF($B$10:$B$52,"Ops &amp; CS",D10:D52)</f>
        <v>0</v>
      </c>
      <c r="E102" s="4" t="n">
        <f aca="false">SUMIF($B$10:$B$52,"Ops &amp; CS",E10:E52)</f>
        <v>0</v>
      </c>
      <c r="F102" s="4" t="n">
        <f aca="false">SUMIF($B$10:$B$52,"Ops &amp; CS",F10:F52)</f>
        <v>0</v>
      </c>
      <c r="G102" s="4" t="n">
        <f aca="false">SUMIF($B$10:$B$52,"Ops &amp; CS",G10:G52)</f>
        <v>0</v>
      </c>
      <c r="H102" s="4" t="n">
        <f aca="false">SUMIF($B$10:$B$52,"Ops &amp; CS",H10:H52)</f>
        <v>0</v>
      </c>
      <c r="I102" s="4" t="n">
        <f aca="false">SUMIF($B$10:$B$52,"Ops &amp; CS",I10:I52)</f>
        <v>0</v>
      </c>
      <c r="J102" s="4" t="n">
        <f aca="false">SUMIF($B$10:$B$52,"Ops &amp; CS",J10:J52)</f>
        <v>0</v>
      </c>
      <c r="K102" s="4" t="n">
        <f aca="false">SUMIF($B$10:$B$52,"Ops &amp; CS",K10:K52)</f>
        <v>0</v>
      </c>
      <c r="L102" s="4" t="n">
        <f aca="false">SUMIF($B$10:$B$52,"Ops &amp; CS",L10:L52)</f>
        <v>1</v>
      </c>
      <c r="M102" s="4" t="n">
        <f aca="false">SUMIF($B$10:$B$52,"Ops &amp; CS",M10:M52)</f>
        <v>1</v>
      </c>
      <c r="N102" s="4" t="n">
        <f aca="false">SUMIF($B$10:$B$52,"Ops &amp; CS",N10:N52)</f>
        <v>2</v>
      </c>
      <c r="O102" s="4" t="n">
        <f aca="false">SUMIF($B$10:$B$52,"Ops &amp; CS",O10:O52)</f>
        <v>2</v>
      </c>
      <c r="P102" s="4" t="n">
        <f aca="false">SUMIF($B$10:$B$52,"Ops &amp; CS",P10:P52)</f>
        <v>2</v>
      </c>
      <c r="Q102" s="4" t="n">
        <f aca="false">SUMIF($B$10:$B$52,"Ops &amp; CS",Q10:Q52)</f>
        <v>2</v>
      </c>
      <c r="R102" s="4" t="n">
        <f aca="false">SUMIF($B$10:$B$52,"Ops &amp; CS",R10:R52)</f>
        <v>2</v>
      </c>
      <c r="S102" s="4" t="n">
        <f aca="false">SUMIF($B$10:$B$52,"Ops &amp; CS",S10:S52)</f>
        <v>4</v>
      </c>
      <c r="T102" s="4" t="n">
        <f aca="false">SUMIF($B$10:$B$52,"Ops &amp; CS",T10:T52)</f>
        <v>4</v>
      </c>
      <c r="U102" s="4" t="n">
        <f aca="false">SUMIF($B$10:$B$52,"Ops &amp; CS",U10:U52)</f>
        <v>4</v>
      </c>
      <c r="V102" s="4" t="n">
        <f aca="false">SUMIF($B$10:$B$52,"Ops &amp; CS",V10:V52)</f>
        <v>4</v>
      </c>
      <c r="W102" s="4" t="n">
        <f aca="false">SUMIF($B$10:$B$52,"Ops &amp; CS",W10:W52)</f>
        <v>4</v>
      </c>
      <c r="X102" s="4" t="n">
        <f aca="false">SUMIF($B$10:$B$52,"Ops &amp; CS",X10:X52)</f>
        <v>4</v>
      </c>
      <c r="Y102" s="4" t="n">
        <f aca="false">SUMIF($B$10:$B$52,"Ops &amp; CS",Y10:Y52)</f>
        <v>4</v>
      </c>
      <c r="Z102" s="4" t="n">
        <f aca="false">SUMIF($B$10:$B$52,"Ops &amp; CS",Z10:Z52)</f>
        <v>4</v>
      </c>
      <c r="AA102" s="4" t="n">
        <f aca="false">SUMIF($B$10:$B$52,"Ops &amp; CS",AA10:AA52)</f>
        <v>7</v>
      </c>
      <c r="AB102" s="4" t="n">
        <f aca="false">SUMIF($B$10:$B$52,"Ops &amp; CS",AB10:AB52)</f>
        <v>7</v>
      </c>
      <c r="AC102" s="4" t="n">
        <f aca="false">SUMIF($B$10:$B$52,"Ops &amp; CS",AC10:AC52)</f>
        <v>16</v>
      </c>
      <c r="AD102" s="4" t="n">
        <f aca="false">SUMIF($B$10:$B$52,"Ops &amp; CS",AD10:AD52)</f>
        <v>24</v>
      </c>
      <c r="AE102" s="4" t="n">
        <f aca="false">SUMIF($B$10:$B$52,"Ops &amp; CS",AE10:AE52)</f>
        <v>34</v>
      </c>
      <c r="AG102" s="4" t="n">
        <f aca="false">D102</f>
        <v>0</v>
      </c>
      <c r="AH102" s="4" t="n">
        <f aca="false">P102</f>
        <v>2</v>
      </c>
      <c r="AI102" s="4" t="n">
        <f aca="false">AB102</f>
        <v>7</v>
      </c>
      <c r="AJ102" s="4" t="n">
        <f aca="false">AC102</f>
        <v>16</v>
      </c>
      <c r="AK102" s="4" t="n">
        <f aca="false">AD102</f>
        <v>24</v>
      </c>
      <c r="AL102" s="4" t="n">
        <f aca="false">AE102</f>
        <v>34</v>
      </c>
    </row>
    <row r="103" customFormat="false" ht="15" hidden="false" customHeight="false" outlineLevel="0" collapsed="false">
      <c r="A103" s="0" t="s">
        <v>600</v>
      </c>
      <c r="B103" s="2"/>
      <c r="C103" s="4" t="n">
        <f aca="false">SUMIF($B$10:$B$52,"G&amp;A",C10:C52)</f>
        <v>1</v>
      </c>
      <c r="D103" s="4" t="n">
        <f aca="false">SUMIF($B$10:$B$52,"G&amp;A",D10:D52)</f>
        <v>1</v>
      </c>
      <c r="E103" s="4" t="n">
        <f aca="false">SUMIF($B$10:$B$52,"G&amp;A",E10:E52)</f>
        <v>1</v>
      </c>
      <c r="F103" s="4" t="n">
        <f aca="false">SUMIF($B$10:$B$52,"G&amp;A",F10:F52)</f>
        <v>1</v>
      </c>
      <c r="G103" s="4" t="n">
        <f aca="false">SUMIF($B$10:$B$52,"G&amp;A",G10:G52)</f>
        <v>1</v>
      </c>
      <c r="H103" s="4" t="n">
        <f aca="false">SUMIF($B$10:$B$52,"G&amp;A",H10:H52)</f>
        <v>1</v>
      </c>
      <c r="I103" s="4" t="n">
        <f aca="false">SUMIF($B$10:$B$52,"G&amp;A",I10:I52)</f>
        <v>1</v>
      </c>
      <c r="J103" s="4" t="n">
        <f aca="false">SUMIF($B$10:$B$52,"G&amp;A",J10:J52)</f>
        <v>1</v>
      </c>
      <c r="K103" s="4" t="n">
        <f aca="false">SUMIF($B$10:$B$52,"G&amp;A",K10:K52)</f>
        <v>1</v>
      </c>
      <c r="L103" s="4" t="n">
        <f aca="false">SUMIF($B$10:$B$52,"G&amp;A",L10:L52)</f>
        <v>1</v>
      </c>
      <c r="M103" s="4" t="n">
        <f aca="false">SUMIF($B$10:$B$52,"G&amp;A",M10:M52)</f>
        <v>1</v>
      </c>
      <c r="N103" s="4" t="n">
        <f aca="false">SUMIF($B$10:$B$52,"G&amp;A",N10:N52)</f>
        <v>1</v>
      </c>
      <c r="O103" s="4" t="n">
        <f aca="false">SUMIF($B$10:$B$52,"G&amp;A",O10:O52)</f>
        <v>2</v>
      </c>
      <c r="P103" s="4" t="n">
        <f aca="false">SUMIF($B$10:$B$52,"G&amp;A",P10:P52)</f>
        <v>2</v>
      </c>
      <c r="Q103" s="4" t="n">
        <f aca="false">SUMIF($B$10:$B$52,"G&amp;A",Q10:Q52)</f>
        <v>2</v>
      </c>
      <c r="R103" s="4" t="n">
        <f aca="false">SUMIF($B$10:$B$52,"G&amp;A",R10:R52)</f>
        <v>2</v>
      </c>
      <c r="S103" s="4" t="n">
        <f aca="false">SUMIF($B$10:$B$52,"G&amp;A",S10:S52)</f>
        <v>2</v>
      </c>
      <c r="T103" s="4" t="n">
        <f aca="false">SUMIF($B$10:$B$52,"G&amp;A",T10:T52)</f>
        <v>2</v>
      </c>
      <c r="U103" s="4" t="n">
        <f aca="false">SUMIF($B$10:$B$52,"G&amp;A",U10:U52)</f>
        <v>2</v>
      </c>
      <c r="V103" s="4" t="n">
        <f aca="false">SUMIF($B$10:$B$52,"G&amp;A",V10:V52)</f>
        <v>2</v>
      </c>
      <c r="W103" s="4" t="n">
        <f aca="false">SUMIF($B$10:$B$52,"G&amp;A",W10:W52)</f>
        <v>2</v>
      </c>
      <c r="X103" s="4" t="n">
        <f aca="false">SUMIF($B$10:$B$52,"G&amp;A",X10:X52)</f>
        <v>2</v>
      </c>
      <c r="Y103" s="4" t="n">
        <f aca="false">SUMIF($B$10:$B$52,"G&amp;A",Y10:Y52)</f>
        <v>3</v>
      </c>
      <c r="Z103" s="4" t="n">
        <f aca="false">SUMIF($B$10:$B$52,"G&amp;A",Z10:Z52)</f>
        <v>3</v>
      </c>
      <c r="AA103" s="4" t="n">
        <f aca="false">SUMIF($B$10:$B$52,"G&amp;A",AA10:AA52)</f>
        <v>3</v>
      </c>
      <c r="AB103" s="4" t="n">
        <f aca="false">SUMIF($B$10:$B$52,"G&amp;A",AB10:AB52)</f>
        <v>3</v>
      </c>
      <c r="AC103" s="4" t="n">
        <f aca="false">SUMIF($B$10:$B$52,"G&amp;A",AC10:AC52)</f>
        <v>7</v>
      </c>
      <c r="AD103" s="4" t="n">
        <f aca="false">SUMIF($B$10:$B$52,"G&amp;A",AD10:AD52)</f>
        <v>10</v>
      </c>
      <c r="AE103" s="4" t="n">
        <f aca="false">SUMIF($B$10:$B$52,"G&amp;A",AE10:AE52)</f>
        <v>13</v>
      </c>
      <c r="AG103" s="4" t="n">
        <f aca="false">D103</f>
        <v>1</v>
      </c>
      <c r="AH103" s="4" t="n">
        <f aca="false">P103</f>
        <v>2</v>
      </c>
      <c r="AI103" s="4" t="n">
        <f aca="false">AB103</f>
        <v>3</v>
      </c>
      <c r="AJ103" s="4" t="n">
        <f aca="false">AC103</f>
        <v>7</v>
      </c>
      <c r="AK103" s="4" t="n">
        <f aca="false">AD103</f>
        <v>10</v>
      </c>
      <c r="AL103" s="4" t="n">
        <f aca="false">AE103</f>
        <v>13</v>
      </c>
    </row>
    <row r="104" customFormat="false" ht="15" hidden="false" customHeight="false" outlineLevel="0" collapsed="false">
      <c r="A104" s="13" t="s">
        <v>601</v>
      </c>
      <c r="B104" s="2"/>
      <c r="C104" s="29" t="n">
        <f aca="false">'Headcount Plan'!C100+'Headcount Plan'!C101+'Headcount Plan'!C102+'Headcount Plan'!C103</f>
        <v>2</v>
      </c>
      <c r="D104" s="29" t="n">
        <f aca="false">'Headcount Plan'!D100+'Headcount Plan'!D101+'Headcount Plan'!D102+'Headcount Plan'!D103</f>
        <v>3</v>
      </c>
      <c r="E104" s="29" t="n">
        <f aca="false">'Headcount Plan'!E100+'Headcount Plan'!E101+'Headcount Plan'!E102+'Headcount Plan'!E103</f>
        <v>5</v>
      </c>
      <c r="F104" s="29" t="n">
        <f aca="false">'Headcount Plan'!F100+'Headcount Plan'!F101+'Headcount Plan'!F102+'Headcount Plan'!F103</f>
        <v>6</v>
      </c>
      <c r="G104" s="29" t="n">
        <f aca="false">'Headcount Plan'!G100+'Headcount Plan'!G101+'Headcount Plan'!G102+'Headcount Plan'!G103</f>
        <v>7</v>
      </c>
      <c r="H104" s="29" t="n">
        <f aca="false">'Headcount Plan'!H100+'Headcount Plan'!H101+'Headcount Plan'!H102+'Headcount Plan'!H103</f>
        <v>7</v>
      </c>
      <c r="I104" s="29" t="n">
        <f aca="false">'Headcount Plan'!I100+'Headcount Plan'!I101+'Headcount Plan'!I102+'Headcount Plan'!I103</f>
        <v>7</v>
      </c>
      <c r="J104" s="29" t="n">
        <f aca="false">'Headcount Plan'!J100+'Headcount Plan'!J101+'Headcount Plan'!J102+'Headcount Plan'!J103</f>
        <v>7</v>
      </c>
      <c r="K104" s="29" t="n">
        <f aca="false">'Headcount Plan'!K100+'Headcount Plan'!K101+'Headcount Plan'!K102+'Headcount Plan'!K103</f>
        <v>7</v>
      </c>
      <c r="L104" s="29" t="n">
        <f aca="false">'Headcount Plan'!L100+'Headcount Plan'!L101+'Headcount Plan'!L102+'Headcount Plan'!L103</f>
        <v>9</v>
      </c>
      <c r="M104" s="29" t="n">
        <f aca="false">'Headcount Plan'!M100+'Headcount Plan'!M101+'Headcount Plan'!M102+'Headcount Plan'!M103</f>
        <v>11</v>
      </c>
      <c r="N104" s="29" t="n">
        <f aca="false">'Headcount Plan'!N100+'Headcount Plan'!N101+'Headcount Plan'!N102+'Headcount Plan'!N103</f>
        <v>13</v>
      </c>
      <c r="O104" s="29" t="n">
        <f aca="false">'Headcount Plan'!O100+'Headcount Plan'!O101+'Headcount Plan'!O102+'Headcount Plan'!O103</f>
        <v>14</v>
      </c>
      <c r="P104" s="29" t="n">
        <f aca="false">'Headcount Plan'!P100+'Headcount Plan'!P101+'Headcount Plan'!P102+'Headcount Plan'!P103</f>
        <v>14</v>
      </c>
      <c r="Q104" s="29" t="n">
        <f aca="false">'Headcount Plan'!Q100+'Headcount Plan'!Q101+'Headcount Plan'!Q102+'Headcount Plan'!Q103</f>
        <v>16</v>
      </c>
      <c r="R104" s="29" t="n">
        <f aca="false">'Headcount Plan'!R100+'Headcount Plan'!R101+'Headcount Plan'!R102+'Headcount Plan'!R103</f>
        <v>18</v>
      </c>
      <c r="S104" s="29" t="n">
        <f aca="false">'Headcount Plan'!S100+'Headcount Plan'!S101+'Headcount Plan'!S102+'Headcount Plan'!S103</f>
        <v>21</v>
      </c>
      <c r="T104" s="29" t="n">
        <f aca="false">'Headcount Plan'!T100+'Headcount Plan'!T101+'Headcount Plan'!T102+'Headcount Plan'!T103</f>
        <v>23</v>
      </c>
      <c r="U104" s="29" t="n">
        <f aca="false">'Headcount Plan'!U100+'Headcount Plan'!U101+'Headcount Plan'!U102+'Headcount Plan'!U103</f>
        <v>23</v>
      </c>
      <c r="V104" s="29" t="n">
        <f aca="false">'Headcount Plan'!V100+'Headcount Plan'!V101+'Headcount Plan'!V102+'Headcount Plan'!V103</f>
        <v>25</v>
      </c>
      <c r="W104" s="29" t="n">
        <f aca="false">'Headcount Plan'!W100+'Headcount Plan'!W101+'Headcount Plan'!W102+'Headcount Plan'!W103</f>
        <v>25</v>
      </c>
      <c r="X104" s="29" t="n">
        <f aca="false">'Headcount Plan'!X100+'Headcount Plan'!X101+'Headcount Plan'!X102+'Headcount Plan'!X103</f>
        <v>25</v>
      </c>
      <c r="Y104" s="29" t="n">
        <f aca="false">'Headcount Plan'!Y100+'Headcount Plan'!Y101+'Headcount Plan'!Y102+'Headcount Plan'!Y103</f>
        <v>26</v>
      </c>
      <c r="Z104" s="29" t="n">
        <f aca="false">'Headcount Plan'!Z100+'Headcount Plan'!Z101+'Headcount Plan'!Z102+'Headcount Plan'!Z103</f>
        <v>26</v>
      </c>
      <c r="AA104" s="29" t="n">
        <f aca="false">'Headcount Plan'!AA100+'Headcount Plan'!AA101+'Headcount Plan'!AA102+'Headcount Plan'!AA103</f>
        <v>30</v>
      </c>
      <c r="AB104" s="29" t="n">
        <f aca="false">'Headcount Plan'!AB100+'Headcount Plan'!AB101+'Headcount Plan'!AB102+'Headcount Plan'!AB103</f>
        <v>30</v>
      </c>
      <c r="AC104" s="29" t="n">
        <f aca="false">'Headcount Plan'!AC100+'Headcount Plan'!AC101+'Headcount Plan'!AC102+'Headcount Plan'!AC103</f>
        <v>61</v>
      </c>
      <c r="AD104" s="29" t="n">
        <f aca="false">'Headcount Plan'!AD100+'Headcount Plan'!AD101+'Headcount Plan'!AD102+'Headcount Plan'!AD103</f>
        <v>92</v>
      </c>
      <c r="AE104" s="29" t="n">
        <f aca="false">'Headcount Plan'!AE100+'Headcount Plan'!AE101+'Headcount Plan'!AE102+'Headcount Plan'!AE103</f>
        <v>121</v>
      </c>
      <c r="AG104" s="29" t="n">
        <f aca="false">D104</f>
        <v>3</v>
      </c>
      <c r="AH104" s="29" t="n">
        <f aca="false">P104</f>
        <v>14</v>
      </c>
      <c r="AI104" s="29" t="n">
        <f aca="false">AB104</f>
        <v>30</v>
      </c>
      <c r="AJ104" s="29" t="n">
        <f aca="false">AC104</f>
        <v>61</v>
      </c>
      <c r="AK104" s="29" t="n">
        <f aca="false">AD104</f>
        <v>92</v>
      </c>
      <c r="AL104" s="29" t="n">
        <f aca="false">AE104</f>
        <v>121</v>
      </c>
    </row>
    <row r="105" customFormat="false" ht="15" hidden="false" customHeight="false" outlineLevel="0" collapsed="false">
      <c r="A105" s="0" t="s">
        <v>602</v>
      </c>
      <c r="B105" s="2"/>
      <c r="C105" s="4" t="n">
        <f aca="false">SUMIF($B$55:$B$97,"R&amp;D",C55:C97)</f>
        <v>15625</v>
      </c>
      <c r="D105" s="4" t="n">
        <f aca="false">SUMIF($B$55:$B$97,"R&amp;D",D55:D97)</f>
        <v>32291.6666666667</v>
      </c>
      <c r="E105" s="4" t="n">
        <f aca="false">SUMIF($B$55:$B$97,"R&amp;D",E55:E97)</f>
        <v>64062.5</v>
      </c>
      <c r="F105" s="4" t="n">
        <f aca="false">SUMIF($B$55:$B$97,"R&amp;D",F55:F97)</f>
        <v>64062.5</v>
      </c>
      <c r="G105" s="4" t="n">
        <f aca="false">SUMIF($B$55:$B$97,"R&amp;D",G55:G97)</f>
        <v>71875</v>
      </c>
      <c r="H105" s="4" t="n">
        <f aca="false">SUMIF($B$55:$B$97,"R&amp;D",H55:H97)</f>
        <v>71875</v>
      </c>
      <c r="I105" s="4" t="n">
        <f aca="false">SUMIF($B$55:$B$97,"R&amp;D",I55:I97)</f>
        <v>71875</v>
      </c>
      <c r="J105" s="4" t="n">
        <f aca="false">SUMIF($B$55:$B$97,"R&amp;D",J55:J97)</f>
        <v>71875</v>
      </c>
      <c r="K105" s="4" t="n">
        <f aca="false">SUMIF($B$55:$B$97,"R&amp;D",K55:K97)</f>
        <v>71875</v>
      </c>
      <c r="L105" s="4" t="n">
        <f aca="false">SUMIF($B$55:$B$97,"R&amp;D",L55:L97)</f>
        <v>86458.3333333333</v>
      </c>
      <c r="M105" s="4" t="n">
        <f aca="false">SUMIF($B$55:$B$97,"R&amp;D",M55:M97)</f>
        <v>116145.833333333</v>
      </c>
      <c r="N105" s="4" t="n">
        <f aca="false">SUMIF($B$55:$B$97,"R&amp;D",N55:N97)</f>
        <v>116145.833333333</v>
      </c>
      <c r="O105" s="4" t="n">
        <f aca="false">SUMIF($B$55:$B$97,"R&amp;D",O55:O97)</f>
        <v>116145.833333333</v>
      </c>
      <c r="P105" s="4" t="n">
        <f aca="false">SUMIF($B$55:$B$97,"R&amp;D",P55:P97)</f>
        <v>116145.833333333</v>
      </c>
      <c r="Q105" s="4" t="n">
        <f aca="false">SUMIF($B$55:$B$97,"R&amp;D",Q55:Q97)</f>
        <v>150744.791666667</v>
      </c>
      <c r="R105" s="4" t="n">
        <f aca="false">SUMIF($B$55:$B$97,"R&amp;D",R55:R97)</f>
        <v>165765.625</v>
      </c>
      <c r="S105" s="4" t="n">
        <f aca="false">SUMIF($B$55:$B$97,"R&amp;D",S55:S97)</f>
        <v>165765.625</v>
      </c>
      <c r="T105" s="4" t="n">
        <f aca="false">SUMIF($B$55:$B$97,"R&amp;D",T55:T97)</f>
        <v>178104.166666667</v>
      </c>
      <c r="U105" s="4" t="n">
        <f aca="false">SUMIF($B$55:$B$97,"R&amp;D",U55:U97)</f>
        <v>178104.166666667</v>
      </c>
      <c r="V105" s="4" t="n">
        <f aca="false">SUMIF($B$55:$B$97,"R&amp;D",V55:V97)</f>
        <v>195807.291666667</v>
      </c>
      <c r="W105" s="4" t="n">
        <f aca="false">SUMIF($B$55:$B$97,"R&amp;D",W55:W97)</f>
        <v>195807.291666667</v>
      </c>
      <c r="X105" s="4" t="n">
        <f aca="false">SUMIF($B$55:$B$97,"R&amp;D",X55:X97)</f>
        <v>195807.291666667</v>
      </c>
      <c r="Y105" s="4" t="n">
        <f aca="false">SUMIF($B$55:$B$97,"R&amp;D",Y55:Y97)</f>
        <v>195807.291666667</v>
      </c>
      <c r="Z105" s="4" t="n">
        <f aca="false">SUMIF($B$55:$B$97,"R&amp;D",Z55:Z97)</f>
        <v>195807.291666667</v>
      </c>
      <c r="AA105" s="4" t="n">
        <f aca="false">SUMIF($B$55:$B$97,"R&amp;D",AA55:AA97)</f>
        <v>218338.541666667</v>
      </c>
      <c r="AB105" s="4" t="n">
        <f aca="false">SUMIF($B$55:$B$97,"R&amp;D",AB55:AB97)</f>
        <v>218338.541666667</v>
      </c>
      <c r="AC105" s="4" t="n">
        <f aca="false">SUMIF($B$55:$B$97,"R&amp;D",AC55:AC97)</f>
        <v>4387263.54166667</v>
      </c>
      <c r="AD105" s="4" t="n">
        <f aca="false">SUMIF($B$55:$B$97,"R&amp;D",AD55:AD97)</f>
        <v>7029421.73041667</v>
      </c>
      <c r="AE105" s="4" t="n">
        <f aca="false">SUMIF($B$55:$B$97,"R&amp;D",AE55:AE97)</f>
        <v>9620286.553475</v>
      </c>
      <c r="AG105" s="4" t="n">
        <f aca="false">SUMIF($C$3:$AE$3,AG$3,$C105:$AE105)</f>
        <v>47916.6666666667</v>
      </c>
      <c r="AH105" s="4" t="n">
        <f aca="false">SUMIF($C$3:$AE$3,AH$3,$C105:$AE105)</f>
        <v>1038541.66666667</v>
      </c>
      <c r="AI105" s="4" t="n">
        <f aca="false">SUMIF($C$3:$AE$3,AI$3,$C105:$AE105)</f>
        <v>2254197.91666667</v>
      </c>
      <c r="AJ105" s="4" t="n">
        <f aca="false">SUMIF($C$3:$AE$3,AJ$3,$C105:$AE105)</f>
        <v>4387263.54166667</v>
      </c>
      <c r="AK105" s="4" t="n">
        <f aca="false">SUMIF($C$3:$AE$3,AK$3,$C105:$AE105)</f>
        <v>7029421.73041667</v>
      </c>
      <c r="AL105" s="4" t="n">
        <f aca="false">SUMIF($C$3:$AE$3,AL$3,$C105:$AE105)</f>
        <v>9620286.553475</v>
      </c>
    </row>
    <row r="106" customFormat="false" ht="15" hidden="false" customHeight="false" outlineLevel="0" collapsed="false">
      <c r="A106" s="0" t="s">
        <v>603</v>
      </c>
      <c r="B106" s="2"/>
      <c r="C106" s="4" t="n">
        <f aca="false">SUMIF($B$55:$B$97,"S&amp;M",C55:C97)</f>
        <v>0</v>
      </c>
      <c r="D106" s="4" t="n">
        <f aca="false">SUMIF($B$55:$B$97,"S&amp;M",D55:D97)</f>
        <v>0</v>
      </c>
      <c r="E106" s="4" t="n">
        <f aca="false">SUMIF($B$55:$B$97,"S&amp;M",E55:E97)</f>
        <v>0</v>
      </c>
      <c r="F106" s="4" t="n">
        <f aca="false">SUMIF($B$55:$B$97,"S&amp;M",F55:F97)</f>
        <v>9895.83333333333</v>
      </c>
      <c r="G106" s="4" t="n">
        <f aca="false">SUMIF($B$55:$B$97,"S&amp;M",G55:G97)</f>
        <v>9895.83333333333</v>
      </c>
      <c r="H106" s="4" t="n">
        <f aca="false">SUMIF($B$55:$B$97,"S&amp;M",H55:H97)</f>
        <v>9895.83333333333</v>
      </c>
      <c r="I106" s="4" t="n">
        <f aca="false">SUMIF($B$55:$B$97,"S&amp;M",I55:I97)</f>
        <v>9895.83333333333</v>
      </c>
      <c r="J106" s="4" t="n">
        <f aca="false">SUMIF($B$55:$B$97,"S&amp;M",J55:J97)</f>
        <v>9895.83333333333</v>
      </c>
      <c r="K106" s="4" t="n">
        <f aca="false">SUMIF($B$55:$B$97,"S&amp;M",K55:K97)</f>
        <v>9895.83333333333</v>
      </c>
      <c r="L106" s="4" t="n">
        <f aca="false">SUMIF($B$55:$B$97,"S&amp;M",L55:L97)</f>
        <v>9895.83333333333</v>
      </c>
      <c r="M106" s="4" t="n">
        <f aca="false">SUMIF($B$55:$B$97,"S&amp;M",M55:M97)</f>
        <v>9895.83333333333</v>
      </c>
      <c r="N106" s="4" t="n">
        <f aca="false">SUMIF($B$55:$B$97,"S&amp;M",N55:N97)</f>
        <v>22395.8333333333</v>
      </c>
      <c r="O106" s="4" t="n">
        <f aca="false">SUMIF($B$55:$B$97,"S&amp;M",O55:O97)</f>
        <v>22395.8333333333</v>
      </c>
      <c r="P106" s="4" t="n">
        <f aca="false">SUMIF($B$55:$B$97,"S&amp;M",P55:P97)</f>
        <v>22395.8333333333</v>
      </c>
      <c r="Q106" s="4" t="n">
        <f aca="false">SUMIF($B$55:$B$97,"S&amp;M",Q55:Q97)</f>
        <v>23067.7083333333</v>
      </c>
      <c r="R106" s="4" t="n">
        <f aca="false">SUMIF($B$55:$B$97,"S&amp;M",R55:R97)</f>
        <v>23067.7083333333</v>
      </c>
      <c r="S106" s="4" t="n">
        <f aca="false">SUMIF($B$55:$B$97,"S&amp;M",S55:S97)</f>
        <v>35942.7083333333</v>
      </c>
      <c r="T106" s="4" t="n">
        <f aca="false">SUMIF($B$55:$B$97,"S&amp;M",T55:T97)</f>
        <v>47744.7916666667</v>
      </c>
      <c r="U106" s="4" t="n">
        <f aca="false">SUMIF($B$55:$B$97,"S&amp;M",U55:U97)</f>
        <v>47744.7916666667</v>
      </c>
      <c r="V106" s="4" t="n">
        <f aca="false">SUMIF($B$55:$B$97,"S&amp;M",V55:V97)</f>
        <v>58473.9583333333</v>
      </c>
      <c r="W106" s="4" t="n">
        <f aca="false">SUMIF($B$55:$B$97,"S&amp;M",W55:W97)</f>
        <v>58473.9583333333</v>
      </c>
      <c r="X106" s="4" t="n">
        <f aca="false">SUMIF($B$55:$B$97,"S&amp;M",X55:X97)</f>
        <v>58473.9583333333</v>
      </c>
      <c r="Y106" s="4" t="n">
        <f aca="false">SUMIF($B$55:$B$97,"S&amp;M",Y55:Y97)</f>
        <v>58473.9583333333</v>
      </c>
      <c r="Z106" s="4" t="n">
        <f aca="false">SUMIF($B$55:$B$97,"S&amp;M",Z55:Z97)</f>
        <v>58473.9583333333</v>
      </c>
      <c r="AA106" s="4" t="n">
        <f aca="false">SUMIF($B$55:$B$97,"S&amp;M",AA55:AA97)</f>
        <v>58473.9583333333</v>
      </c>
      <c r="AB106" s="4" t="n">
        <f aca="false">SUMIF($B$55:$B$97,"S&amp;M",AB55:AB97)</f>
        <v>58473.9583333333</v>
      </c>
      <c r="AC106" s="4" t="n">
        <f aca="false">SUMIF($B$55:$B$97,"S&amp;M",AC55:AC97)</f>
        <v>1512887.60416667</v>
      </c>
      <c r="AD106" s="4" t="n">
        <f aca="false">SUMIF($B$55:$B$97,"S&amp;M",AD55:AD97)</f>
        <v>2554249.3625</v>
      </c>
      <c r="AE106" s="4" t="n">
        <f aca="false">SUMIF($B$55:$B$97,"S&amp;M",AE55:AE97)</f>
        <v>3636800.3423125</v>
      </c>
      <c r="AG106" s="4" t="n">
        <f aca="false">SUMIF($C$3:$AE$3,AG$3,$C106:$AE106)</f>
        <v>0</v>
      </c>
      <c r="AH106" s="4" t="n">
        <f aca="false">SUMIF($C$3:$AE$3,AH$3,$C106:$AE106)</f>
        <v>146354.166666667</v>
      </c>
      <c r="AI106" s="4" t="n">
        <f aca="false">SUMIF($C$3:$AE$3,AI$3,$C106:$AE106)</f>
        <v>586885.416666667</v>
      </c>
      <c r="AJ106" s="4" t="n">
        <f aca="false">SUMIF($C$3:$AE$3,AJ$3,$C106:$AE106)</f>
        <v>1512887.60416667</v>
      </c>
      <c r="AK106" s="4" t="n">
        <f aca="false">SUMIF($C$3:$AE$3,AK$3,$C106:$AE106)</f>
        <v>2554249.3625</v>
      </c>
      <c r="AL106" s="4" t="n">
        <f aca="false">SUMIF($C$3:$AE$3,AL$3,$C106:$AE106)</f>
        <v>3636800.3423125</v>
      </c>
    </row>
    <row r="107" customFormat="false" ht="15" hidden="false" customHeight="false" outlineLevel="0" collapsed="false">
      <c r="A107" s="0" t="s">
        <v>604</v>
      </c>
      <c r="B107" s="2"/>
      <c r="C107" s="4" t="n">
        <f aca="false">SUMIF($B$55:$B$97,"Ops &amp; CS",C55:C97)</f>
        <v>0</v>
      </c>
      <c r="D107" s="4" t="n">
        <f aca="false">SUMIF($B$55:$B$97,"Ops &amp; CS",D55:D97)</f>
        <v>0</v>
      </c>
      <c r="E107" s="4" t="n">
        <f aca="false">SUMIF($B$55:$B$97,"Ops &amp; CS",E55:E97)</f>
        <v>0</v>
      </c>
      <c r="F107" s="4" t="n">
        <f aca="false">SUMIF($B$55:$B$97,"Ops &amp; CS",F55:F97)</f>
        <v>0</v>
      </c>
      <c r="G107" s="4" t="n">
        <f aca="false">SUMIF($B$55:$B$97,"Ops &amp; CS",G55:G97)</f>
        <v>0</v>
      </c>
      <c r="H107" s="4" t="n">
        <f aca="false">SUMIF($B$55:$B$97,"Ops &amp; CS",H55:H97)</f>
        <v>0</v>
      </c>
      <c r="I107" s="4" t="n">
        <f aca="false">SUMIF($B$55:$B$97,"Ops &amp; CS",I55:I97)</f>
        <v>0</v>
      </c>
      <c r="J107" s="4" t="n">
        <f aca="false">SUMIF($B$55:$B$97,"Ops &amp; CS",J55:J97)</f>
        <v>0</v>
      </c>
      <c r="K107" s="4" t="n">
        <f aca="false">SUMIF($B$55:$B$97,"Ops &amp; CS",K55:K97)</f>
        <v>0</v>
      </c>
      <c r="L107" s="4" t="n">
        <f aca="false">SUMIF($B$55:$B$97,"Ops &amp; CS",L55:L97)</f>
        <v>16666.6666666667</v>
      </c>
      <c r="M107" s="4" t="n">
        <f aca="false">SUMIF($B$55:$B$97,"Ops &amp; CS",M55:M97)</f>
        <v>16666.6666666667</v>
      </c>
      <c r="N107" s="4" t="n">
        <f aca="false">SUMIF($B$55:$B$97,"Ops &amp; CS",N55:N97)</f>
        <v>23437.5</v>
      </c>
      <c r="O107" s="4" t="n">
        <f aca="false">SUMIF($B$55:$B$97,"Ops &amp; CS",O55:O97)</f>
        <v>23437.5</v>
      </c>
      <c r="P107" s="4" t="n">
        <f aca="false">SUMIF($B$55:$B$97,"Ops &amp; CS",P55:P97)</f>
        <v>23437.5</v>
      </c>
      <c r="Q107" s="4" t="n">
        <f aca="false">SUMIF($B$55:$B$97,"Ops &amp; CS",Q55:Q97)</f>
        <v>24140.625</v>
      </c>
      <c r="R107" s="4" t="n">
        <f aca="false">SUMIF($B$55:$B$97,"Ops &amp; CS",R55:R97)</f>
        <v>24140.625</v>
      </c>
      <c r="S107" s="4" t="n">
        <f aca="false">SUMIF($B$55:$B$97,"Ops &amp; CS",S55:S97)</f>
        <v>34869.7916666667</v>
      </c>
      <c r="T107" s="4" t="n">
        <f aca="false">SUMIF($B$55:$B$97,"Ops &amp; CS",T55:T97)</f>
        <v>34869.7916666667</v>
      </c>
      <c r="U107" s="4" t="n">
        <f aca="false">SUMIF($B$55:$B$97,"Ops &amp; CS",U55:U97)</f>
        <v>34869.7916666667</v>
      </c>
      <c r="V107" s="4" t="n">
        <f aca="false">SUMIF($B$55:$B$97,"Ops &amp; CS",V55:V97)</f>
        <v>34869.7916666667</v>
      </c>
      <c r="W107" s="4" t="n">
        <f aca="false">SUMIF($B$55:$B$97,"Ops &amp; CS",W55:W97)</f>
        <v>34869.7916666667</v>
      </c>
      <c r="X107" s="4" t="n">
        <f aca="false">SUMIF($B$55:$B$97,"Ops &amp; CS",X55:X97)</f>
        <v>34869.7916666667</v>
      </c>
      <c r="Y107" s="4" t="n">
        <f aca="false">SUMIF($B$55:$B$97,"Ops &amp; CS",Y55:Y97)</f>
        <v>34869.7916666667</v>
      </c>
      <c r="Z107" s="4" t="n">
        <f aca="false">SUMIF($B$55:$B$97,"Ops &amp; CS",Z55:Z97)</f>
        <v>34869.7916666667</v>
      </c>
      <c r="AA107" s="4" t="n">
        <f aca="false">SUMIF($B$55:$B$97,"Ops &amp; CS",AA55:AA97)</f>
        <v>50963.5416666667</v>
      </c>
      <c r="AB107" s="4" t="n">
        <f aca="false">SUMIF($B$55:$B$97,"Ops &amp; CS",AB55:AB97)</f>
        <v>50963.5416666667</v>
      </c>
      <c r="AC107" s="4" t="n">
        <f aca="false">SUMIF($B$55:$B$97,"Ops &amp; CS",AC55:AC97)</f>
        <v>1160359.375</v>
      </c>
      <c r="AD107" s="4" t="n">
        <f aca="false">SUMIF($B$55:$B$97,"Ops &amp; CS",AD55:AD97)</f>
        <v>1905442.70625</v>
      </c>
      <c r="AE107" s="4" t="n">
        <f aca="false">SUMIF($B$55:$B$97,"Ops &amp; CS",AE55:AE97)</f>
        <v>2820806.4550625</v>
      </c>
      <c r="AG107" s="4" t="n">
        <f aca="false">SUMIF($C$3:$AE$3,AG$3,$C107:$AE107)</f>
        <v>0</v>
      </c>
      <c r="AH107" s="4" t="n">
        <f aca="false">SUMIF($C$3:$AE$3,AH$3,$C107:$AE107)</f>
        <v>103645.833333333</v>
      </c>
      <c r="AI107" s="4" t="n">
        <f aca="false">SUMIF($C$3:$AE$3,AI$3,$C107:$AE107)</f>
        <v>429166.666666667</v>
      </c>
      <c r="AJ107" s="4" t="n">
        <f aca="false">SUMIF($C$3:$AE$3,AJ$3,$C107:$AE107)</f>
        <v>1160359.375</v>
      </c>
      <c r="AK107" s="4" t="n">
        <f aca="false">SUMIF($C$3:$AE$3,AK$3,$C107:$AE107)</f>
        <v>1905442.70625</v>
      </c>
      <c r="AL107" s="4" t="n">
        <f aca="false">SUMIF($C$3:$AE$3,AL$3,$C107:$AE107)</f>
        <v>2820806.4550625</v>
      </c>
    </row>
    <row r="108" customFormat="false" ht="15" hidden="false" customHeight="false" outlineLevel="0" collapsed="false">
      <c r="A108" s="0" t="s">
        <v>605</v>
      </c>
      <c r="B108" s="2"/>
      <c r="C108" s="4" t="n">
        <f aca="false">SUMIF($B$55:$B$97,"G&amp;A",C55:C97)</f>
        <v>9375</v>
      </c>
      <c r="D108" s="4" t="n">
        <f aca="false">SUMIF($B$55:$B$97,"G&amp;A",D55:D97)</f>
        <v>9375</v>
      </c>
      <c r="E108" s="4" t="n">
        <f aca="false">SUMIF($B$55:$B$97,"G&amp;A",E55:E97)</f>
        <v>9375</v>
      </c>
      <c r="F108" s="4" t="n">
        <f aca="false">SUMIF($B$55:$B$97,"G&amp;A",F55:F97)</f>
        <v>9375</v>
      </c>
      <c r="G108" s="4" t="n">
        <f aca="false">SUMIF($B$55:$B$97,"G&amp;A",G55:G97)</f>
        <v>9375</v>
      </c>
      <c r="H108" s="4" t="n">
        <f aca="false">SUMIF($B$55:$B$97,"G&amp;A",H55:H97)</f>
        <v>9375</v>
      </c>
      <c r="I108" s="4" t="n">
        <f aca="false">SUMIF($B$55:$B$97,"G&amp;A",I55:I97)</f>
        <v>9375</v>
      </c>
      <c r="J108" s="4" t="n">
        <f aca="false">SUMIF($B$55:$B$97,"G&amp;A",J55:J97)</f>
        <v>9375</v>
      </c>
      <c r="K108" s="4" t="n">
        <f aca="false">SUMIF($B$55:$B$97,"G&amp;A",K55:K97)</f>
        <v>9375</v>
      </c>
      <c r="L108" s="4" t="n">
        <f aca="false">SUMIF($B$55:$B$97,"G&amp;A",L55:L97)</f>
        <v>9375</v>
      </c>
      <c r="M108" s="4" t="n">
        <f aca="false">SUMIF($B$55:$B$97,"G&amp;A",M55:M97)</f>
        <v>9375</v>
      </c>
      <c r="N108" s="4" t="n">
        <f aca="false">SUMIF($B$55:$B$97,"G&amp;A",N55:N97)</f>
        <v>9375</v>
      </c>
      <c r="O108" s="4" t="n">
        <f aca="false">SUMIF($B$55:$B$97,"G&amp;A",O55:O97)</f>
        <v>20833.3333333333</v>
      </c>
      <c r="P108" s="4" t="n">
        <f aca="false">SUMIF($B$55:$B$97,"G&amp;A",P55:P97)</f>
        <v>20833.3333333333</v>
      </c>
      <c r="Q108" s="4" t="n">
        <f aca="false">SUMIF($B$55:$B$97,"G&amp;A",Q55:Q97)</f>
        <v>21458.3333333333</v>
      </c>
      <c r="R108" s="4" t="n">
        <f aca="false">SUMIF($B$55:$B$97,"G&amp;A",R55:R97)</f>
        <v>21458.3333333333</v>
      </c>
      <c r="S108" s="4" t="n">
        <f aca="false">SUMIF($B$55:$B$97,"G&amp;A",S55:S97)</f>
        <v>21458.3333333333</v>
      </c>
      <c r="T108" s="4" t="n">
        <f aca="false">SUMIF($B$55:$B$97,"G&amp;A",T55:T97)</f>
        <v>21458.3333333333</v>
      </c>
      <c r="U108" s="4" t="n">
        <f aca="false">SUMIF($B$55:$B$97,"G&amp;A",U55:U97)</f>
        <v>21458.3333333333</v>
      </c>
      <c r="V108" s="4" t="n">
        <f aca="false">SUMIF($B$55:$B$97,"G&amp;A",V55:V97)</f>
        <v>21458.3333333333</v>
      </c>
      <c r="W108" s="4" t="n">
        <f aca="false">SUMIF($B$55:$B$97,"G&amp;A",W55:W97)</f>
        <v>21458.3333333333</v>
      </c>
      <c r="X108" s="4" t="n">
        <f aca="false">SUMIF($B$55:$B$97,"G&amp;A",X55:X97)</f>
        <v>21458.3333333333</v>
      </c>
      <c r="Y108" s="4" t="n">
        <f aca="false">SUMIF($B$55:$B$97,"G&amp;A",Y55:Y97)</f>
        <v>30578.125</v>
      </c>
      <c r="Z108" s="4" t="n">
        <f aca="false">SUMIF($B$55:$B$97,"G&amp;A",Z55:Z97)</f>
        <v>30578.125</v>
      </c>
      <c r="AA108" s="4" t="n">
        <f aca="false">SUMIF($B$55:$B$97,"G&amp;A",AA55:AA97)</f>
        <v>30578.125</v>
      </c>
      <c r="AB108" s="4" t="n">
        <f aca="false">SUMIF($B$55:$B$97,"G&amp;A",AB55:AB97)</f>
        <v>30578.125</v>
      </c>
      <c r="AC108" s="4" t="n">
        <f aca="false">SUMIF($B$55:$B$97,"G&amp;A",AC55:AC97)</f>
        <v>734894.270833333</v>
      </c>
      <c r="AD108" s="4" t="n">
        <f aca="false">SUMIF($B$55:$B$97,"G&amp;A",AD55:AD97)</f>
        <v>1482010.99375</v>
      </c>
      <c r="AE108" s="4" t="n">
        <f aca="false">SUMIF($B$55:$B$97,"G&amp;A",AE55:AE97)</f>
        <v>2090984.33607813</v>
      </c>
      <c r="AG108" s="4" t="n">
        <f aca="false">SUMIF($C$3:$AE$3,AG$3,$C108:$AE108)</f>
        <v>18750</v>
      </c>
      <c r="AH108" s="4" t="n">
        <f aca="false">SUMIF($C$3:$AE$3,AH$3,$C108:$AE108)</f>
        <v>135416.666666667</v>
      </c>
      <c r="AI108" s="4" t="n">
        <f aca="false">SUMIF($C$3:$AE$3,AI$3,$C108:$AE108)</f>
        <v>293979.166666667</v>
      </c>
      <c r="AJ108" s="4" t="n">
        <f aca="false">SUMIF($C$3:$AE$3,AJ$3,$C108:$AE108)</f>
        <v>734894.270833333</v>
      </c>
      <c r="AK108" s="4" t="n">
        <f aca="false">SUMIF($C$3:$AE$3,AK$3,$C108:$AE108)</f>
        <v>1482010.99375</v>
      </c>
      <c r="AL108" s="4" t="n">
        <f aca="false">SUMIF($C$3:$AE$3,AL$3,$C108:$AE108)</f>
        <v>2090984.33607813</v>
      </c>
    </row>
    <row r="109" customFormat="false" ht="15" hidden="false" customHeight="false" outlineLevel="0" collapsed="false">
      <c r="A109" s="13" t="s">
        <v>606</v>
      </c>
      <c r="B109" s="2"/>
      <c r="C109" s="29" t="n">
        <f aca="false">'Headcount Plan'!C105+'Headcount Plan'!C106+'Headcount Plan'!C107+'Headcount Plan'!C108</f>
        <v>25000</v>
      </c>
      <c r="D109" s="29" t="n">
        <f aca="false">'Headcount Plan'!D105+'Headcount Plan'!D106+'Headcount Plan'!D107+'Headcount Plan'!D108</f>
        <v>41666.6666666667</v>
      </c>
      <c r="E109" s="29" t="n">
        <f aca="false">'Headcount Plan'!E105+'Headcount Plan'!E106+'Headcount Plan'!E107+'Headcount Plan'!E108</f>
        <v>73437.5</v>
      </c>
      <c r="F109" s="29" t="n">
        <f aca="false">'Headcount Plan'!F105+'Headcount Plan'!F106+'Headcount Plan'!F107+'Headcount Plan'!F108</f>
        <v>83333.3333333333</v>
      </c>
      <c r="G109" s="29" t="n">
        <f aca="false">'Headcount Plan'!G105+'Headcount Plan'!G106+'Headcount Plan'!G107+'Headcount Plan'!G108</f>
        <v>91145.8333333333</v>
      </c>
      <c r="H109" s="29" t="n">
        <f aca="false">'Headcount Plan'!H105+'Headcount Plan'!H106+'Headcount Plan'!H107+'Headcount Plan'!H108</f>
        <v>91145.8333333333</v>
      </c>
      <c r="I109" s="29" t="n">
        <f aca="false">'Headcount Plan'!I105+'Headcount Plan'!I106+'Headcount Plan'!I107+'Headcount Plan'!I108</f>
        <v>91145.8333333333</v>
      </c>
      <c r="J109" s="29" t="n">
        <f aca="false">'Headcount Plan'!J105+'Headcount Plan'!J106+'Headcount Plan'!J107+'Headcount Plan'!J108</f>
        <v>91145.8333333333</v>
      </c>
      <c r="K109" s="29" t="n">
        <f aca="false">'Headcount Plan'!K105+'Headcount Plan'!K106+'Headcount Plan'!K107+'Headcount Plan'!K108</f>
        <v>91145.8333333333</v>
      </c>
      <c r="L109" s="29" t="n">
        <f aca="false">'Headcount Plan'!L105+'Headcount Plan'!L106+'Headcount Plan'!L107+'Headcount Plan'!L108</f>
        <v>122395.833333333</v>
      </c>
      <c r="M109" s="29" t="n">
        <f aca="false">'Headcount Plan'!M105+'Headcount Plan'!M106+'Headcount Plan'!M107+'Headcount Plan'!M108</f>
        <v>152083.333333333</v>
      </c>
      <c r="N109" s="29" t="n">
        <f aca="false">'Headcount Plan'!N105+'Headcount Plan'!N106+'Headcount Plan'!N107+'Headcount Plan'!N108</f>
        <v>171354.166666667</v>
      </c>
      <c r="O109" s="29" t="n">
        <f aca="false">'Headcount Plan'!O105+'Headcount Plan'!O106+'Headcount Plan'!O107+'Headcount Plan'!O108</f>
        <v>182812.5</v>
      </c>
      <c r="P109" s="29" t="n">
        <f aca="false">'Headcount Plan'!P105+'Headcount Plan'!P106+'Headcount Plan'!P107+'Headcount Plan'!P108</f>
        <v>182812.5</v>
      </c>
      <c r="Q109" s="29" t="n">
        <f aca="false">'Headcount Plan'!Q105+'Headcount Plan'!Q106+'Headcount Plan'!Q107+'Headcount Plan'!Q108</f>
        <v>219411.458333333</v>
      </c>
      <c r="R109" s="29" t="n">
        <f aca="false">'Headcount Plan'!R105+'Headcount Plan'!R106+'Headcount Plan'!R107+'Headcount Plan'!R108</f>
        <v>234432.291666667</v>
      </c>
      <c r="S109" s="29" t="n">
        <f aca="false">'Headcount Plan'!S105+'Headcount Plan'!S106+'Headcount Plan'!S107+'Headcount Plan'!S108</f>
        <v>258036.458333333</v>
      </c>
      <c r="T109" s="29" t="n">
        <f aca="false">'Headcount Plan'!T105+'Headcount Plan'!T106+'Headcount Plan'!T107+'Headcount Plan'!T108</f>
        <v>282177.083333333</v>
      </c>
      <c r="U109" s="29" t="n">
        <f aca="false">'Headcount Plan'!U105+'Headcount Plan'!U106+'Headcount Plan'!U107+'Headcount Plan'!U108</f>
        <v>282177.083333333</v>
      </c>
      <c r="V109" s="29" t="n">
        <f aca="false">'Headcount Plan'!V105+'Headcount Plan'!V106+'Headcount Plan'!V107+'Headcount Plan'!V108</f>
        <v>310609.375</v>
      </c>
      <c r="W109" s="29" t="n">
        <f aca="false">'Headcount Plan'!W105+'Headcount Plan'!W106+'Headcount Plan'!W107+'Headcount Plan'!W108</f>
        <v>310609.375</v>
      </c>
      <c r="X109" s="29" t="n">
        <f aca="false">'Headcount Plan'!X105+'Headcount Plan'!X106+'Headcount Plan'!X107+'Headcount Plan'!X108</f>
        <v>310609.375</v>
      </c>
      <c r="Y109" s="29" t="n">
        <f aca="false">'Headcount Plan'!Y105+'Headcount Plan'!Y106+'Headcount Plan'!Y107+'Headcount Plan'!Y108</f>
        <v>319729.166666667</v>
      </c>
      <c r="Z109" s="29" t="n">
        <f aca="false">'Headcount Plan'!Z105+'Headcount Plan'!Z106+'Headcount Plan'!Z107+'Headcount Plan'!Z108</f>
        <v>319729.166666667</v>
      </c>
      <c r="AA109" s="29" t="n">
        <f aca="false">'Headcount Plan'!AA105+'Headcount Plan'!AA106+'Headcount Plan'!AA107+'Headcount Plan'!AA108</f>
        <v>358354.166666667</v>
      </c>
      <c r="AB109" s="29" t="n">
        <f aca="false">'Headcount Plan'!AB105+'Headcount Plan'!AB106+'Headcount Plan'!AB107+'Headcount Plan'!AB108</f>
        <v>358354.166666667</v>
      </c>
      <c r="AC109" s="29" t="n">
        <f aca="false">'Headcount Plan'!AC105+'Headcount Plan'!AC106+'Headcount Plan'!AC107+'Headcount Plan'!AC108</f>
        <v>7795404.79166667</v>
      </c>
      <c r="AD109" s="29" t="n">
        <f aca="false">'Headcount Plan'!AD105+'Headcount Plan'!AD106+'Headcount Plan'!AD107+'Headcount Plan'!AD108</f>
        <v>12971124.7929167</v>
      </c>
      <c r="AE109" s="29" t="n">
        <f aca="false">'Headcount Plan'!AE105+'Headcount Plan'!AE106+'Headcount Plan'!AE107+'Headcount Plan'!AE108</f>
        <v>18168877.6869281</v>
      </c>
      <c r="AG109" s="29" t="n">
        <f aca="false">SUMIF($C$3:$AE$3,AG$3,$C109:$AE109)</f>
        <v>66666.6666666667</v>
      </c>
      <c r="AH109" s="29" t="n">
        <f aca="false">SUMIF($C$3:$AE$3,AH$3,$C109:$AE109)</f>
        <v>1423958.33333333</v>
      </c>
      <c r="AI109" s="29" t="n">
        <f aca="false">SUMIF($C$3:$AE$3,AI$3,$C109:$AE109)</f>
        <v>3564229.16666667</v>
      </c>
      <c r="AJ109" s="29" t="n">
        <f aca="false">SUMIF($C$3:$AE$3,AJ$3,$C109:$AE109)</f>
        <v>7795404.79166667</v>
      </c>
      <c r="AK109" s="29" t="n">
        <f aca="false">SUMIF($C$3:$AE$3,AK$3,$C109:$AE109)</f>
        <v>12971124.7929167</v>
      </c>
      <c r="AL109" s="29" t="n">
        <f aca="false">SUMIF($C$3:$AE$3,AL$3,$C109:$AE109)</f>
        <v>18168877.6869281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607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608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609</v>
      </c>
      <c r="B10" s="2"/>
      <c r="C10" s="4" t="n">
        <f aca="false">'Headcount Plan'!C105</f>
        <v>15625</v>
      </c>
      <c r="D10" s="4" t="n">
        <f aca="false">'Headcount Plan'!D105</f>
        <v>32291.6666666667</v>
      </c>
      <c r="E10" s="4" t="n">
        <f aca="false">'Headcount Plan'!E105</f>
        <v>64062.5</v>
      </c>
      <c r="F10" s="4" t="n">
        <f aca="false">'Headcount Plan'!F105</f>
        <v>64062.5</v>
      </c>
      <c r="G10" s="4" t="n">
        <f aca="false">'Headcount Plan'!G105</f>
        <v>71875</v>
      </c>
      <c r="H10" s="4" t="n">
        <f aca="false">'Headcount Plan'!H105</f>
        <v>71875</v>
      </c>
      <c r="I10" s="4" t="n">
        <f aca="false">'Headcount Plan'!I105</f>
        <v>71875</v>
      </c>
      <c r="J10" s="4" t="n">
        <f aca="false">'Headcount Plan'!J105</f>
        <v>71875</v>
      </c>
      <c r="K10" s="4" t="n">
        <f aca="false">'Headcount Plan'!K105</f>
        <v>71875</v>
      </c>
      <c r="L10" s="4" t="n">
        <f aca="false">'Headcount Plan'!L105</f>
        <v>86458.3333333333</v>
      </c>
      <c r="M10" s="4" t="n">
        <f aca="false">'Headcount Plan'!M105</f>
        <v>116145.833333333</v>
      </c>
      <c r="N10" s="4" t="n">
        <f aca="false">'Headcount Plan'!N105</f>
        <v>116145.833333333</v>
      </c>
      <c r="O10" s="4" t="n">
        <f aca="false">'Headcount Plan'!O105</f>
        <v>116145.833333333</v>
      </c>
      <c r="P10" s="4" t="n">
        <f aca="false">'Headcount Plan'!P105</f>
        <v>116145.833333333</v>
      </c>
      <c r="Q10" s="4" t="n">
        <f aca="false">'Headcount Plan'!Q105</f>
        <v>150744.791666667</v>
      </c>
      <c r="R10" s="4" t="n">
        <f aca="false">'Headcount Plan'!R105</f>
        <v>165765.625</v>
      </c>
      <c r="S10" s="4" t="n">
        <f aca="false">'Headcount Plan'!S105</f>
        <v>165765.625</v>
      </c>
      <c r="T10" s="4" t="n">
        <f aca="false">'Headcount Plan'!T105</f>
        <v>178104.166666667</v>
      </c>
      <c r="U10" s="4" t="n">
        <f aca="false">'Headcount Plan'!U105</f>
        <v>178104.166666667</v>
      </c>
      <c r="V10" s="4" t="n">
        <f aca="false">'Headcount Plan'!V105</f>
        <v>195807.291666667</v>
      </c>
      <c r="W10" s="4" t="n">
        <f aca="false">'Headcount Plan'!W105</f>
        <v>195807.291666667</v>
      </c>
      <c r="X10" s="4" t="n">
        <f aca="false">'Headcount Plan'!X105</f>
        <v>195807.291666667</v>
      </c>
      <c r="Y10" s="4" t="n">
        <f aca="false">'Headcount Plan'!Y105</f>
        <v>195807.291666667</v>
      </c>
      <c r="Z10" s="4" t="n">
        <f aca="false">'Headcount Plan'!Z105</f>
        <v>195807.291666667</v>
      </c>
      <c r="AA10" s="4" t="n">
        <f aca="false">'Headcount Plan'!AA105</f>
        <v>218338.541666667</v>
      </c>
      <c r="AB10" s="4" t="n">
        <f aca="false">'Headcount Plan'!AB105</f>
        <v>218338.541666667</v>
      </c>
      <c r="AC10" s="4" t="n">
        <f aca="false">'Headcount Plan'!AC105</f>
        <v>4387263.54166667</v>
      </c>
      <c r="AD10" s="4" t="n">
        <f aca="false">'Headcount Plan'!AD105</f>
        <v>7029421.73041667</v>
      </c>
      <c r="AE10" s="4" t="n">
        <f aca="false">'Headcount Plan'!AE105</f>
        <v>9620286.553475</v>
      </c>
      <c r="AG10" s="4" t="n">
        <f aca="false">SUMIF($C$3:$AE$3,AG$3,$C10:$AE10)</f>
        <v>47916.6666666667</v>
      </c>
      <c r="AH10" s="4" t="n">
        <f aca="false">SUMIF($C$3:$AE$3,AH$3,$C10:$AE10)</f>
        <v>1038541.66666667</v>
      </c>
      <c r="AI10" s="4" t="n">
        <f aca="false">SUMIF($C$3:$AE$3,AI$3,$C10:$AE10)</f>
        <v>2254197.91666667</v>
      </c>
      <c r="AJ10" s="4" t="n">
        <f aca="false">SUMIF($C$3:$AE$3,AJ$3,$C10:$AE10)</f>
        <v>4387263.54166667</v>
      </c>
      <c r="AK10" s="4" t="n">
        <f aca="false">SUMIF($C$3:$AE$3,AK$3,$C10:$AE10)</f>
        <v>7029421.73041667</v>
      </c>
      <c r="AL10" s="4" t="n">
        <f aca="false">SUMIF($C$3:$AE$3,AL$3,$C10:$AE10)</f>
        <v>9620286.553475</v>
      </c>
    </row>
    <row r="11" customFormat="false" ht="15" hidden="false" customHeight="false" outlineLevel="0" collapsed="false">
      <c r="A11" s="0" t="s">
        <v>610</v>
      </c>
      <c r="B11" s="2"/>
      <c r="C11" s="4" t="n">
        <f aca="false">Assumptions!C116</f>
        <v>25000</v>
      </c>
      <c r="D11" s="4" t="n">
        <f aca="false">Assumptions!D116</f>
        <v>25000</v>
      </c>
      <c r="E11" s="4" t="n">
        <f aca="false">Assumptions!E116</f>
        <v>20000</v>
      </c>
      <c r="F11" s="4" t="n">
        <f aca="false">Assumptions!F116</f>
        <v>15000</v>
      </c>
      <c r="G11" s="4" t="n">
        <f aca="false">Assumptions!G116</f>
        <v>10000</v>
      </c>
      <c r="H11" s="4" t="n">
        <f aca="false">Assumptions!H116</f>
        <v>0</v>
      </c>
      <c r="I11" s="4" t="n">
        <f aca="false">Assumptions!I116</f>
        <v>0</v>
      </c>
      <c r="J11" s="4" t="n">
        <f aca="false">Assumptions!J116</f>
        <v>0</v>
      </c>
      <c r="K11" s="4" t="n">
        <f aca="false">Assumptions!K116</f>
        <v>0</v>
      </c>
      <c r="L11" s="4" t="n">
        <f aca="false">Assumptions!L116</f>
        <v>0</v>
      </c>
      <c r="M11" s="4" t="n">
        <f aca="false">Assumptions!M116</f>
        <v>0</v>
      </c>
      <c r="N11" s="4" t="n">
        <f aca="false">Assumptions!N116</f>
        <v>0</v>
      </c>
      <c r="O11" s="4" t="n">
        <f aca="false">Assumptions!O116</f>
        <v>0</v>
      </c>
      <c r="P11" s="4" t="n">
        <f aca="false">Assumptions!P116</f>
        <v>0</v>
      </c>
      <c r="Q11" s="4" t="n">
        <f aca="false">Assumptions!Q116</f>
        <v>20000</v>
      </c>
      <c r="R11" s="4" t="n">
        <f aca="false">Assumptions!R116</f>
        <v>20000</v>
      </c>
      <c r="S11" s="4" t="n">
        <f aca="false">Assumptions!S116</f>
        <v>15000</v>
      </c>
      <c r="T11" s="4" t="n">
        <f aca="false">Assumptions!T116</f>
        <v>0</v>
      </c>
      <c r="U11" s="4" t="n">
        <f aca="false">Assumptions!U116</f>
        <v>0</v>
      </c>
      <c r="V11" s="4" t="n">
        <f aca="false">Assumptions!V116</f>
        <v>0</v>
      </c>
      <c r="W11" s="4" t="n">
        <f aca="false">Assumptions!W116</f>
        <v>0</v>
      </c>
      <c r="X11" s="4" t="n">
        <f aca="false">Assumptions!X116</f>
        <v>0</v>
      </c>
      <c r="Y11" s="4" t="n">
        <f aca="false">Assumptions!Y116</f>
        <v>0</v>
      </c>
      <c r="Z11" s="4" t="n">
        <f aca="false">Assumptions!Z116</f>
        <v>0</v>
      </c>
      <c r="AA11" s="4" t="n">
        <f aca="false">Assumptions!AA116</f>
        <v>0</v>
      </c>
      <c r="AB11" s="4" t="n">
        <f aca="false">Assumptions!AB116</f>
        <v>0</v>
      </c>
      <c r="AC11" s="4" t="n">
        <f aca="false">Assumptions!AC116</f>
        <v>300000</v>
      </c>
      <c r="AD11" s="4" t="n">
        <f aca="false">Assumptions!AD116</f>
        <v>400000</v>
      </c>
      <c r="AE11" s="4" t="n">
        <f aca="false">Assumptions!AE116</f>
        <v>500000</v>
      </c>
      <c r="AG11" s="4" t="n">
        <f aca="false">SUMIF($C$3:$AE$3,AG$3,$C11:$AE11)</f>
        <v>50000</v>
      </c>
      <c r="AH11" s="4" t="n">
        <f aca="false">SUMIF($C$3:$AE$3,AH$3,$C11:$AE11)</f>
        <v>45000</v>
      </c>
      <c r="AI11" s="4" t="n">
        <f aca="false">SUMIF($C$3:$AE$3,AI$3,$C11:$AE11)</f>
        <v>55000</v>
      </c>
      <c r="AJ11" s="4" t="n">
        <f aca="false">SUMIF($C$3:$AE$3,AJ$3,$C11:$AE11)</f>
        <v>300000</v>
      </c>
      <c r="AK11" s="4" t="n">
        <f aca="false">SUMIF($C$3:$AE$3,AK$3,$C11:$AE11)</f>
        <v>400000</v>
      </c>
      <c r="AL11" s="4" t="n">
        <f aca="false">SUMIF($C$3:$AE$3,AL$3,$C11:$AE11)</f>
        <v>500000</v>
      </c>
    </row>
    <row r="12" customFormat="false" ht="15" hidden="false" customHeight="false" outlineLevel="0" collapsed="false">
      <c r="A12" s="0" t="s">
        <v>611</v>
      </c>
      <c r="B12" s="2"/>
      <c r="C12" s="4" t="n">
        <f aca="false">Assumptions!C117</f>
        <v>0</v>
      </c>
      <c r="D12" s="4" t="n">
        <f aca="false">Assumptions!D117</f>
        <v>30000</v>
      </c>
      <c r="E12" s="4" t="n">
        <f aca="false">Assumptions!E117</f>
        <v>30000</v>
      </c>
      <c r="F12" s="4" t="n">
        <f aca="false">Assumptions!F117</f>
        <v>20000</v>
      </c>
      <c r="G12" s="4" t="n">
        <f aca="false">Assumptions!G117</f>
        <v>0</v>
      </c>
      <c r="H12" s="4" t="n">
        <f aca="false">Assumptions!H117</f>
        <v>0</v>
      </c>
      <c r="I12" s="4" t="n">
        <f aca="false">Assumptions!I117</f>
        <v>0</v>
      </c>
      <c r="J12" s="4" t="n">
        <f aca="false">Assumptions!J117</f>
        <v>0</v>
      </c>
      <c r="K12" s="4" t="n">
        <f aca="false">Assumptions!K117</f>
        <v>80000</v>
      </c>
      <c r="L12" s="4" t="n">
        <f aca="false">Assumptions!L117</f>
        <v>60000</v>
      </c>
      <c r="M12" s="4" t="n">
        <f aca="false">Assumptions!M117</f>
        <v>140000</v>
      </c>
      <c r="N12" s="4" t="n">
        <f aca="false">Assumptions!N117</f>
        <v>120000</v>
      </c>
      <c r="O12" s="4" t="n">
        <f aca="false">Assumptions!O117</f>
        <v>60000</v>
      </c>
      <c r="P12" s="4" t="n">
        <f aca="false">Assumptions!P117</f>
        <v>0</v>
      </c>
      <c r="Q12" s="4" t="n">
        <f aca="false">Assumptions!Q117</f>
        <v>0</v>
      </c>
      <c r="R12" s="4" t="n">
        <f aca="false">Assumptions!R117</f>
        <v>0</v>
      </c>
      <c r="S12" s="4" t="n">
        <f aca="false">Assumptions!S117</f>
        <v>0</v>
      </c>
      <c r="T12" s="4" t="n">
        <f aca="false">Assumptions!T117</f>
        <v>0</v>
      </c>
      <c r="U12" s="4" t="n">
        <f aca="false">Assumptions!U117</f>
        <v>0</v>
      </c>
      <c r="V12" s="4" t="n">
        <f aca="false">Assumptions!V117</f>
        <v>0</v>
      </c>
      <c r="W12" s="4" t="n">
        <f aca="false">Assumptions!W117</f>
        <v>0</v>
      </c>
      <c r="X12" s="4" t="n">
        <f aca="false">Assumptions!X117</f>
        <v>0</v>
      </c>
      <c r="Y12" s="4" t="n">
        <f aca="false">Assumptions!Y117</f>
        <v>0</v>
      </c>
      <c r="Z12" s="4" t="n">
        <f aca="false">Assumptions!Z117</f>
        <v>0</v>
      </c>
      <c r="AA12" s="4" t="n">
        <f aca="false">Assumptions!AA117</f>
        <v>0</v>
      </c>
      <c r="AB12" s="4" t="n">
        <f aca="false">Assumptions!AB117</f>
        <v>0</v>
      </c>
      <c r="AC12" s="4" t="n">
        <f aca="false">Assumptions!AC117</f>
        <v>600000</v>
      </c>
      <c r="AD12" s="4" t="n">
        <f aca="false">Assumptions!AD117</f>
        <v>900000</v>
      </c>
      <c r="AE12" s="4" t="n">
        <f aca="false">Assumptions!AE117</f>
        <v>1200000</v>
      </c>
      <c r="AG12" s="4" t="n">
        <f aca="false">SUMIF($C$3:$AE$3,AG$3,$C12:$AE12)</f>
        <v>30000</v>
      </c>
      <c r="AH12" s="4" t="n">
        <f aca="false">SUMIF($C$3:$AE$3,AH$3,$C12:$AE12)</f>
        <v>510000</v>
      </c>
      <c r="AI12" s="4" t="n">
        <f aca="false">SUMIF($C$3:$AE$3,AI$3,$C12:$AE12)</f>
        <v>0</v>
      </c>
      <c r="AJ12" s="4" t="n">
        <f aca="false">SUMIF($C$3:$AE$3,AJ$3,$C12:$AE12)</f>
        <v>600000</v>
      </c>
      <c r="AK12" s="4" t="n">
        <f aca="false">SUMIF($C$3:$AE$3,AK$3,$C12:$AE12)</f>
        <v>900000</v>
      </c>
      <c r="AL12" s="4" t="n">
        <f aca="false">SUMIF($C$3:$AE$3,AL$3,$C12:$AE12)</f>
        <v>1200000</v>
      </c>
    </row>
    <row r="13" customFormat="false" ht="15" hidden="false" customHeight="false" outlineLevel="0" collapsed="false">
      <c r="A13" s="0" t="s">
        <v>612</v>
      </c>
      <c r="B13" s="2"/>
      <c r="C13" s="4" t="n">
        <f aca="false">Assumptions!C118</f>
        <v>0</v>
      </c>
      <c r="D13" s="4" t="n">
        <f aca="false">Assumptions!D118</f>
        <v>0</v>
      </c>
      <c r="E13" s="4" t="n">
        <f aca="false">Assumptions!E118</f>
        <v>0</v>
      </c>
      <c r="F13" s="4" t="n">
        <f aca="false">Assumptions!F118</f>
        <v>35000</v>
      </c>
      <c r="G13" s="4" t="n">
        <f aca="false">Assumptions!G118</f>
        <v>0</v>
      </c>
      <c r="H13" s="4" t="n">
        <f aca="false">Assumptions!H118</f>
        <v>0</v>
      </c>
      <c r="I13" s="4" t="n">
        <f aca="false">Assumptions!I118</f>
        <v>0</v>
      </c>
      <c r="J13" s="4" t="n">
        <f aca="false">Assumptions!J118</f>
        <v>0</v>
      </c>
      <c r="K13" s="4" t="n">
        <f aca="false">Assumptions!K118</f>
        <v>40000</v>
      </c>
      <c r="L13" s="4" t="n">
        <f aca="false">Assumptions!L118</f>
        <v>0</v>
      </c>
      <c r="M13" s="4" t="n">
        <f aca="false">Assumptions!M118</f>
        <v>60000</v>
      </c>
      <c r="N13" s="4" t="n">
        <f aca="false">Assumptions!N118</f>
        <v>0</v>
      </c>
      <c r="O13" s="4" t="n">
        <f aca="false">Assumptions!O118</f>
        <v>30000</v>
      </c>
      <c r="P13" s="4" t="n">
        <f aca="false">Assumptions!P118</f>
        <v>0</v>
      </c>
      <c r="Q13" s="4" t="n">
        <f aca="false">Assumptions!Q118</f>
        <v>0</v>
      </c>
      <c r="R13" s="4" t="n">
        <f aca="false">Assumptions!R118</f>
        <v>0</v>
      </c>
      <c r="S13" s="4" t="n">
        <f aca="false">Assumptions!S118</f>
        <v>0</v>
      </c>
      <c r="T13" s="4" t="n">
        <f aca="false">Assumptions!T118</f>
        <v>0</v>
      </c>
      <c r="U13" s="4" t="n">
        <f aca="false">Assumptions!U118</f>
        <v>30000</v>
      </c>
      <c r="V13" s="4" t="n">
        <f aca="false">Assumptions!V118</f>
        <v>0</v>
      </c>
      <c r="W13" s="4" t="n">
        <f aca="false">Assumptions!W118</f>
        <v>0</v>
      </c>
      <c r="X13" s="4" t="n">
        <f aca="false">Assumptions!X118</f>
        <v>0</v>
      </c>
      <c r="Y13" s="4" t="n">
        <f aca="false">Assumptions!Y118</f>
        <v>0</v>
      </c>
      <c r="Z13" s="4" t="n">
        <f aca="false">Assumptions!Z118</f>
        <v>0</v>
      </c>
      <c r="AA13" s="4" t="n">
        <f aca="false">Assumptions!AA118</f>
        <v>0</v>
      </c>
      <c r="AB13" s="4" t="n">
        <f aca="false">Assumptions!AB118</f>
        <v>0</v>
      </c>
      <c r="AC13" s="4" t="n">
        <f aca="false">Assumptions!AC118</f>
        <v>150000</v>
      </c>
      <c r="AD13" s="4" t="n">
        <f aca="false">Assumptions!AD118</f>
        <v>200000</v>
      </c>
      <c r="AE13" s="4" t="n">
        <f aca="false">Assumptions!AE118</f>
        <v>250000</v>
      </c>
      <c r="AG13" s="4" t="n">
        <f aca="false">SUMIF($C$3:$AE$3,AG$3,$C13:$AE13)</f>
        <v>0</v>
      </c>
      <c r="AH13" s="4" t="n">
        <f aca="false">SUMIF($C$3:$AE$3,AH$3,$C13:$AE13)</f>
        <v>165000</v>
      </c>
      <c r="AI13" s="4" t="n">
        <f aca="false">SUMIF($C$3:$AE$3,AI$3,$C13:$AE13)</f>
        <v>30000</v>
      </c>
      <c r="AJ13" s="4" t="n">
        <f aca="false">SUMIF($C$3:$AE$3,AJ$3,$C13:$AE13)</f>
        <v>150000</v>
      </c>
      <c r="AK13" s="4" t="n">
        <f aca="false">SUMIF($C$3:$AE$3,AK$3,$C13:$AE13)</f>
        <v>200000</v>
      </c>
      <c r="AL13" s="4" t="n">
        <f aca="false">SUMIF($C$3:$AE$3,AL$3,$C13:$AE13)</f>
        <v>250000</v>
      </c>
    </row>
    <row r="14" customFormat="false" ht="15" hidden="false" customHeight="false" outlineLevel="0" collapsed="false">
      <c r="A14" s="0" t="s">
        <v>613</v>
      </c>
      <c r="B14" s="2"/>
      <c r="C14" s="4" t="n">
        <f aca="false">Assumptions!C119</f>
        <v>0</v>
      </c>
      <c r="D14" s="4" t="n">
        <f aca="false">Assumptions!D119</f>
        <v>0</v>
      </c>
      <c r="E14" s="4" t="n">
        <f aca="false">Assumptions!E119</f>
        <v>0</v>
      </c>
      <c r="F14" s="4" t="n">
        <f aca="false">Assumptions!F119</f>
        <v>0</v>
      </c>
      <c r="G14" s="4" t="n">
        <f aca="false">Assumptions!G119</f>
        <v>0</v>
      </c>
      <c r="H14" s="4" t="n">
        <f aca="false">Assumptions!H119</f>
        <v>0</v>
      </c>
      <c r="I14" s="4" t="n">
        <f aca="false">Assumptions!I119</f>
        <v>0</v>
      </c>
      <c r="J14" s="4" t="n">
        <f aca="false">Assumptions!J119</f>
        <v>0</v>
      </c>
      <c r="K14" s="4" t="n">
        <f aca="false">Assumptions!K119</f>
        <v>0</v>
      </c>
      <c r="L14" s="4" t="n">
        <f aca="false">Assumptions!L119</f>
        <v>60000</v>
      </c>
      <c r="M14" s="4" t="n">
        <f aca="false">Assumptions!M119</f>
        <v>300000</v>
      </c>
      <c r="N14" s="4" t="n">
        <f aca="false">Assumptions!N119</f>
        <v>265000</v>
      </c>
      <c r="O14" s="4" t="n">
        <f aca="false">Assumptions!O119</f>
        <v>300000</v>
      </c>
      <c r="P14" s="4" t="n">
        <f aca="false">Assumptions!P119</f>
        <v>340000</v>
      </c>
      <c r="Q14" s="4" t="n">
        <f aca="false">Assumptions!Q119</f>
        <v>0</v>
      </c>
      <c r="R14" s="4" t="n">
        <f aca="false">Assumptions!R119</f>
        <v>0</v>
      </c>
      <c r="S14" s="4" t="n">
        <f aca="false">Assumptions!S119</f>
        <v>0</v>
      </c>
      <c r="T14" s="4" t="n">
        <f aca="false">Assumptions!T119</f>
        <v>0</v>
      </c>
      <c r="U14" s="4" t="n">
        <f aca="false">Assumptions!U119</f>
        <v>0</v>
      </c>
      <c r="V14" s="4" t="n">
        <f aca="false">Assumptions!V119</f>
        <v>0</v>
      </c>
      <c r="W14" s="4" t="n">
        <f aca="false">Assumptions!W119</f>
        <v>0</v>
      </c>
      <c r="X14" s="4" t="n">
        <f aca="false">Assumptions!X119</f>
        <v>0</v>
      </c>
      <c r="Y14" s="4" t="n">
        <f aca="false">Assumptions!Y119</f>
        <v>0</v>
      </c>
      <c r="Z14" s="4" t="n">
        <f aca="false">Assumptions!Z119</f>
        <v>0</v>
      </c>
      <c r="AA14" s="4" t="n">
        <f aca="false">Assumptions!AA119</f>
        <v>0</v>
      </c>
      <c r="AB14" s="4" t="n">
        <f aca="false">Assumptions!AB119</f>
        <v>0</v>
      </c>
      <c r="AC14" s="4" t="n">
        <f aca="false">Assumptions!AC119</f>
        <v>250000</v>
      </c>
      <c r="AD14" s="4" t="n">
        <f aca="false">Assumptions!AD119</f>
        <v>300000</v>
      </c>
      <c r="AE14" s="4" t="n">
        <f aca="false">Assumptions!AE119</f>
        <v>350000</v>
      </c>
      <c r="AG14" s="4" t="n">
        <f aca="false">SUMIF($C$3:$AE$3,AG$3,$C14:$AE14)</f>
        <v>0</v>
      </c>
      <c r="AH14" s="4" t="n">
        <f aca="false">SUMIF($C$3:$AE$3,AH$3,$C14:$AE14)</f>
        <v>1265000</v>
      </c>
      <c r="AI14" s="4" t="n">
        <f aca="false">SUMIF($C$3:$AE$3,AI$3,$C14:$AE14)</f>
        <v>0</v>
      </c>
      <c r="AJ14" s="4" t="n">
        <f aca="false">SUMIF($C$3:$AE$3,AJ$3,$C14:$AE14)</f>
        <v>250000</v>
      </c>
      <c r="AK14" s="4" t="n">
        <f aca="false">SUMIF($C$3:$AE$3,AK$3,$C14:$AE14)</f>
        <v>300000</v>
      </c>
      <c r="AL14" s="4" t="n">
        <f aca="false">SUMIF($C$3:$AE$3,AL$3,$C14:$AE14)</f>
        <v>350000</v>
      </c>
    </row>
    <row r="15" customFormat="false" ht="15" hidden="false" customHeight="false" outlineLevel="0" collapsed="false">
      <c r="A15" s="0" t="s">
        <v>614</v>
      </c>
      <c r="B15" s="2"/>
      <c r="C15" s="4" t="n">
        <f aca="false">Assumptions!C120</f>
        <v>8000</v>
      </c>
      <c r="D15" s="4" t="n">
        <f aca="false">Assumptions!D120</f>
        <v>8000</v>
      </c>
      <c r="E15" s="4" t="n">
        <f aca="false">Assumptions!E120</f>
        <v>8000</v>
      </c>
      <c r="F15" s="4" t="n">
        <f aca="false">Assumptions!F120</f>
        <v>8000</v>
      </c>
      <c r="G15" s="4" t="n">
        <f aca="false">Assumptions!G120</f>
        <v>8000</v>
      </c>
      <c r="H15" s="4" t="n">
        <f aca="false">Assumptions!H120</f>
        <v>0</v>
      </c>
      <c r="I15" s="4" t="n">
        <f aca="false">Assumptions!I120</f>
        <v>0</v>
      </c>
      <c r="J15" s="4" t="n">
        <f aca="false">Assumptions!J120</f>
        <v>0</v>
      </c>
      <c r="K15" s="4" t="n">
        <f aca="false">Assumptions!K120</f>
        <v>10000</v>
      </c>
      <c r="L15" s="4" t="n">
        <f aca="false">Assumptions!L120</f>
        <v>10000</v>
      </c>
      <c r="M15" s="4" t="n">
        <f aca="false">Assumptions!M120</f>
        <v>10000</v>
      </c>
      <c r="N15" s="4" t="n">
        <f aca="false">Assumptions!N120</f>
        <v>10000</v>
      </c>
      <c r="O15" s="4" t="n">
        <f aca="false">Assumptions!O120</f>
        <v>10000</v>
      </c>
      <c r="P15" s="4" t="n">
        <f aca="false">Assumptions!P120</f>
        <v>10000</v>
      </c>
      <c r="Q15" s="4" t="n">
        <f aca="false">Assumptions!Q120</f>
        <v>35000</v>
      </c>
      <c r="R15" s="4" t="n">
        <f aca="false">Assumptions!R120</f>
        <v>35000</v>
      </c>
      <c r="S15" s="4" t="n">
        <f aca="false">Assumptions!S120</f>
        <v>35000</v>
      </c>
      <c r="T15" s="4" t="n">
        <f aca="false">Assumptions!T120</f>
        <v>35000</v>
      </c>
      <c r="U15" s="4" t="n">
        <f aca="false">Assumptions!U120</f>
        <v>35000</v>
      </c>
      <c r="V15" s="4" t="n">
        <f aca="false">Assumptions!V120</f>
        <v>35000</v>
      </c>
      <c r="W15" s="4" t="n">
        <f aca="false">Assumptions!W120</f>
        <v>35000</v>
      </c>
      <c r="X15" s="4" t="n">
        <f aca="false">Assumptions!X120</f>
        <v>35000</v>
      </c>
      <c r="Y15" s="4" t="n">
        <f aca="false">Assumptions!Y120</f>
        <v>35000</v>
      </c>
      <c r="Z15" s="4" t="n">
        <f aca="false">Assumptions!Z120</f>
        <v>35000</v>
      </c>
      <c r="AA15" s="4" t="n">
        <f aca="false">Assumptions!AA120</f>
        <v>35000</v>
      </c>
      <c r="AB15" s="4" t="n">
        <f aca="false">Assumptions!AB120</f>
        <v>35000</v>
      </c>
      <c r="AC15" s="4" t="n">
        <f aca="false">Assumptions!AC120</f>
        <v>750000</v>
      </c>
      <c r="AD15" s="4" t="n">
        <f aca="false">Assumptions!AD120</f>
        <v>1000000</v>
      </c>
      <c r="AE15" s="4" t="n">
        <f aca="false">Assumptions!AE120</f>
        <v>1250000</v>
      </c>
      <c r="AG15" s="4" t="n">
        <f aca="false">SUMIF($C$3:$AE$3,AG$3,$C15:$AE15)</f>
        <v>16000</v>
      </c>
      <c r="AH15" s="4" t="n">
        <f aca="false">SUMIF($C$3:$AE$3,AH$3,$C15:$AE15)</f>
        <v>84000</v>
      </c>
      <c r="AI15" s="4" t="n">
        <f aca="false">SUMIF($C$3:$AE$3,AI$3,$C15:$AE15)</f>
        <v>420000</v>
      </c>
      <c r="AJ15" s="4" t="n">
        <f aca="false">SUMIF($C$3:$AE$3,AJ$3,$C15:$AE15)</f>
        <v>750000</v>
      </c>
      <c r="AK15" s="4" t="n">
        <f aca="false">SUMIF($C$3:$AE$3,AK$3,$C15:$AE15)</f>
        <v>1000000</v>
      </c>
      <c r="AL15" s="4" t="n">
        <f aca="false">SUMIF($C$3:$AE$3,AL$3,$C15:$AE15)</f>
        <v>1250000</v>
      </c>
    </row>
    <row r="16" customFormat="false" ht="15" hidden="false" customHeight="false" outlineLevel="0" collapsed="false">
      <c r="A16" s="0" t="s">
        <v>615</v>
      </c>
      <c r="B16" s="2"/>
      <c r="C16" s="4" t="n">
        <f aca="false">Assumptions!C121</f>
        <v>3000</v>
      </c>
      <c r="D16" s="4" t="n">
        <f aca="false">Assumptions!D121</f>
        <v>3000</v>
      </c>
      <c r="E16" s="4" t="n">
        <f aca="false">Assumptions!E121</f>
        <v>5000</v>
      </c>
      <c r="F16" s="4" t="n">
        <f aca="false">Assumptions!F121</f>
        <v>5000</v>
      </c>
      <c r="G16" s="4" t="n">
        <f aca="false">Assumptions!G121</f>
        <v>5000</v>
      </c>
      <c r="H16" s="4" t="n">
        <f aca="false">Assumptions!H121</f>
        <v>5000</v>
      </c>
      <c r="I16" s="4" t="n">
        <f aca="false">Assumptions!I121</f>
        <v>5000</v>
      </c>
      <c r="J16" s="4" t="n">
        <f aca="false">Assumptions!J121</f>
        <v>5000</v>
      </c>
      <c r="K16" s="4" t="n">
        <f aca="false">Assumptions!K121</f>
        <v>5000</v>
      </c>
      <c r="L16" s="4" t="n">
        <f aca="false">Assumptions!L121</f>
        <v>5000</v>
      </c>
      <c r="M16" s="4" t="n">
        <f aca="false">Assumptions!M121</f>
        <v>5000</v>
      </c>
      <c r="N16" s="4" t="n">
        <f aca="false">Assumptions!N121</f>
        <v>5000</v>
      </c>
      <c r="O16" s="4" t="n">
        <f aca="false">Assumptions!O121</f>
        <v>5000</v>
      </c>
      <c r="P16" s="4" t="n">
        <f aca="false">Assumptions!P121</f>
        <v>5000</v>
      </c>
      <c r="Q16" s="4" t="n">
        <f aca="false">Assumptions!Q121</f>
        <v>12000</v>
      </c>
      <c r="R16" s="4" t="n">
        <f aca="false">Assumptions!R121</f>
        <v>12000</v>
      </c>
      <c r="S16" s="4" t="n">
        <f aca="false">Assumptions!S121</f>
        <v>12000</v>
      </c>
      <c r="T16" s="4" t="n">
        <f aca="false">Assumptions!T121</f>
        <v>12000</v>
      </c>
      <c r="U16" s="4" t="n">
        <f aca="false">Assumptions!U121</f>
        <v>12000</v>
      </c>
      <c r="V16" s="4" t="n">
        <f aca="false">Assumptions!V121</f>
        <v>12000</v>
      </c>
      <c r="W16" s="4" t="n">
        <f aca="false">Assumptions!W121</f>
        <v>12000</v>
      </c>
      <c r="X16" s="4" t="n">
        <f aca="false">Assumptions!X121</f>
        <v>12000</v>
      </c>
      <c r="Y16" s="4" t="n">
        <f aca="false">Assumptions!Y121</f>
        <v>12000</v>
      </c>
      <c r="Z16" s="4" t="n">
        <f aca="false">Assumptions!Z121</f>
        <v>12000</v>
      </c>
      <c r="AA16" s="4" t="n">
        <f aca="false">Assumptions!AA121</f>
        <v>12000</v>
      </c>
      <c r="AB16" s="4" t="n">
        <f aca="false">Assumptions!AB121</f>
        <v>12000</v>
      </c>
      <c r="AC16" s="4" t="n">
        <f aca="false">Assumptions!AC121</f>
        <v>250000</v>
      </c>
      <c r="AD16" s="4" t="n">
        <f aca="false">Assumptions!AD121</f>
        <v>400000</v>
      </c>
      <c r="AE16" s="4" t="n">
        <f aca="false">Assumptions!AE121</f>
        <v>600000</v>
      </c>
      <c r="AG16" s="4" t="n">
        <f aca="false">SUMIF($C$3:$AE$3,AG$3,$C16:$AE16)</f>
        <v>6000</v>
      </c>
      <c r="AH16" s="4" t="n">
        <f aca="false">SUMIF($C$3:$AE$3,AH$3,$C16:$AE16)</f>
        <v>60000</v>
      </c>
      <c r="AI16" s="4" t="n">
        <f aca="false">SUMIF($C$3:$AE$3,AI$3,$C16:$AE16)</f>
        <v>144000</v>
      </c>
      <c r="AJ16" s="4" t="n">
        <f aca="false">SUMIF($C$3:$AE$3,AJ$3,$C16:$AE16)</f>
        <v>250000</v>
      </c>
      <c r="AK16" s="4" t="n">
        <f aca="false">SUMIF($C$3:$AE$3,AK$3,$C16:$AE16)</f>
        <v>400000</v>
      </c>
      <c r="AL16" s="4" t="n">
        <f aca="false">SUMIF($C$3:$AE$3,AL$3,$C16:$AE16)</f>
        <v>600000</v>
      </c>
    </row>
    <row r="17" customFormat="false" ht="15" hidden="false" customHeight="false" outlineLevel="0" collapsed="false">
      <c r="A17" s="13" t="s">
        <v>616</v>
      </c>
      <c r="B17" s="2"/>
      <c r="C17" s="29" t="n">
        <f aca="false">OpEx!C10+OpEx!C11+OpEx!C12+OpEx!C13+OpEx!C14+OpEx!C15+OpEx!C16</f>
        <v>51625</v>
      </c>
      <c r="D17" s="29" t="n">
        <f aca="false">OpEx!D10+OpEx!D11+OpEx!D12+OpEx!D13+OpEx!D14+OpEx!D15+OpEx!D16</f>
        <v>98291.6666666667</v>
      </c>
      <c r="E17" s="29" t="n">
        <f aca="false">OpEx!E10+OpEx!E11+OpEx!E12+OpEx!E13+OpEx!E14+OpEx!E15+OpEx!E16</f>
        <v>127062.5</v>
      </c>
      <c r="F17" s="29" t="n">
        <f aca="false">OpEx!F10+OpEx!F11+OpEx!F12+OpEx!F13+OpEx!F14+OpEx!F15+OpEx!F16</f>
        <v>147062.5</v>
      </c>
      <c r="G17" s="29" t="n">
        <f aca="false">OpEx!G10+OpEx!G11+OpEx!G12+OpEx!G13+OpEx!G14+OpEx!G15+OpEx!G16</f>
        <v>94875</v>
      </c>
      <c r="H17" s="29" t="n">
        <f aca="false">OpEx!H10+OpEx!H11+OpEx!H12+OpEx!H13+OpEx!H14+OpEx!H15+OpEx!H16</f>
        <v>76875</v>
      </c>
      <c r="I17" s="29" t="n">
        <f aca="false">OpEx!I10+OpEx!I11+OpEx!I12+OpEx!I13+OpEx!I14+OpEx!I15+OpEx!I16</f>
        <v>76875</v>
      </c>
      <c r="J17" s="29" t="n">
        <f aca="false">OpEx!J10+OpEx!J11+OpEx!J12+OpEx!J13+OpEx!J14+OpEx!J15+OpEx!J16</f>
        <v>76875</v>
      </c>
      <c r="K17" s="29" t="n">
        <f aca="false">OpEx!K10+OpEx!K11+OpEx!K12+OpEx!K13+OpEx!K14+OpEx!K15+OpEx!K16</f>
        <v>206875</v>
      </c>
      <c r="L17" s="29" t="n">
        <f aca="false">OpEx!L10+OpEx!L11+OpEx!L12+OpEx!L13+OpEx!L14+OpEx!L15+OpEx!L16</f>
        <v>221458.333333333</v>
      </c>
      <c r="M17" s="29" t="n">
        <f aca="false">OpEx!M10+OpEx!M11+OpEx!M12+OpEx!M13+OpEx!M14+OpEx!M15+OpEx!M16</f>
        <v>631145.833333333</v>
      </c>
      <c r="N17" s="29" t="n">
        <f aca="false">OpEx!N10+OpEx!N11+OpEx!N12+OpEx!N13+OpEx!N14+OpEx!N15+OpEx!N16</f>
        <v>516145.833333333</v>
      </c>
      <c r="O17" s="29" t="n">
        <f aca="false">OpEx!O10+OpEx!O11+OpEx!O12+OpEx!O13+OpEx!O14+OpEx!O15+OpEx!O16</f>
        <v>521145.833333333</v>
      </c>
      <c r="P17" s="29" t="n">
        <f aca="false">OpEx!P10+OpEx!P11+OpEx!P12+OpEx!P13+OpEx!P14+OpEx!P15+OpEx!P16</f>
        <v>471145.833333333</v>
      </c>
      <c r="Q17" s="29" t="n">
        <f aca="false">OpEx!Q10+OpEx!Q11+OpEx!Q12+OpEx!Q13+OpEx!Q14+OpEx!Q15+OpEx!Q16</f>
        <v>217744.791666667</v>
      </c>
      <c r="R17" s="29" t="n">
        <f aca="false">OpEx!R10+OpEx!R11+OpEx!R12+OpEx!R13+OpEx!R14+OpEx!R15+OpEx!R16</f>
        <v>232765.625</v>
      </c>
      <c r="S17" s="29" t="n">
        <f aca="false">OpEx!S10+OpEx!S11+OpEx!S12+OpEx!S13+OpEx!S14+OpEx!S15+OpEx!S16</f>
        <v>227765.625</v>
      </c>
      <c r="T17" s="29" t="n">
        <f aca="false">OpEx!T10+OpEx!T11+OpEx!T12+OpEx!T13+OpEx!T14+OpEx!T15+OpEx!T16</f>
        <v>225104.166666667</v>
      </c>
      <c r="U17" s="29" t="n">
        <f aca="false">OpEx!U10+OpEx!U11+OpEx!U12+OpEx!U13+OpEx!U14+OpEx!U15+OpEx!U16</f>
        <v>255104.166666667</v>
      </c>
      <c r="V17" s="29" t="n">
        <f aca="false">OpEx!V10+OpEx!V11+OpEx!V12+OpEx!V13+OpEx!V14+OpEx!V15+OpEx!V16</f>
        <v>242807.291666667</v>
      </c>
      <c r="W17" s="29" t="n">
        <f aca="false">OpEx!W10+OpEx!W11+OpEx!W12+OpEx!W13+OpEx!W14+OpEx!W15+OpEx!W16</f>
        <v>242807.291666667</v>
      </c>
      <c r="X17" s="29" t="n">
        <f aca="false">OpEx!X10+OpEx!X11+OpEx!X12+OpEx!X13+OpEx!X14+OpEx!X15+OpEx!X16</f>
        <v>242807.291666667</v>
      </c>
      <c r="Y17" s="29" t="n">
        <f aca="false">OpEx!Y10+OpEx!Y11+OpEx!Y12+OpEx!Y13+OpEx!Y14+OpEx!Y15+OpEx!Y16</f>
        <v>242807.291666667</v>
      </c>
      <c r="Z17" s="29" t="n">
        <f aca="false">OpEx!Z10+OpEx!Z11+OpEx!Z12+OpEx!Z13+OpEx!Z14+OpEx!Z15+OpEx!Z16</f>
        <v>242807.291666667</v>
      </c>
      <c r="AA17" s="29" t="n">
        <f aca="false">OpEx!AA10+OpEx!AA11+OpEx!AA12+OpEx!AA13+OpEx!AA14+OpEx!AA15+OpEx!AA16</f>
        <v>265338.541666667</v>
      </c>
      <c r="AB17" s="29" t="n">
        <f aca="false">OpEx!AB10+OpEx!AB11+OpEx!AB12+OpEx!AB13+OpEx!AB14+OpEx!AB15+OpEx!AB16</f>
        <v>265338.541666667</v>
      </c>
      <c r="AC17" s="29" t="n">
        <f aca="false">OpEx!AC10+OpEx!AC11+OpEx!AC12+OpEx!AC13+OpEx!AC14+OpEx!AC15+OpEx!AC16</f>
        <v>6687263.54166667</v>
      </c>
      <c r="AD17" s="29" t="n">
        <f aca="false">OpEx!AD10+OpEx!AD11+OpEx!AD12+OpEx!AD13+OpEx!AD14+OpEx!AD15+OpEx!AD16</f>
        <v>10229421.7304167</v>
      </c>
      <c r="AE17" s="29" t="n">
        <f aca="false">OpEx!AE10+OpEx!AE11+OpEx!AE12+OpEx!AE13+OpEx!AE14+OpEx!AE15+OpEx!AE16</f>
        <v>13770286.553475</v>
      </c>
      <c r="AG17" s="29" t="n">
        <f aca="false">SUMIF($C$3:$AE$3,AG$3,$C17:$AE17)</f>
        <v>149916.666666667</v>
      </c>
      <c r="AH17" s="29" t="n">
        <f aca="false">SUMIF($C$3:$AE$3,AH$3,$C17:$AE17)</f>
        <v>3167541.66666667</v>
      </c>
      <c r="AI17" s="29" t="n">
        <f aca="false">SUMIF($C$3:$AE$3,AI$3,$C17:$AE17)</f>
        <v>2903197.91666667</v>
      </c>
      <c r="AJ17" s="29" t="n">
        <f aca="false">SUMIF($C$3:$AE$3,AJ$3,$C17:$AE17)</f>
        <v>6687263.54166667</v>
      </c>
      <c r="AK17" s="29" t="n">
        <f aca="false">SUMIF($C$3:$AE$3,AK$3,$C17:$AE17)</f>
        <v>10229421.7304167</v>
      </c>
      <c r="AL17" s="29" t="n">
        <f aca="false">SUMIF($C$3:$AE$3,AL$3,$C17:$AE17)</f>
        <v>13770286.553475</v>
      </c>
    </row>
    <row r="19" customFormat="false" ht="15" hidden="false" customHeight="false" outlineLevel="0" collapsed="false">
      <c r="A19" s="8" t="s">
        <v>287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customFormat="false" ht="15" hidden="false" customHeight="false" outlineLevel="0" collapsed="false">
      <c r="A20" s="0" t="s">
        <v>617</v>
      </c>
      <c r="B20" s="2"/>
      <c r="C20" s="4" t="n">
        <f aca="false">'Headcount Plan'!C106</f>
        <v>0</v>
      </c>
      <c r="D20" s="4" t="n">
        <f aca="false">'Headcount Plan'!D106</f>
        <v>0</v>
      </c>
      <c r="E20" s="4" t="n">
        <f aca="false">'Headcount Plan'!E106</f>
        <v>0</v>
      </c>
      <c r="F20" s="4" t="n">
        <f aca="false">'Headcount Plan'!F106</f>
        <v>9895.83333333333</v>
      </c>
      <c r="G20" s="4" t="n">
        <f aca="false">'Headcount Plan'!G106</f>
        <v>9895.83333333333</v>
      </c>
      <c r="H20" s="4" t="n">
        <f aca="false">'Headcount Plan'!H106</f>
        <v>9895.83333333333</v>
      </c>
      <c r="I20" s="4" t="n">
        <f aca="false">'Headcount Plan'!I106</f>
        <v>9895.83333333333</v>
      </c>
      <c r="J20" s="4" t="n">
        <f aca="false">'Headcount Plan'!J106</f>
        <v>9895.83333333333</v>
      </c>
      <c r="K20" s="4" t="n">
        <f aca="false">'Headcount Plan'!K106</f>
        <v>9895.83333333333</v>
      </c>
      <c r="L20" s="4" t="n">
        <f aca="false">'Headcount Plan'!L106</f>
        <v>9895.83333333333</v>
      </c>
      <c r="M20" s="4" t="n">
        <f aca="false">'Headcount Plan'!M106</f>
        <v>9895.83333333333</v>
      </c>
      <c r="N20" s="4" t="n">
        <f aca="false">'Headcount Plan'!N106</f>
        <v>22395.8333333333</v>
      </c>
      <c r="O20" s="4" t="n">
        <f aca="false">'Headcount Plan'!O106</f>
        <v>22395.8333333333</v>
      </c>
      <c r="P20" s="4" t="n">
        <f aca="false">'Headcount Plan'!P106</f>
        <v>22395.8333333333</v>
      </c>
      <c r="Q20" s="4" t="n">
        <f aca="false">'Headcount Plan'!Q106</f>
        <v>23067.7083333333</v>
      </c>
      <c r="R20" s="4" t="n">
        <f aca="false">'Headcount Plan'!R106</f>
        <v>23067.7083333333</v>
      </c>
      <c r="S20" s="4" t="n">
        <f aca="false">'Headcount Plan'!S106</f>
        <v>35942.7083333333</v>
      </c>
      <c r="T20" s="4" t="n">
        <f aca="false">'Headcount Plan'!T106</f>
        <v>47744.7916666667</v>
      </c>
      <c r="U20" s="4" t="n">
        <f aca="false">'Headcount Plan'!U106</f>
        <v>47744.7916666667</v>
      </c>
      <c r="V20" s="4" t="n">
        <f aca="false">'Headcount Plan'!V106</f>
        <v>58473.9583333333</v>
      </c>
      <c r="W20" s="4" t="n">
        <f aca="false">'Headcount Plan'!W106</f>
        <v>58473.9583333333</v>
      </c>
      <c r="X20" s="4" t="n">
        <f aca="false">'Headcount Plan'!X106</f>
        <v>58473.9583333333</v>
      </c>
      <c r="Y20" s="4" t="n">
        <f aca="false">'Headcount Plan'!Y106</f>
        <v>58473.9583333333</v>
      </c>
      <c r="Z20" s="4" t="n">
        <f aca="false">'Headcount Plan'!Z106</f>
        <v>58473.9583333333</v>
      </c>
      <c r="AA20" s="4" t="n">
        <f aca="false">'Headcount Plan'!AA106</f>
        <v>58473.9583333333</v>
      </c>
      <c r="AB20" s="4" t="n">
        <f aca="false">'Headcount Plan'!AB106</f>
        <v>58473.9583333333</v>
      </c>
      <c r="AC20" s="4" t="n">
        <f aca="false">'Headcount Plan'!AC106</f>
        <v>1512887.60416667</v>
      </c>
      <c r="AD20" s="4" t="n">
        <f aca="false">'Headcount Plan'!AD106</f>
        <v>2554249.3625</v>
      </c>
      <c r="AE20" s="4" t="n">
        <f aca="false">'Headcount Plan'!AE106</f>
        <v>3636800.3423125</v>
      </c>
      <c r="AG20" s="4" t="n">
        <f aca="false">SUMIF($C$3:$AE$3,AG$3,$C20:$AE20)</f>
        <v>0</v>
      </c>
      <c r="AH20" s="4" t="n">
        <f aca="false">SUMIF($C$3:$AE$3,AH$3,$C20:$AE20)</f>
        <v>146354.166666667</v>
      </c>
      <c r="AI20" s="4" t="n">
        <f aca="false">SUMIF($C$3:$AE$3,AI$3,$C20:$AE20)</f>
        <v>586885.416666667</v>
      </c>
      <c r="AJ20" s="4" t="n">
        <f aca="false">SUMIF($C$3:$AE$3,AJ$3,$C20:$AE20)</f>
        <v>1512887.60416667</v>
      </c>
      <c r="AK20" s="4" t="n">
        <f aca="false">SUMIF($C$3:$AE$3,AK$3,$C20:$AE20)</f>
        <v>2554249.3625</v>
      </c>
      <c r="AL20" s="4" t="n">
        <f aca="false">SUMIF($C$3:$AE$3,AL$3,$C20:$AE20)</f>
        <v>3636800.3423125</v>
      </c>
    </row>
    <row r="21" customFormat="false" ht="15" hidden="false" customHeight="false" outlineLevel="0" collapsed="false">
      <c r="A21" s="0" t="s">
        <v>618</v>
      </c>
      <c r="B21" s="2"/>
      <c r="C21" s="4" t="n">
        <f aca="false">'Pricing &amp; Mix'!C43*Assumptions!C113*sc_cac</f>
        <v>0</v>
      </c>
      <c r="D21" s="4" t="n">
        <f aca="false">'Pricing &amp; Mix'!D43*Assumptions!D113*sc_cac</f>
        <v>0</v>
      </c>
      <c r="E21" s="4" t="n">
        <f aca="false">'Pricing &amp; Mix'!E43*Assumptions!E113*sc_cac</f>
        <v>0</v>
      </c>
      <c r="F21" s="4" t="n">
        <f aca="false">'Pricing &amp; Mix'!F43*Assumptions!F113*sc_cac</f>
        <v>0</v>
      </c>
      <c r="G21" s="4" t="n">
        <f aca="false">'Pricing &amp; Mix'!G43*Assumptions!G113*sc_cac</f>
        <v>0</v>
      </c>
      <c r="H21" s="4" t="n">
        <f aca="false">'Pricing &amp; Mix'!H43*Assumptions!H113*sc_cac</f>
        <v>0</v>
      </c>
      <c r="I21" s="4" t="n">
        <f aca="false">'Pricing &amp; Mix'!I43*Assumptions!I113*sc_cac</f>
        <v>0</v>
      </c>
      <c r="J21" s="4" t="n">
        <f aca="false">'Pricing &amp; Mix'!J43*Assumptions!J113*sc_cac</f>
        <v>0</v>
      </c>
      <c r="K21" s="4" t="n">
        <f aca="false">'Pricing &amp; Mix'!K43*Assumptions!K113*sc_cac</f>
        <v>0</v>
      </c>
      <c r="L21" s="4" t="n">
        <f aca="false">'Pricing &amp; Mix'!L43*Assumptions!L113*sc_cac</f>
        <v>0</v>
      </c>
      <c r="M21" s="4" t="n">
        <f aca="false">'Pricing &amp; Mix'!M43*Assumptions!M113*sc_cac</f>
        <v>0</v>
      </c>
      <c r="N21" s="4" t="n">
        <f aca="false">'Pricing &amp; Mix'!N43*Assumptions!N113*sc_cac</f>
        <v>0</v>
      </c>
      <c r="O21" s="4" t="n">
        <f aca="false">'Pricing &amp; Mix'!O43*Assumptions!O113*sc_cac</f>
        <v>0</v>
      </c>
      <c r="P21" s="4" t="n">
        <f aca="false">'Pricing &amp; Mix'!P43*Assumptions!P113*sc_cac</f>
        <v>0</v>
      </c>
      <c r="Q21" s="4" t="n">
        <f aca="false">'Pricing &amp; Mix'!Q43*Assumptions!Q113*sc_cac</f>
        <v>67500</v>
      </c>
      <c r="R21" s="4" t="n">
        <f aca="false">'Pricing &amp; Mix'!R43*Assumptions!R113*sc_cac</f>
        <v>72900</v>
      </c>
      <c r="S21" s="4" t="n">
        <f aca="false">'Pricing &amp; Mix'!S43*Assumptions!S113*sc_cac</f>
        <v>89100</v>
      </c>
      <c r="T21" s="4" t="n">
        <f aca="false">'Pricing &amp; Mix'!T43*Assumptions!T113*sc_cac</f>
        <v>110700</v>
      </c>
      <c r="U21" s="4" t="n">
        <f aca="false">'Pricing &amp; Mix'!U43*Assumptions!U113*sc_cac</f>
        <v>132300</v>
      </c>
      <c r="V21" s="4" t="n">
        <f aca="false">'Pricing &amp; Mix'!V43*Assumptions!V113*sc_cac</f>
        <v>153900</v>
      </c>
      <c r="W21" s="4" t="n">
        <f aca="false">'Pricing &amp; Mix'!W43*Assumptions!W113*sc_cac</f>
        <v>150750</v>
      </c>
      <c r="X21" s="4" t="n">
        <f aca="false">'Pricing &amp; Mix'!X43*Assumptions!X113*sc_cac</f>
        <v>155250</v>
      </c>
      <c r="Y21" s="4" t="n">
        <f aca="false">'Pricing &amp; Mix'!Y43*Assumptions!Y113*sc_cac</f>
        <v>146250</v>
      </c>
      <c r="Z21" s="4" t="n">
        <f aca="false">'Pricing &amp; Mix'!Z43*Assumptions!Z113*sc_cac</f>
        <v>164250</v>
      </c>
      <c r="AA21" s="4" t="n">
        <f aca="false">'Pricing &amp; Mix'!AA43*Assumptions!AA113*sc_cac</f>
        <v>236250</v>
      </c>
      <c r="AB21" s="4" t="n">
        <f aca="false">'Pricing &amp; Mix'!AB43*Assumptions!AB113*sc_cac</f>
        <v>333000</v>
      </c>
      <c r="AC21" s="4" t="n">
        <f aca="false">'Pricing &amp; Mix'!AC43*Assumptions!AC113*sc_cac</f>
        <v>5460000</v>
      </c>
      <c r="AD21" s="4" t="n">
        <f aca="false">'Pricing &amp; Mix'!AD43*Assumptions!AD113*sc_cac</f>
        <v>10075000</v>
      </c>
      <c r="AE21" s="4" t="n">
        <f aca="false">'Pricing &amp; Mix'!AE43*Assumptions!AE113*sc_cac</f>
        <v>15600000</v>
      </c>
      <c r="AG21" s="4" t="n">
        <f aca="false">SUMIF($C$3:$AE$3,AG$3,$C21:$AE21)</f>
        <v>0</v>
      </c>
      <c r="AH21" s="4" t="n">
        <f aca="false">SUMIF($C$3:$AE$3,AH$3,$C21:$AE21)</f>
        <v>0</v>
      </c>
      <c r="AI21" s="4" t="n">
        <f aca="false">SUMIF($C$3:$AE$3,AI$3,$C21:$AE21)</f>
        <v>1812150</v>
      </c>
      <c r="AJ21" s="4" t="n">
        <f aca="false">SUMIF($C$3:$AE$3,AJ$3,$C21:$AE21)</f>
        <v>5460000</v>
      </c>
      <c r="AK21" s="4" t="n">
        <f aca="false">SUMIF($C$3:$AE$3,AK$3,$C21:$AE21)</f>
        <v>10075000</v>
      </c>
      <c r="AL21" s="4" t="n">
        <f aca="false">SUMIF($C$3:$AE$3,AL$3,$C21:$AE21)</f>
        <v>15600000</v>
      </c>
    </row>
    <row r="22" customFormat="false" ht="15" hidden="false" customHeight="false" outlineLevel="0" collapsed="false">
      <c r="A22" s="0" t="s">
        <v>325</v>
      </c>
      <c r="B22" s="2"/>
      <c r="C22" s="4" t="n">
        <f aca="false">Assumptions!C114</f>
        <v>0</v>
      </c>
      <c r="D22" s="4" t="n">
        <f aca="false">Assumptions!D114</f>
        <v>0</v>
      </c>
      <c r="E22" s="4" t="n">
        <f aca="false">Assumptions!E114</f>
        <v>10000</v>
      </c>
      <c r="F22" s="4" t="n">
        <f aca="false">Assumptions!F114</f>
        <v>20000</v>
      </c>
      <c r="G22" s="4" t="n">
        <f aca="false">Assumptions!G114</f>
        <v>40000</v>
      </c>
      <c r="H22" s="4" t="n">
        <f aca="false">Assumptions!H114</f>
        <v>60000</v>
      </c>
      <c r="I22" s="4" t="n">
        <f aca="false">Assumptions!I114</f>
        <v>70000</v>
      </c>
      <c r="J22" s="4" t="n">
        <f aca="false">Assumptions!J114</f>
        <v>15000</v>
      </c>
      <c r="K22" s="4" t="n">
        <f aca="false">Assumptions!K114</f>
        <v>0</v>
      </c>
      <c r="L22" s="4" t="n">
        <f aca="false">Assumptions!L114</f>
        <v>0</v>
      </c>
      <c r="M22" s="4" t="n">
        <f aca="false">Assumptions!M114</f>
        <v>0</v>
      </c>
      <c r="N22" s="4" t="n">
        <f aca="false">Assumptions!N114</f>
        <v>0</v>
      </c>
      <c r="O22" s="4" t="n">
        <f aca="false">Assumptions!O114</f>
        <v>0</v>
      </c>
      <c r="P22" s="4" t="n">
        <f aca="false">Assumptions!P114</f>
        <v>0</v>
      </c>
      <c r="Q22" s="4" t="n">
        <f aca="false">Assumptions!Q114</f>
        <v>0</v>
      </c>
      <c r="R22" s="4" t="n">
        <f aca="false">Assumptions!R114</f>
        <v>0</v>
      </c>
      <c r="S22" s="4" t="n">
        <f aca="false">Assumptions!S114</f>
        <v>0</v>
      </c>
      <c r="T22" s="4" t="n">
        <f aca="false">Assumptions!T114</f>
        <v>0</v>
      </c>
      <c r="U22" s="4" t="n">
        <f aca="false">Assumptions!U114</f>
        <v>0</v>
      </c>
      <c r="V22" s="4" t="n">
        <f aca="false">Assumptions!V114</f>
        <v>0</v>
      </c>
      <c r="W22" s="4" t="n">
        <f aca="false">Assumptions!W114</f>
        <v>0</v>
      </c>
      <c r="X22" s="4" t="n">
        <f aca="false">Assumptions!X114</f>
        <v>0</v>
      </c>
      <c r="Y22" s="4" t="n">
        <f aca="false">Assumptions!Y114</f>
        <v>0</v>
      </c>
      <c r="Z22" s="4" t="n">
        <f aca="false">Assumptions!Z114</f>
        <v>0</v>
      </c>
      <c r="AA22" s="4" t="n">
        <f aca="false">Assumptions!AA114</f>
        <v>0</v>
      </c>
      <c r="AB22" s="4" t="n">
        <f aca="false">Assumptions!AB114</f>
        <v>0</v>
      </c>
      <c r="AC22" s="4" t="n">
        <f aca="false">Assumptions!AC114</f>
        <v>0</v>
      </c>
      <c r="AD22" s="4" t="n">
        <f aca="false">Assumptions!AD114</f>
        <v>0</v>
      </c>
      <c r="AE22" s="4" t="n">
        <f aca="false">Assumptions!AE114</f>
        <v>0</v>
      </c>
      <c r="AG22" s="4" t="n">
        <f aca="false">SUMIF($C$3:$AE$3,AG$3,$C22:$AE22)</f>
        <v>0</v>
      </c>
      <c r="AH22" s="4" t="n">
        <f aca="false">SUMIF($C$3:$AE$3,AH$3,$C22:$AE22)</f>
        <v>215000</v>
      </c>
      <c r="AI22" s="4" t="n">
        <f aca="false">SUMIF($C$3:$AE$3,AI$3,$C22:$AE22)</f>
        <v>0</v>
      </c>
      <c r="AJ22" s="4" t="n">
        <f aca="false">SUMIF($C$3:$AE$3,AJ$3,$C22:$AE22)</f>
        <v>0</v>
      </c>
      <c r="AK22" s="4" t="n">
        <f aca="false">SUMIF($C$3:$AE$3,AK$3,$C22:$AE22)</f>
        <v>0</v>
      </c>
      <c r="AL22" s="4" t="n">
        <f aca="false">SUMIF($C$3:$AE$3,AL$3,$C22:$AE22)</f>
        <v>0</v>
      </c>
    </row>
    <row r="23" customFormat="false" ht="15" hidden="false" customHeight="false" outlineLevel="0" collapsed="false">
      <c r="A23" s="0" t="s">
        <v>619</v>
      </c>
      <c r="B23" s="2"/>
      <c r="C23" s="4" t="n">
        <f aca="false">'Working Capital'!C21</f>
        <v>0</v>
      </c>
      <c r="D23" s="4" t="n">
        <f aca="false">'Working Capital'!D21</f>
        <v>0</v>
      </c>
      <c r="E23" s="4" t="n">
        <f aca="false">'Working Capital'!E21</f>
        <v>0</v>
      </c>
      <c r="F23" s="4" t="n">
        <f aca="false">'Working Capital'!F21</f>
        <v>0</v>
      </c>
      <c r="G23" s="4" t="n">
        <f aca="false">'Working Capital'!G21</f>
        <v>0</v>
      </c>
      <c r="H23" s="4" t="n">
        <f aca="false">'Working Capital'!H21</f>
        <v>0</v>
      </c>
      <c r="I23" s="4" t="n">
        <f aca="false">'Working Capital'!I21</f>
        <v>0</v>
      </c>
      <c r="J23" s="4" t="n">
        <f aca="false">'Working Capital'!J21</f>
        <v>68849.2521739131</v>
      </c>
      <c r="K23" s="4" t="n">
        <f aca="false">'Working Capital'!K21</f>
        <v>4303.07826086957</v>
      </c>
      <c r="L23" s="4" t="n">
        <f aca="false">'Working Capital'!L21</f>
        <v>4303.07826086957</v>
      </c>
      <c r="M23" s="4" t="n">
        <f aca="false">'Working Capital'!M21</f>
        <v>4303.07826086957</v>
      </c>
      <c r="N23" s="4" t="n">
        <f aca="false">'Working Capital'!N21</f>
        <v>4303.07826086957</v>
      </c>
      <c r="O23" s="4" t="n">
        <f aca="false">'Working Capital'!O21</f>
        <v>0</v>
      </c>
      <c r="P23" s="4" t="n">
        <f aca="false">'Working Capital'!P21</f>
        <v>0</v>
      </c>
      <c r="Q23" s="4" t="n">
        <f aca="false">'Working Capital'!Q21</f>
        <v>0</v>
      </c>
      <c r="R23" s="4" t="n">
        <f aca="false">'Working Capital'!R21</f>
        <v>0</v>
      </c>
      <c r="S23" s="4" t="n">
        <f aca="false">'Working Capital'!S21</f>
        <v>0</v>
      </c>
      <c r="T23" s="4" t="n">
        <f aca="false">'Working Capital'!T21</f>
        <v>0</v>
      </c>
      <c r="U23" s="4" t="n">
        <f aca="false">'Working Capital'!U21</f>
        <v>0</v>
      </c>
      <c r="V23" s="4" t="n">
        <f aca="false">'Working Capital'!V21</f>
        <v>0</v>
      </c>
      <c r="W23" s="4" t="n">
        <f aca="false">'Working Capital'!W21</f>
        <v>0</v>
      </c>
      <c r="X23" s="4" t="n">
        <f aca="false">'Working Capital'!X21</f>
        <v>0</v>
      </c>
      <c r="Y23" s="4" t="n">
        <f aca="false">'Working Capital'!Y21</f>
        <v>0</v>
      </c>
      <c r="Z23" s="4" t="n">
        <f aca="false">'Working Capital'!Z21</f>
        <v>0</v>
      </c>
      <c r="AA23" s="4" t="n">
        <f aca="false">'Working Capital'!AA21</f>
        <v>0</v>
      </c>
      <c r="AB23" s="4" t="n">
        <f aca="false">'Working Capital'!AB21</f>
        <v>0</v>
      </c>
      <c r="AC23" s="4" t="n">
        <f aca="false">'Working Capital'!AC21</f>
        <v>0</v>
      </c>
      <c r="AD23" s="4" t="n">
        <f aca="false">'Working Capital'!AD21</f>
        <v>0</v>
      </c>
      <c r="AE23" s="4" t="n">
        <f aca="false">'Working Capital'!AE21</f>
        <v>0</v>
      </c>
      <c r="AG23" s="4" t="n">
        <f aca="false">SUMIF($C$3:$AE$3,AG$3,$C23:$AE23)</f>
        <v>0</v>
      </c>
      <c r="AH23" s="4" t="n">
        <f aca="false">SUMIF($C$3:$AE$3,AH$3,$C23:$AE23)</f>
        <v>86061.5652173913</v>
      </c>
      <c r="AI23" s="4" t="n">
        <f aca="false">SUMIF($C$3:$AE$3,AI$3,$C23:$AE23)</f>
        <v>0</v>
      </c>
      <c r="AJ23" s="4" t="n">
        <f aca="false">SUMIF($C$3:$AE$3,AJ$3,$C23:$AE23)</f>
        <v>0</v>
      </c>
      <c r="AK23" s="4" t="n">
        <f aca="false">SUMIF($C$3:$AE$3,AK$3,$C23:$AE23)</f>
        <v>0</v>
      </c>
      <c r="AL23" s="4" t="n">
        <f aca="false">SUMIF($C$3:$AE$3,AL$3,$C23:$AE23)</f>
        <v>0</v>
      </c>
    </row>
    <row r="24" customFormat="false" ht="15" hidden="false" customHeight="false" outlineLevel="0" collapsed="false">
      <c r="A24" s="0" t="s">
        <v>620</v>
      </c>
      <c r="B24" s="2"/>
      <c r="C24" s="4" t="n">
        <f aca="false">Assumptions!C115</f>
        <v>3000</v>
      </c>
      <c r="D24" s="4" t="n">
        <f aca="false">Assumptions!D115</f>
        <v>3000</v>
      </c>
      <c r="E24" s="4" t="n">
        <f aca="false">Assumptions!E115</f>
        <v>6000</v>
      </c>
      <c r="F24" s="4" t="n">
        <f aca="false">Assumptions!F115</f>
        <v>6000</v>
      </c>
      <c r="G24" s="4" t="n">
        <f aca="false">Assumptions!G115</f>
        <v>6000</v>
      </c>
      <c r="H24" s="4" t="n">
        <f aca="false">Assumptions!H115</f>
        <v>6000</v>
      </c>
      <c r="I24" s="4" t="n">
        <f aca="false">Assumptions!I115</f>
        <v>6000</v>
      </c>
      <c r="J24" s="4" t="n">
        <f aca="false">Assumptions!J115</f>
        <v>6000</v>
      </c>
      <c r="K24" s="4" t="n">
        <f aca="false">Assumptions!K115</f>
        <v>15000</v>
      </c>
      <c r="L24" s="4" t="n">
        <f aca="false">Assumptions!L115</f>
        <v>15000</v>
      </c>
      <c r="M24" s="4" t="n">
        <f aca="false">Assumptions!M115</f>
        <v>15000</v>
      </c>
      <c r="N24" s="4" t="n">
        <f aca="false">Assumptions!N115</f>
        <v>20000</v>
      </c>
      <c r="O24" s="4" t="n">
        <f aca="false">Assumptions!O115</f>
        <v>25000</v>
      </c>
      <c r="P24" s="4" t="n">
        <f aca="false">Assumptions!P115</f>
        <v>25000</v>
      </c>
      <c r="Q24" s="4" t="n">
        <f aca="false">Assumptions!Q115</f>
        <v>40000</v>
      </c>
      <c r="R24" s="4" t="n">
        <f aca="false">Assumptions!R115</f>
        <v>40000</v>
      </c>
      <c r="S24" s="4" t="n">
        <f aca="false">Assumptions!S115</f>
        <v>40000</v>
      </c>
      <c r="T24" s="4" t="n">
        <f aca="false">Assumptions!T115</f>
        <v>40000</v>
      </c>
      <c r="U24" s="4" t="n">
        <f aca="false">Assumptions!U115</f>
        <v>40000</v>
      </c>
      <c r="V24" s="4" t="n">
        <f aca="false">Assumptions!V115</f>
        <v>40000</v>
      </c>
      <c r="W24" s="4" t="n">
        <f aca="false">Assumptions!W115</f>
        <v>40000</v>
      </c>
      <c r="X24" s="4" t="n">
        <f aca="false">Assumptions!X115</f>
        <v>40000</v>
      </c>
      <c r="Y24" s="4" t="n">
        <f aca="false">Assumptions!Y115</f>
        <v>40000</v>
      </c>
      <c r="Z24" s="4" t="n">
        <f aca="false">Assumptions!Z115</f>
        <v>40000</v>
      </c>
      <c r="AA24" s="4" t="n">
        <f aca="false">Assumptions!AA115</f>
        <v>40000</v>
      </c>
      <c r="AB24" s="4" t="n">
        <f aca="false">Assumptions!AB115</f>
        <v>40000</v>
      </c>
      <c r="AC24" s="4" t="n">
        <f aca="false">Assumptions!AC115</f>
        <v>1200000</v>
      </c>
      <c r="AD24" s="4" t="n">
        <f aca="false">Assumptions!AD115</f>
        <v>2500000</v>
      </c>
      <c r="AE24" s="4" t="n">
        <f aca="false">Assumptions!AE115</f>
        <v>4000000</v>
      </c>
      <c r="AG24" s="4" t="n">
        <f aca="false">SUMIF($C$3:$AE$3,AG$3,$C24:$AE24)</f>
        <v>6000</v>
      </c>
      <c r="AH24" s="4" t="n">
        <f aca="false">SUMIF($C$3:$AE$3,AH$3,$C24:$AE24)</f>
        <v>151000</v>
      </c>
      <c r="AI24" s="4" t="n">
        <f aca="false">SUMIF($C$3:$AE$3,AI$3,$C24:$AE24)</f>
        <v>480000</v>
      </c>
      <c r="AJ24" s="4" t="n">
        <f aca="false">SUMIF($C$3:$AE$3,AJ$3,$C24:$AE24)</f>
        <v>1200000</v>
      </c>
      <c r="AK24" s="4" t="n">
        <f aca="false">SUMIF($C$3:$AE$3,AK$3,$C24:$AE24)</f>
        <v>2500000</v>
      </c>
      <c r="AL24" s="4" t="n">
        <f aca="false">SUMIF($C$3:$AE$3,AL$3,$C24:$AE24)</f>
        <v>4000000</v>
      </c>
    </row>
    <row r="25" customFormat="false" ht="15" hidden="false" customHeight="false" outlineLevel="0" collapsed="false">
      <c r="A25" s="0" t="s">
        <v>621</v>
      </c>
      <c r="B25" s="2"/>
      <c r="C25" s="4" t="n">
        <f aca="false">'Revenue Build'!C11*retail_coop</f>
        <v>0</v>
      </c>
      <c r="D25" s="4" t="n">
        <f aca="false">'Revenue Build'!D11*retail_coop</f>
        <v>0</v>
      </c>
      <c r="E25" s="4" t="n">
        <f aca="false">'Revenue Build'!E11*retail_coop</f>
        <v>0</v>
      </c>
      <c r="F25" s="4" t="n">
        <f aca="false">'Revenue Build'!F11*retail_coop</f>
        <v>0</v>
      </c>
      <c r="G25" s="4" t="n">
        <f aca="false">'Revenue Build'!G11*retail_coop</f>
        <v>0</v>
      </c>
      <c r="H25" s="4" t="n">
        <f aca="false">'Revenue Build'!H11*retail_coop</f>
        <v>0</v>
      </c>
      <c r="I25" s="4" t="n">
        <f aca="false">'Revenue Build'!I11*retail_coop</f>
        <v>0</v>
      </c>
      <c r="J25" s="4" t="n">
        <f aca="false">'Revenue Build'!J11*retail_coop</f>
        <v>0</v>
      </c>
      <c r="K25" s="4" t="n">
        <f aca="false">'Revenue Build'!K11*retail_coop</f>
        <v>0</v>
      </c>
      <c r="L25" s="4" t="n">
        <f aca="false">'Revenue Build'!L11*retail_coop</f>
        <v>0</v>
      </c>
      <c r="M25" s="4" t="n">
        <f aca="false">'Revenue Build'!M11*retail_coop</f>
        <v>0</v>
      </c>
      <c r="N25" s="4" t="n">
        <f aca="false">'Revenue Build'!N11*retail_coop</f>
        <v>0</v>
      </c>
      <c r="O25" s="4" t="n">
        <f aca="false">'Revenue Build'!O11*retail_coop</f>
        <v>0</v>
      </c>
      <c r="P25" s="4" t="n">
        <f aca="false">'Revenue Build'!P11*retail_coop</f>
        <v>0</v>
      </c>
      <c r="Q25" s="4" t="n">
        <f aca="false">'Revenue Build'!Q11*retail_coop</f>
        <v>1020.675</v>
      </c>
      <c r="R25" s="4" t="n">
        <f aca="false">'Revenue Build'!R11*retail_coop</f>
        <v>1102.329</v>
      </c>
      <c r="S25" s="4" t="n">
        <f aca="false">'Revenue Build'!S11*retail_coop</f>
        <v>1347.291</v>
      </c>
      <c r="T25" s="4" t="n">
        <f aca="false">'Revenue Build'!T11*retail_coop</f>
        <v>2108.589</v>
      </c>
      <c r="U25" s="4" t="n">
        <f aca="false">'Revenue Build'!U11*retail_coop</f>
        <v>2520.021</v>
      </c>
      <c r="V25" s="4" t="n">
        <f aca="false">'Revenue Build'!V11*retail_coop</f>
        <v>2931.453</v>
      </c>
      <c r="W25" s="4" t="n">
        <f aca="false">'Revenue Build'!W11*retail_coop</f>
        <v>8614.3575</v>
      </c>
      <c r="X25" s="4" t="n">
        <f aca="false">'Revenue Build'!X11*retail_coop</f>
        <v>8871.5025</v>
      </c>
      <c r="Y25" s="4" t="n">
        <f aca="false">'Revenue Build'!Y11*retail_coop</f>
        <v>8357.2125</v>
      </c>
      <c r="Z25" s="4" t="n">
        <f aca="false">'Revenue Build'!Z11*retail_coop</f>
        <v>9385.7925</v>
      </c>
      <c r="AA25" s="4" t="n">
        <f aca="false">'Revenue Build'!AA11*retail_coop</f>
        <v>13500.1125</v>
      </c>
      <c r="AB25" s="4" t="n">
        <f aca="false">'Revenue Build'!AB11*retail_coop</f>
        <v>19028.73</v>
      </c>
      <c r="AC25" s="4" t="n">
        <f aca="false">'Revenue Build'!AC11*retail_coop</f>
        <v>370288.8</v>
      </c>
      <c r="AD25" s="4" t="n">
        <f aca="false">'Revenue Build'!AD11*retail_coop</f>
        <v>900007.5</v>
      </c>
      <c r="AE25" s="4" t="n">
        <f aca="false">'Revenue Build'!AE11*retail_coop</f>
        <v>1440012</v>
      </c>
      <c r="AG25" s="4" t="n">
        <f aca="false">SUMIF($C$3:$AE$3,AG$3,$C25:$AE25)</f>
        <v>0</v>
      </c>
      <c r="AH25" s="4" t="n">
        <f aca="false">SUMIF($C$3:$AE$3,AH$3,$C25:$AE25)</f>
        <v>0</v>
      </c>
      <c r="AI25" s="4" t="n">
        <f aca="false">SUMIF($C$3:$AE$3,AI$3,$C25:$AE25)</f>
        <v>78788.0655</v>
      </c>
      <c r="AJ25" s="4" t="n">
        <f aca="false">SUMIF($C$3:$AE$3,AJ$3,$C25:$AE25)</f>
        <v>370288.8</v>
      </c>
      <c r="AK25" s="4" t="n">
        <f aca="false">SUMIF($C$3:$AE$3,AK$3,$C25:$AE25)</f>
        <v>900007.5</v>
      </c>
      <c r="AL25" s="4" t="n">
        <f aca="false">SUMIF($C$3:$AE$3,AL$3,$C25:$AE25)</f>
        <v>1440012</v>
      </c>
    </row>
    <row r="26" customFormat="false" ht="15" hidden="false" customHeight="false" outlineLevel="0" collapsed="false">
      <c r="A26" s="13" t="s">
        <v>622</v>
      </c>
      <c r="B26" s="2"/>
      <c r="C26" s="29" t="n">
        <f aca="false">OpEx!C20+OpEx!C21+OpEx!C22+OpEx!C23+OpEx!C24+OpEx!C25</f>
        <v>3000</v>
      </c>
      <c r="D26" s="29" t="n">
        <f aca="false">OpEx!D20+OpEx!D21+OpEx!D22+OpEx!D23+OpEx!D24+OpEx!D25</f>
        <v>3000</v>
      </c>
      <c r="E26" s="29" t="n">
        <f aca="false">OpEx!E20+OpEx!E21+OpEx!E22+OpEx!E23+OpEx!E24+OpEx!E25</f>
        <v>16000</v>
      </c>
      <c r="F26" s="29" t="n">
        <f aca="false">OpEx!F20+OpEx!F21+OpEx!F22+OpEx!F23+OpEx!F24+OpEx!F25</f>
        <v>35895.8333333333</v>
      </c>
      <c r="G26" s="29" t="n">
        <f aca="false">OpEx!G20+OpEx!G21+OpEx!G22+OpEx!G23+OpEx!G24+OpEx!G25</f>
        <v>55895.8333333333</v>
      </c>
      <c r="H26" s="29" t="n">
        <f aca="false">OpEx!H20+OpEx!H21+OpEx!H22+OpEx!H23+OpEx!H24+OpEx!H25</f>
        <v>75895.8333333333</v>
      </c>
      <c r="I26" s="29" t="n">
        <f aca="false">OpEx!I20+OpEx!I21+OpEx!I22+OpEx!I23+OpEx!I24+OpEx!I25</f>
        <v>85895.8333333333</v>
      </c>
      <c r="J26" s="29" t="n">
        <f aca="false">OpEx!J20+OpEx!J21+OpEx!J22+OpEx!J23+OpEx!J24+OpEx!J25</f>
        <v>99745.0855072464</v>
      </c>
      <c r="K26" s="29" t="n">
        <f aca="false">OpEx!K20+OpEx!K21+OpEx!K22+OpEx!K23+OpEx!K24+OpEx!K25</f>
        <v>29198.9115942029</v>
      </c>
      <c r="L26" s="29" t="n">
        <f aca="false">OpEx!L20+OpEx!L21+OpEx!L22+OpEx!L23+OpEx!L24+OpEx!L25</f>
        <v>29198.9115942029</v>
      </c>
      <c r="M26" s="29" t="n">
        <f aca="false">OpEx!M20+OpEx!M21+OpEx!M22+OpEx!M23+OpEx!M24+OpEx!M25</f>
        <v>29198.9115942029</v>
      </c>
      <c r="N26" s="29" t="n">
        <f aca="false">OpEx!N20+OpEx!N21+OpEx!N22+OpEx!N23+OpEx!N24+OpEx!N25</f>
        <v>46698.9115942029</v>
      </c>
      <c r="O26" s="29" t="n">
        <f aca="false">OpEx!O20+OpEx!O21+OpEx!O22+OpEx!O23+OpEx!O24+OpEx!O25</f>
        <v>47395.8333333333</v>
      </c>
      <c r="P26" s="29" t="n">
        <f aca="false">OpEx!P20+OpEx!P21+OpEx!P22+OpEx!P23+OpEx!P24+OpEx!P25</f>
        <v>47395.8333333333</v>
      </c>
      <c r="Q26" s="29" t="n">
        <f aca="false">OpEx!Q20+OpEx!Q21+OpEx!Q22+OpEx!Q23+OpEx!Q24+OpEx!Q25</f>
        <v>131588.383333333</v>
      </c>
      <c r="R26" s="29" t="n">
        <f aca="false">OpEx!R20+OpEx!R21+OpEx!R22+OpEx!R23+OpEx!R24+OpEx!R25</f>
        <v>137070.037333333</v>
      </c>
      <c r="S26" s="29" t="n">
        <f aca="false">OpEx!S20+OpEx!S21+OpEx!S22+OpEx!S23+OpEx!S24+OpEx!S25</f>
        <v>166389.999333333</v>
      </c>
      <c r="T26" s="29" t="n">
        <f aca="false">OpEx!T20+OpEx!T21+OpEx!T22+OpEx!T23+OpEx!T24+OpEx!T25</f>
        <v>200553.380666667</v>
      </c>
      <c r="U26" s="29" t="n">
        <f aca="false">OpEx!U20+OpEx!U21+OpEx!U22+OpEx!U23+OpEx!U24+OpEx!U25</f>
        <v>222564.812666667</v>
      </c>
      <c r="V26" s="29" t="n">
        <f aca="false">OpEx!V20+OpEx!V21+OpEx!V22+OpEx!V23+OpEx!V24+OpEx!V25</f>
        <v>255305.411333333</v>
      </c>
      <c r="W26" s="29" t="n">
        <f aca="false">OpEx!W20+OpEx!W21+OpEx!W22+OpEx!W23+OpEx!W24+OpEx!W25</f>
        <v>257838.315833333</v>
      </c>
      <c r="X26" s="29" t="n">
        <f aca="false">OpEx!X20+OpEx!X21+OpEx!X22+OpEx!X23+OpEx!X24+OpEx!X25</f>
        <v>262595.460833333</v>
      </c>
      <c r="Y26" s="29" t="n">
        <f aca="false">OpEx!Y20+OpEx!Y21+OpEx!Y22+OpEx!Y23+OpEx!Y24+OpEx!Y25</f>
        <v>253081.170833333</v>
      </c>
      <c r="Z26" s="29" t="n">
        <f aca="false">OpEx!Z20+OpEx!Z21+OpEx!Z22+OpEx!Z23+OpEx!Z24+OpEx!Z25</f>
        <v>272109.750833333</v>
      </c>
      <c r="AA26" s="29" t="n">
        <f aca="false">OpEx!AA20+OpEx!AA21+OpEx!AA22+OpEx!AA23+OpEx!AA24+OpEx!AA25</f>
        <v>348224.070833333</v>
      </c>
      <c r="AB26" s="29" t="n">
        <f aca="false">OpEx!AB20+OpEx!AB21+OpEx!AB22+OpEx!AB23+OpEx!AB24+OpEx!AB25</f>
        <v>450502.688333333</v>
      </c>
      <c r="AC26" s="29" t="n">
        <f aca="false">OpEx!AC20+OpEx!AC21+OpEx!AC22+OpEx!AC23+OpEx!AC24+OpEx!AC25</f>
        <v>8543176.40416667</v>
      </c>
      <c r="AD26" s="29" t="n">
        <f aca="false">OpEx!AD20+OpEx!AD21+OpEx!AD22+OpEx!AD23+OpEx!AD24+OpEx!AD25</f>
        <v>16029256.8625</v>
      </c>
      <c r="AE26" s="29" t="n">
        <f aca="false">OpEx!AE20+OpEx!AE21+OpEx!AE22+OpEx!AE23+OpEx!AE24+OpEx!AE25</f>
        <v>24676812.3423125</v>
      </c>
      <c r="AG26" s="29" t="n">
        <f aca="false">SUMIF($C$3:$AE$3,AG$3,$C26:$AE26)</f>
        <v>6000</v>
      </c>
      <c r="AH26" s="29" t="n">
        <f aca="false">SUMIF($C$3:$AE$3,AH$3,$C26:$AE26)</f>
        <v>598415.731884058</v>
      </c>
      <c r="AI26" s="29" t="n">
        <f aca="false">SUMIF($C$3:$AE$3,AI$3,$C26:$AE26)</f>
        <v>2957823.48216667</v>
      </c>
      <c r="AJ26" s="29" t="n">
        <f aca="false">SUMIF($C$3:$AE$3,AJ$3,$C26:$AE26)</f>
        <v>8543176.40416667</v>
      </c>
      <c r="AK26" s="29" t="n">
        <f aca="false">SUMIF($C$3:$AE$3,AK$3,$C26:$AE26)</f>
        <v>16029256.8625</v>
      </c>
      <c r="AL26" s="29" t="n">
        <f aca="false">SUMIF($C$3:$AE$3,AL$3,$C26:$AE26)</f>
        <v>24676812.3423125</v>
      </c>
    </row>
    <row r="28" customFormat="false" ht="15" hidden="false" customHeight="false" outlineLevel="0" collapsed="false">
      <c r="A28" s="8" t="s">
        <v>623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customFormat="false" ht="15" hidden="false" customHeight="false" outlineLevel="0" collapsed="false">
      <c r="A29" s="13" t="s">
        <v>624</v>
      </c>
      <c r="B29" s="2"/>
      <c r="C29" s="29" t="n">
        <f aca="false">'Headcount Plan'!C107</f>
        <v>0</v>
      </c>
      <c r="D29" s="29" t="n">
        <f aca="false">'Headcount Plan'!D107</f>
        <v>0</v>
      </c>
      <c r="E29" s="29" t="n">
        <f aca="false">'Headcount Plan'!E107</f>
        <v>0</v>
      </c>
      <c r="F29" s="29" t="n">
        <f aca="false">'Headcount Plan'!F107</f>
        <v>0</v>
      </c>
      <c r="G29" s="29" t="n">
        <f aca="false">'Headcount Plan'!G107</f>
        <v>0</v>
      </c>
      <c r="H29" s="29" t="n">
        <f aca="false">'Headcount Plan'!H107</f>
        <v>0</v>
      </c>
      <c r="I29" s="29" t="n">
        <f aca="false">'Headcount Plan'!I107</f>
        <v>0</v>
      </c>
      <c r="J29" s="29" t="n">
        <f aca="false">'Headcount Plan'!J107</f>
        <v>0</v>
      </c>
      <c r="K29" s="29" t="n">
        <f aca="false">'Headcount Plan'!K107</f>
        <v>0</v>
      </c>
      <c r="L29" s="29" t="n">
        <f aca="false">'Headcount Plan'!L107</f>
        <v>16666.6666666667</v>
      </c>
      <c r="M29" s="29" t="n">
        <f aca="false">'Headcount Plan'!M107</f>
        <v>16666.6666666667</v>
      </c>
      <c r="N29" s="29" t="n">
        <f aca="false">'Headcount Plan'!N107</f>
        <v>23437.5</v>
      </c>
      <c r="O29" s="29" t="n">
        <f aca="false">'Headcount Plan'!O107</f>
        <v>23437.5</v>
      </c>
      <c r="P29" s="29" t="n">
        <f aca="false">'Headcount Plan'!P107</f>
        <v>23437.5</v>
      </c>
      <c r="Q29" s="29" t="n">
        <f aca="false">'Headcount Plan'!Q107</f>
        <v>24140.625</v>
      </c>
      <c r="R29" s="29" t="n">
        <f aca="false">'Headcount Plan'!R107</f>
        <v>24140.625</v>
      </c>
      <c r="S29" s="29" t="n">
        <f aca="false">'Headcount Plan'!S107</f>
        <v>34869.7916666667</v>
      </c>
      <c r="T29" s="29" t="n">
        <f aca="false">'Headcount Plan'!T107</f>
        <v>34869.7916666667</v>
      </c>
      <c r="U29" s="29" t="n">
        <f aca="false">'Headcount Plan'!U107</f>
        <v>34869.7916666667</v>
      </c>
      <c r="V29" s="29" t="n">
        <f aca="false">'Headcount Plan'!V107</f>
        <v>34869.7916666667</v>
      </c>
      <c r="W29" s="29" t="n">
        <f aca="false">'Headcount Plan'!W107</f>
        <v>34869.7916666667</v>
      </c>
      <c r="X29" s="29" t="n">
        <f aca="false">'Headcount Plan'!X107</f>
        <v>34869.7916666667</v>
      </c>
      <c r="Y29" s="29" t="n">
        <f aca="false">'Headcount Plan'!Y107</f>
        <v>34869.7916666667</v>
      </c>
      <c r="Z29" s="29" t="n">
        <f aca="false">'Headcount Plan'!Z107</f>
        <v>34869.7916666667</v>
      </c>
      <c r="AA29" s="29" t="n">
        <f aca="false">'Headcount Plan'!AA107</f>
        <v>50963.5416666667</v>
      </c>
      <c r="AB29" s="29" t="n">
        <f aca="false">'Headcount Plan'!AB107</f>
        <v>50963.5416666667</v>
      </c>
      <c r="AC29" s="29" t="n">
        <f aca="false">'Headcount Plan'!AC107</f>
        <v>1160359.375</v>
      </c>
      <c r="AD29" s="29" t="n">
        <f aca="false">'Headcount Plan'!AD107</f>
        <v>1905442.70625</v>
      </c>
      <c r="AE29" s="29" t="n">
        <f aca="false">'Headcount Plan'!AE107</f>
        <v>2820806.4550625</v>
      </c>
      <c r="AG29" s="29" t="n">
        <f aca="false">SUMIF($C$3:$AE$3,AG$3,$C29:$AE29)</f>
        <v>0</v>
      </c>
      <c r="AH29" s="29" t="n">
        <f aca="false">SUMIF($C$3:$AE$3,AH$3,$C29:$AE29)</f>
        <v>103645.833333333</v>
      </c>
      <c r="AI29" s="29" t="n">
        <f aca="false">SUMIF($C$3:$AE$3,AI$3,$C29:$AE29)</f>
        <v>429166.666666667</v>
      </c>
      <c r="AJ29" s="29" t="n">
        <f aca="false">SUMIF($C$3:$AE$3,AJ$3,$C29:$AE29)</f>
        <v>1160359.375</v>
      </c>
      <c r="AK29" s="29" t="n">
        <f aca="false">SUMIF($C$3:$AE$3,AK$3,$C29:$AE29)</f>
        <v>1905442.70625</v>
      </c>
      <c r="AL29" s="29" t="n">
        <f aca="false">SUMIF($C$3:$AE$3,AL$3,$C29:$AE29)</f>
        <v>2820806.4550625</v>
      </c>
    </row>
    <row r="31" customFormat="false" ht="15" hidden="false" customHeight="false" outlineLevel="0" collapsed="false">
      <c r="A31" s="8" t="s">
        <v>625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customFormat="false" ht="15" hidden="false" customHeight="false" outlineLevel="0" collapsed="false">
      <c r="A32" s="0" t="s">
        <v>626</v>
      </c>
      <c r="B32" s="2"/>
      <c r="C32" s="4" t="n">
        <f aca="false">'Headcount Plan'!C108</f>
        <v>9375</v>
      </c>
      <c r="D32" s="4" t="n">
        <f aca="false">'Headcount Plan'!D108</f>
        <v>9375</v>
      </c>
      <c r="E32" s="4" t="n">
        <f aca="false">'Headcount Plan'!E108</f>
        <v>9375</v>
      </c>
      <c r="F32" s="4" t="n">
        <f aca="false">'Headcount Plan'!F108</f>
        <v>9375</v>
      </c>
      <c r="G32" s="4" t="n">
        <f aca="false">'Headcount Plan'!G108</f>
        <v>9375</v>
      </c>
      <c r="H32" s="4" t="n">
        <f aca="false">'Headcount Plan'!H108</f>
        <v>9375</v>
      </c>
      <c r="I32" s="4" t="n">
        <f aca="false">'Headcount Plan'!I108</f>
        <v>9375</v>
      </c>
      <c r="J32" s="4" t="n">
        <f aca="false">'Headcount Plan'!J108</f>
        <v>9375</v>
      </c>
      <c r="K32" s="4" t="n">
        <f aca="false">'Headcount Plan'!K108</f>
        <v>9375</v>
      </c>
      <c r="L32" s="4" t="n">
        <f aca="false">'Headcount Plan'!L108</f>
        <v>9375</v>
      </c>
      <c r="M32" s="4" t="n">
        <f aca="false">'Headcount Plan'!M108</f>
        <v>9375</v>
      </c>
      <c r="N32" s="4" t="n">
        <f aca="false">'Headcount Plan'!N108</f>
        <v>9375</v>
      </c>
      <c r="O32" s="4" t="n">
        <f aca="false">'Headcount Plan'!O108</f>
        <v>20833.3333333333</v>
      </c>
      <c r="P32" s="4" t="n">
        <f aca="false">'Headcount Plan'!P108</f>
        <v>20833.3333333333</v>
      </c>
      <c r="Q32" s="4" t="n">
        <f aca="false">'Headcount Plan'!Q108</f>
        <v>21458.3333333333</v>
      </c>
      <c r="R32" s="4" t="n">
        <f aca="false">'Headcount Plan'!R108</f>
        <v>21458.3333333333</v>
      </c>
      <c r="S32" s="4" t="n">
        <f aca="false">'Headcount Plan'!S108</f>
        <v>21458.3333333333</v>
      </c>
      <c r="T32" s="4" t="n">
        <f aca="false">'Headcount Plan'!T108</f>
        <v>21458.3333333333</v>
      </c>
      <c r="U32" s="4" t="n">
        <f aca="false">'Headcount Plan'!U108</f>
        <v>21458.3333333333</v>
      </c>
      <c r="V32" s="4" t="n">
        <f aca="false">'Headcount Plan'!V108</f>
        <v>21458.3333333333</v>
      </c>
      <c r="W32" s="4" t="n">
        <f aca="false">'Headcount Plan'!W108</f>
        <v>21458.3333333333</v>
      </c>
      <c r="X32" s="4" t="n">
        <f aca="false">'Headcount Plan'!X108</f>
        <v>21458.3333333333</v>
      </c>
      <c r="Y32" s="4" t="n">
        <f aca="false">'Headcount Plan'!Y108</f>
        <v>30578.125</v>
      </c>
      <c r="Z32" s="4" t="n">
        <f aca="false">'Headcount Plan'!Z108</f>
        <v>30578.125</v>
      </c>
      <c r="AA32" s="4" t="n">
        <f aca="false">'Headcount Plan'!AA108</f>
        <v>30578.125</v>
      </c>
      <c r="AB32" s="4" t="n">
        <f aca="false">'Headcount Plan'!AB108</f>
        <v>30578.125</v>
      </c>
      <c r="AC32" s="4" t="n">
        <f aca="false">'Headcount Plan'!AC108</f>
        <v>734894.270833333</v>
      </c>
      <c r="AD32" s="4" t="n">
        <f aca="false">'Headcount Plan'!AD108</f>
        <v>1482010.99375</v>
      </c>
      <c r="AE32" s="4" t="n">
        <f aca="false">'Headcount Plan'!AE108</f>
        <v>2090984.33607813</v>
      </c>
      <c r="AG32" s="4" t="n">
        <f aca="false">SUMIF($C$3:$AE$3,AG$3,$C32:$AE32)</f>
        <v>18750</v>
      </c>
      <c r="AH32" s="4" t="n">
        <f aca="false">SUMIF($C$3:$AE$3,AH$3,$C32:$AE32)</f>
        <v>135416.666666667</v>
      </c>
      <c r="AI32" s="4" t="n">
        <f aca="false">SUMIF($C$3:$AE$3,AI$3,$C32:$AE32)</f>
        <v>293979.166666667</v>
      </c>
      <c r="AJ32" s="4" t="n">
        <f aca="false">SUMIF($C$3:$AE$3,AJ$3,$C32:$AE32)</f>
        <v>734894.270833333</v>
      </c>
      <c r="AK32" s="4" t="n">
        <f aca="false">SUMIF($C$3:$AE$3,AK$3,$C32:$AE32)</f>
        <v>1482010.99375</v>
      </c>
      <c r="AL32" s="4" t="n">
        <f aca="false">SUMIF($C$3:$AE$3,AL$3,$C32:$AE32)</f>
        <v>2090984.33607813</v>
      </c>
    </row>
    <row r="33" customFormat="false" ht="15" hidden="false" customHeight="false" outlineLevel="0" collapsed="false">
      <c r="A33" s="0" t="s">
        <v>627</v>
      </c>
      <c r="B33" s="2"/>
      <c r="C33" s="4" t="n">
        <f aca="false">Assumptions!C123</f>
        <v>12000</v>
      </c>
      <c r="D33" s="4" t="n">
        <f aca="false">Assumptions!D123</f>
        <v>12000</v>
      </c>
      <c r="E33" s="4" t="n">
        <f aca="false">Assumptions!E123</f>
        <v>12000</v>
      </c>
      <c r="F33" s="4" t="n">
        <f aca="false">Assumptions!F123</f>
        <v>12000</v>
      </c>
      <c r="G33" s="4" t="n">
        <f aca="false">Assumptions!G123</f>
        <v>12000</v>
      </c>
      <c r="H33" s="4" t="n">
        <f aca="false">Assumptions!H123</f>
        <v>12000</v>
      </c>
      <c r="I33" s="4" t="n">
        <f aca="false">Assumptions!I123</f>
        <v>12000</v>
      </c>
      <c r="J33" s="4" t="n">
        <f aca="false">Assumptions!J123</f>
        <v>12000</v>
      </c>
      <c r="K33" s="4" t="n">
        <f aca="false">Assumptions!K123</f>
        <v>12000</v>
      </c>
      <c r="L33" s="4" t="n">
        <f aca="false">Assumptions!L123</f>
        <v>20000</v>
      </c>
      <c r="M33" s="4" t="n">
        <f aca="false">Assumptions!M123</f>
        <v>20000</v>
      </c>
      <c r="N33" s="4" t="n">
        <f aca="false">Assumptions!N123</f>
        <v>20000</v>
      </c>
      <c r="O33" s="4" t="n">
        <f aca="false">Assumptions!O123</f>
        <v>20000</v>
      </c>
      <c r="P33" s="4" t="n">
        <f aca="false">Assumptions!P123</f>
        <v>20000</v>
      </c>
      <c r="Q33" s="4" t="n">
        <f aca="false">Assumptions!Q123</f>
        <v>35000</v>
      </c>
      <c r="R33" s="4" t="n">
        <f aca="false">Assumptions!R123</f>
        <v>35000</v>
      </c>
      <c r="S33" s="4" t="n">
        <f aca="false">Assumptions!S123</f>
        <v>35000</v>
      </c>
      <c r="T33" s="4" t="n">
        <f aca="false">Assumptions!T123</f>
        <v>35000</v>
      </c>
      <c r="U33" s="4" t="n">
        <f aca="false">Assumptions!U123</f>
        <v>35000</v>
      </c>
      <c r="V33" s="4" t="n">
        <f aca="false">Assumptions!V123</f>
        <v>35000</v>
      </c>
      <c r="W33" s="4" t="n">
        <f aca="false">Assumptions!W123</f>
        <v>35000</v>
      </c>
      <c r="X33" s="4" t="n">
        <f aca="false">Assumptions!X123</f>
        <v>35000</v>
      </c>
      <c r="Y33" s="4" t="n">
        <f aca="false">Assumptions!Y123</f>
        <v>35000</v>
      </c>
      <c r="Z33" s="4" t="n">
        <f aca="false">Assumptions!Z123</f>
        <v>35000</v>
      </c>
      <c r="AA33" s="4" t="n">
        <f aca="false">Assumptions!AA123</f>
        <v>35000</v>
      </c>
      <c r="AB33" s="4" t="n">
        <f aca="false">Assumptions!AB123</f>
        <v>35000</v>
      </c>
      <c r="AC33" s="4" t="n">
        <f aca="false">Assumptions!AC123</f>
        <v>600000</v>
      </c>
      <c r="AD33" s="4" t="n">
        <f aca="false">Assumptions!AD123</f>
        <v>1000000</v>
      </c>
      <c r="AE33" s="4" t="n">
        <f aca="false">Assumptions!AE123</f>
        <v>1500000</v>
      </c>
      <c r="AG33" s="4" t="n">
        <f aca="false">SUMIF($C$3:$AE$3,AG$3,$C33:$AE33)</f>
        <v>24000</v>
      </c>
      <c r="AH33" s="4" t="n">
        <f aca="false">SUMIF($C$3:$AE$3,AH$3,$C33:$AE33)</f>
        <v>184000</v>
      </c>
      <c r="AI33" s="4" t="n">
        <f aca="false">SUMIF($C$3:$AE$3,AI$3,$C33:$AE33)</f>
        <v>420000</v>
      </c>
      <c r="AJ33" s="4" t="n">
        <f aca="false">SUMIF($C$3:$AE$3,AJ$3,$C33:$AE33)</f>
        <v>600000</v>
      </c>
      <c r="AK33" s="4" t="n">
        <f aca="false">SUMIF($C$3:$AE$3,AK$3,$C33:$AE33)</f>
        <v>1000000</v>
      </c>
      <c r="AL33" s="4" t="n">
        <f aca="false">SUMIF($C$3:$AE$3,AL$3,$C33:$AE33)</f>
        <v>1500000</v>
      </c>
    </row>
    <row r="34" customFormat="false" ht="15" hidden="false" customHeight="false" outlineLevel="0" collapsed="false">
      <c r="A34" s="13" t="s">
        <v>628</v>
      </c>
      <c r="B34" s="2"/>
      <c r="C34" s="29" t="n">
        <f aca="false">OpEx!C32+OpEx!C33</f>
        <v>21375</v>
      </c>
      <c r="D34" s="29" t="n">
        <f aca="false">OpEx!D32+OpEx!D33</f>
        <v>21375</v>
      </c>
      <c r="E34" s="29" t="n">
        <f aca="false">OpEx!E32+OpEx!E33</f>
        <v>21375</v>
      </c>
      <c r="F34" s="29" t="n">
        <f aca="false">OpEx!F32+OpEx!F33</f>
        <v>21375</v>
      </c>
      <c r="G34" s="29" t="n">
        <f aca="false">OpEx!G32+OpEx!G33</f>
        <v>21375</v>
      </c>
      <c r="H34" s="29" t="n">
        <f aca="false">OpEx!H32+OpEx!H33</f>
        <v>21375</v>
      </c>
      <c r="I34" s="29" t="n">
        <f aca="false">OpEx!I32+OpEx!I33</f>
        <v>21375</v>
      </c>
      <c r="J34" s="29" t="n">
        <f aca="false">OpEx!J32+OpEx!J33</f>
        <v>21375</v>
      </c>
      <c r="K34" s="29" t="n">
        <f aca="false">OpEx!K32+OpEx!K33</f>
        <v>21375</v>
      </c>
      <c r="L34" s="29" t="n">
        <f aca="false">OpEx!L32+OpEx!L33</f>
        <v>29375</v>
      </c>
      <c r="M34" s="29" t="n">
        <f aca="false">OpEx!M32+OpEx!M33</f>
        <v>29375</v>
      </c>
      <c r="N34" s="29" t="n">
        <f aca="false">OpEx!N32+OpEx!N33</f>
        <v>29375</v>
      </c>
      <c r="O34" s="29" t="n">
        <f aca="false">OpEx!O32+OpEx!O33</f>
        <v>40833.3333333333</v>
      </c>
      <c r="P34" s="29" t="n">
        <f aca="false">OpEx!P32+OpEx!P33</f>
        <v>40833.3333333333</v>
      </c>
      <c r="Q34" s="29" t="n">
        <f aca="false">OpEx!Q32+OpEx!Q33</f>
        <v>56458.3333333333</v>
      </c>
      <c r="R34" s="29" t="n">
        <f aca="false">OpEx!R32+OpEx!R33</f>
        <v>56458.3333333333</v>
      </c>
      <c r="S34" s="29" t="n">
        <f aca="false">OpEx!S32+OpEx!S33</f>
        <v>56458.3333333333</v>
      </c>
      <c r="T34" s="29" t="n">
        <f aca="false">OpEx!T32+OpEx!T33</f>
        <v>56458.3333333333</v>
      </c>
      <c r="U34" s="29" t="n">
        <f aca="false">OpEx!U32+OpEx!U33</f>
        <v>56458.3333333333</v>
      </c>
      <c r="V34" s="29" t="n">
        <f aca="false">OpEx!V32+OpEx!V33</f>
        <v>56458.3333333333</v>
      </c>
      <c r="W34" s="29" t="n">
        <f aca="false">OpEx!W32+OpEx!W33</f>
        <v>56458.3333333333</v>
      </c>
      <c r="X34" s="29" t="n">
        <f aca="false">OpEx!X32+OpEx!X33</f>
        <v>56458.3333333333</v>
      </c>
      <c r="Y34" s="29" t="n">
        <f aca="false">OpEx!Y32+OpEx!Y33</f>
        <v>65578.125</v>
      </c>
      <c r="Z34" s="29" t="n">
        <f aca="false">OpEx!Z32+OpEx!Z33</f>
        <v>65578.125</v>
      </c>
      <c r="AA34" s="29" t="n">
        <f aca="false">OpEx!AA32+OpEx!AA33</f>
        <v>65578.125</v>
      </c>
      <c r="AB34" s="29" t="n">
        <f aca="false">OpEx!AB32+OpEx!AB33</f>
        <v>65578.125</v>
      </c>
      <c r="AC34" s="29" t="n">
        <f aca="false">OpEx!AC32+OpEx!AC33</f>
        <v>1334894.27083333</v>
      </c>
      <c r="AD34" s="29" t="n">
        <f aca="false">OpEx!AD32+OpEx!AD33</f>
        <v>2482010.99375</v>
      </c>
      <c r="AE34" s="29" t="n">
        <f aca="false">OpEx!AE32+OpEx!AE33</f>
        <v>3590984.33607813</v>
      </c>
      <c r="AG34" s="29" t="n">
        <f aca="false">SUMIF($C$3:$AE$3,AG$3,$C34:$AE34)</f>
        <v>42750</v>
      </c>
      <c r="AH34" s="29" t="n">
        <f aca="false">SUMIF($C$3:$AE$3,AH$3,$C34:$AE34)</f>
        <v>319416.666666667</v>
      </c>
      <c r="AI34" s="29" t="n">
        <f aca="false">SUMIF($C$3:$AE$3,AI$3,$C34:$AE34)</f>
        <v>713979.166666667</v>
      </c>
      <c r="AJ34" s="29" t="n">
        <f aca="false">SUMIF($C$3:$AE$3,AJ$3,$C34:$AE34)</f>
        <v>1334894.27083333</v>
      </c>
      <c r="AK34" s="29" t="n">
        <f aca="false">SUMIF($C$3:$AE$3,AK$3,$C34:$AE34)</f>
        <v>2482010.99375</v>
      </c>
      <c r="AL34" s="29" t="n">
        <f aca="false">SUMIF($C$3:$AE$3,AL$3,$C34:$AE34)</f>
        <v>3590984.33607813</v>
      </c>
    </row>
    <row r="35" customFormat="false" ht="15" hidden="false" customHeight="false" outlineLevel="0" collapsed="false">
      <c r="A35" s="13" t="s">
        <v>629</v>
      </c>
      <c r="B35" s="2"/>
      <c r="C35" s="29" t="n">
        <f aca="false">OpEx!C17+OpEx!C26+OpEx!C29+OpEx!C34</f>
        <v>76000</v>
      </c>
      <c r="D35" s="29" t="n">
        <f aca="false">OpEx!D17+OpEx!D26+OpEx!D29+OpEx!D34</f>
        <v>122666.666666667</v>
      </c>
      <c r="E35" s="29" t="n">
        <f aca="false">OpEx!E17+OpEx!E26+OpEx!E29+OpEx!E34</f>
        <v>164437.5</v>
      </c>
      <c r="F35" s="29" t="n">
        <f aca="false">OpEx!F17+OpEx!F26+OpEx!F29+OpEx!F34</f>
        <v>204333.333333333</v>
      </c>
      <c r="G35" s="29" t="n">
        <f aca="false">OpEx!G17+OpEx!G26+OpEx!G29+OpEx!G34</f>
        <v>172145.833333333</v>
      </c>
      <c r="H35" s="29" t="n">
        <f aca="false">OpEx!H17+OpEx!H26+OpEx!H29+OpEx!H34</f>
        <v>174145.833333333</v>
      </c>
      <c r="I35" s="29" t="n">
        <f aca="false">OpEx!I17+OpEx!I26+OpEx!I29+OpEx!I34</f>
        <v>184145.833333333</v>
      </c>
      <c r="J35" s="29" t="n">
        <f aca="false">OpEx!J17+OpEx!J26+OpEx!J29+OpEx!J34</f>
        <v>197995.085507246</v>
      </c>
      <c r="K35" s="29" t="n">
        <f aca="false">OpEx!K17+OpEx!K26+OpEx!K29+OpEx!K34</f>
        <v>257448.911594203</v>
      </c>
      <c r="L35" s="29" t="n">
        <f aca="false">OpEx!L17+OpEx!L26+OpEx!L29+OpEx!L34</f>
        <v>296698.911594203</v>
      </c>
      <c r="M35" s="29" t="n">
        <f aca="false">OpEx!M17+OpEx!M26+OpEx!M29+OpEx!M34</f>
        <v>706386.411594203</v>
      </c>
      <c r="N35" s="29" t="n">
        <f aca="false">OpEx!N17+OpEx!N26+OpEx!N29+OpEx!N34</f>
        <v>615657.244927536</v>
      </c>
      <c r="O35" s="29" t="n">
        <f aca="false">OpEx!O17+OpEx!O26+OpEx!O29+OpEx!O34</f>
        <v>632812.5</v>
      </c>
      <c r="P35" s="29" t="n">
        <f aca="false">OpEx!P17+OpEx!P26+OpEx!P29+OpEx!P34</f>
        <v>582812.5</v>
      </c>
      <c r="Q35" s="29" t="n">
        <f aca="false">OpEx!Q17+OpEx!Q26+OpEx!Q29+OpEx!Q34</f>
        <v>429932.133333333</v>
      </c>
      <c r="R35" s="29" t="n">
        <f aca="false">OpEx!R17+OpEx!R26+OpEx!R29+OpEx!R34</f>
        <v>450434.620666667</v>
      </c>
      <c r="S35" s="29" t="n">
        <f aca="false">OpEx!S17+OpEx!S26+OpEx!S29+OpEx!S34</f>
        <v>485483.749333333</v>
      </c>
      <c r="T35" s="29" t="n">
        <f aca="false">OpEx!T17+OpEx!T26+OpEx!T29+OpEx!T34</f>
        <v>516985.672333333</v>
      </c>
      <c r="U35" s="29" t="n">
        <f aca="false">OpEx!U17+OpEx!U26+OpEx!U29+OpEx!U34</f>
        <v>568997.104333333</v>
      </c>
      <c r="V35" s="29" t="n">
        <f aca="false">OpEx!V17+OpEx!V26+OpEx!V29+OpEx!V34</f>
        <v>589440.828</v>
      </c>
      <c r="W35" s="29" t="n">
        <f aca="false">OpEx!W17+OpEx!W26+OpEx!W29+OpEx!W34</f>
        <v>591973.7325</v>
      </c>
      <c r="X35" s="29" t="n">
        <f aca="false">OpEx!X17+OpEx!X26+OpEx!X29+OpEx!X34</f>
        <v>596730.8775</v>
      </c>
      <c r="Y35" s="29" t="n">
        <f aca="false">OpEx!Y17+OpEx!Y26+OpEx!Y29+OpEx!Y34</f>
        <v>596336.379166667</v>
      </c>
      <c r="Z35" s="29" t="n">
        <f aca="false">OpEx!Z17+OpEx!Z26+OpEx!Z29+OpEx!Z34</f>
        <v>615364.959166667</v>
      </c>
      <c r="AA35" s="29" t="n">
        <f aca="false">OpEx!AA17+OpEx!AA26+OpEx!AA29+OpEx!AA34</f>
        <v>730104.279166667</v>
      </c>
      <c r="AB35" s="29" t="n">
        <f aca="false">OpEx!AB17+OpEx!AB26+OpEx!AB29+OpEx!AB34</f>
        <v>832382.896666667</v>
      </c>
      <c r="AC35" s="29" t="n">
        <f aca="false">OpEx!AC17+OpEx!AC26+OpEx!AC29+OpEx!AC34</f>
        <v>17725693.5916667</v>
      </c>
      <c r="AD35" s="29" t="n">
        <f aca="false">OpEx!AD17+OpEx!AD26+OpEx!AD29+OpEx!AD34</f>
        <v>30646132.2929167</v>
      </c>
      <c r="AE35" s="29" t="n">
        <f aca="false">OpEx!AE17+OpEx!AE26+OpEx!AE29+OpEx!AE34</f>
        <v>44858889.6869281</v>
      </c>
      <c r="AG35" s="29" t="n">
        <f aca="false">SUMIF($C$3:$AE$3,AG$3,$C35:$AE35)</f>
        <v>198666.666666667</v>
      </c>
      <c r="AH35" s="29" t="n">
        <f aca="false">SUMIF($C$3:$AE$3,AH$3,$C35:$AE35)</f>
        <v>4189019.89855072</v>
      </c>
      <c r="AI35" s="29" t="n">
        <f aca="false">SUMIF($C$3:$AE$3,AI$3,$C35:$AE35)</f>
        <v>7004167.23216667</v>
      </c>
      <c r="AJ35" s="29" t="n">
        <f aca="false">SUMIF($C$3:$AE$3,AJ$3,$C35:$AE35)</f>
        <v>17725693.5916667</v>
      </c>
      <c r="AK35" s="29" t="n">
        <f aca="false">SUMIF($C$3:$AE$3,AK$3,$C35:$AE35)</f>
        <v>30646132.2929167</v>
      </c>
      <c r="AL35" s="29" t="n">
        <f aca="false">SUMIF($C$3:$AE$3,AL$3,$C35:$AE35)</f>
        <v>44858889.6869281</v>
      </c>
    </row>
    <row r="36" customFormat="false" ht="15" hidden="false" customHeight="false" outlineLevel="0" collapsed="false">
      <c r="A36" s="0" t="s">
        <v>630</v>
      </c>
      <c r="B36" s="2"/>
      <c r="C36" s="4" t="n">
        <f aca="false">OpEx!C11+OpEx!C12+OpEx!C13+OpEx!C14</f>
        <v>25000</v>
      </c>
      <c r="D36" s="4" t="n">
        <f aca="false">OpEx!D11+OpEx!D12+OpEx!D13+OpEx!D14</f>
        <v>55000</v>
      </c>
      <c r="E36" s="4" t="n">
        <f aca="false">OpEx!E11+OpEx!E12+OpEx!E13+OpEx!E14</f>
        <v>50000</v>
      </c>
      <c r="F36" s="4" t="n">
        <f aca="false">OpEx!F11+OpEx!F12+OpEx!F13+OpEx!F14</f>
        <v>70000</v>
      </c>
      <c r="G36" s="4" t="n">
        <f aca="false">OpEx!G11+OpEx!G12+OpEx!G13+OpEx!G14</f>
        <v>10000</v>
      </c>
      <c r="H36" s="4" t="n">
        <f aca="false">OpEx!H11+OpEx!H12+OpEx!H13+OpEx!H14</f>
        <v>0</v>
      </c>
      <c r="I36" s="4" t="n">
        <f aca="false">OpEx!I11+OpEx!I12+OpEx!I13+OpEx!I14</f>
        <v>0</v>
      </c>
      <c r="J36" s="4" t="n">
        <f aca="false">OpEx!J11+OpEx!J12+OpEx!J13+OpEx!J14</f>
        <v>0</v>
      </c>
      <c r="K36" s="4" t="n">
        <f aca="false">OpEx!K11+OpEx!K12+OpEx!K13+OpEx!K14</f>
        <v>120000</v>
      </c>
      <c r="L36" s="4" t="n">
        <f aca="false">OpEx!L11+OpEx!L12+OpEx!L13+OpEx!L14</f>
        <v>120000</v>
      </c>
      <c r="M36" s="4" t="n">
        <f aca="false">OpEx!M11+OpEx!M12+OpEx!M13+OpEx!M14</f>
        <v>500000</v>
      </c>
      <c r="N36" s="4" t="n">
        <f aca="false">OpEx!N11+OpEx!N12+OpEx!N13+OpEx!N14</f>
        <v>385000</v>
      </c>
      <c r="O36" s="4" t="n">
        <f aca="false">OpEx!O11+OpEx!O12+OpEx!O13+OpEx!O14</f>
        <v>390000</v>
      </c>
      <c r="P36" s="4" t="n">
        <f aca="false">OpEx!P11+OpEx!P12+OpEx!P13+OpEx!P14</f>
        <v>340000</v>
      </c>
      <c r="Q36" s="4" t="n">
        <f aca="false">OpEx!Q11+OpEx!Q12+OpEx!Q13+OpEx!Q14</f>
        <v>20000</v>
      </c>
      <c r="R36" s="4" t="n">
        <f aca="false">OpEx!R11+OpEx!R12+OpEx!R13+OpEx!R14</f>
        <v>20000</v>
      </c>
      <c r="S36" s="4" t="n">
        <f aca="false">OpEx!S11+OpEx!S12+OpEx!S13+OpEx!S14</f>
        <v>15000</v>
      </c>
      <c r="T36" s="4" t="n">
        <f aca="false">OpEx!T11+OpEx!T12+OpEx!T13+OpEx!T14</f>
        <v>0</v>
      </c>
      <c r="U36" s="4" t="n">
        <f aca="false">OpEx!U11+OpEx!U12+OpEx!U13+OpEx!U14</f>
        <v>30000</v>
      </c>
      <c r="V36" s="4" t="n">
        <f aca="false">OpEx!V11+OpEx!V12+OpEx!V13+OpEx!V14</f>
        <v>0</v>
      </c>
      <c r="W36" s="4" t="n">
        <f aca="false">OpEx!W11+OpEx!W12+OpEx!W13+OpEx!W14</f>
        <v>0</v>
      </c>
      <c r="X36" s="4" t="n">
        <f aca="false">OpEx!X11+OpEx!X12+OpEx!X13+OpEx!X14</f>
        <v>0</v>
      </c>
      <c r="Y36" s="4" t="n">
        <f aca="false">OpEx!Y11+OpEx!Y12+OpEx!Y13+OpEx!Y14</f>
        <v>0</v>
      </c>
      <c r="Z36" s="4" t="n">
        <f aca="false">OpEx!Z11+OpEx!Z12+OpEx!Z13+OpEx!Z14</f>
        <v>0</v>
      </c>
      <c r="AA36" s="4" t="n">
        <f aca="false">OpEx!AA11+OpEx!AA12+OpEx!AA13+OpEx!AA14</f>
        <v>0</v>
      </c>
      <c r="AB36" s="4" t="n">
        <f aca="false">OpEx!AB11+OpEx!AB12+OpEx!AB13+OpEx!AB14</f>
        <v>0</v>
      </c>
      <c r="AC36" s="4" t="n">
        <f aca="false">OpEx!AC11+OpEx!AC12+OpEx!AC13+OpEx!AC14</f>
        <v>1300000</v>
      </c>
      <c r="AD36" s="4" t="n">
        <f aca="false">OpEx!AD11+OpEx!AD12+OpEx!AD13+OpEx!AD14</f>
        <v>1800000</v>
      </c>
      <c r="AE36" s="4" t="n">
        <f aca="false">OpEx!AE11+OpEx!AE12+OpEx!AE13+OpEx!AE14</f>
        <v>2300000</v>
      </c>
      <c r="AG36" s="4" t="n">
        <f aca="false">SUMIF($C$3:$AE$3,AG$3,$C36:$AE36)</f>
        <v>80000</v>
      </c>
      <c r="AH36" s="4" t="n">
        <f aca="false">SUMIF($C$3:$AE$3,AH$3,$C36:$AE36)</f>
        <v>1985000</v>
      </c>
      <c r="AI36" s="4" t="n">
        <f aca="false">SUMIF($C$3:$AE$3,AI$3,$C36:$AE36)</f>
        <v>85000</v>
      </c>
      <c r="AJ36" s="4" t="n">
        <f aca="false">SUMIF($C$3:$AE$3,AJ$3,$C36:$AE36)</f>
        <v>1300000</v>
      </c>
      <c r="AK36" s="4" t="n">
        <f aca="false">SUMIF($C$3:$AE$3,AK$3,$C36:$AE36)</f>
        <v>1800000</v>
      </c>
      <c r="AL36" s="4" t="n">
        <f aca="false">SUMIF($C$3:$AE$3,AL$3,$C36:$AE36)</f>
        <v>2300000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631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632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633</v>
      </c>
      <c r="B10" s="2"/>
      <c r="C10" s="4" t="n">
        <f aca="false">'Hardware COGS'!C11</f>
        <v>0</v>
      </c>
      <c r="D10" s="4" t="n">
        <f aca="false">'Hardware COGS'!D11</f>
        <v>0</v>
      </c>
      <c r="E10" s="4" t="n">
        <f aca="false">'Hardware COGS'!E11</f>
        <v>0</v>
      </c>
      <c r="F10" s="4" t="n">
        <f aca="false">'Hardware COGS'!F11</f>
        <v>0</v>
      </c>
      <c r="G10" s="4" t="n">
        <f aca="false">'Hardware COGS'!G11</f>
        <v>0</v>
      </c>
      <c r="H10" s="4" t="n">
        <f aca="false">'Hardware COGS'!H11</f>
        <v>0</v>
      </c>
      <c r="I10" s="4" t="n">
        <f aca="false">'Hardware COGS'!I11</f>
        <v>0</v>
      </c>
      <c r="J10" s="4" t="n">
        <f aca="false">'Hardware COGS'!J11</f>
        <v>0</v>
      </c>
      <c r="K10" s="4" t="n">
        <f aca="false">'Hardware COGS'!K11</f>
        <v>0</v>
      </c>
      <c r="L10" s="4" t="n">
        <f aca="false">'Hardware COGS'!L11</f>
        <v>0</v>
      </c>
      <c r="M10" s="4" t="n">
        <f aca="false">'Hardware COGS'!M11</f>
        <v>0</v>
      </c>
      <c r="N10" s="4" t="n">
        <f aca="false">'Hardware COGS'!N11</f>
        <v>0</v>
      </c>
      <c r="O10" s="4" t="n">
        <f aca="false">'Hardware COGS'!O11</f>
        <v>297640.6875</v>
      </c>
      <c r="P10" s="4" t="n">
        <f aca="false">'Hardware COGS'!P11</f>
        <v>220254.10875</v>
      </c>
      <c r="Q10" s="4" t="n">
        <f aca="false">'Hardware COGS'!Q11</f>
        <v>252348.37375</v>
      </c>
      <c r="R10" s="4" t="n">
        <f aca="false">'Hardware COGS'!R11</f>
        <v>307980.9261</v>
      </c>
      <c r="S10" s="4" t="n">
        <f aca="false">'Hardware COGS'!S11</f>
        <v>349971.7569</v>
      </c>
      <c r="T10" s="4" t="n">
        <f aca="false">'Hardware COGS'!T11</f>
        <v>341663.5575</v>
      </c>
      <c r="U10" s="4" t="n">
        <f aca="false">'Hardware COGS'!U11</f>
        <v>408329.6175</v>
      </c>
      <c r="V10" s="4" t="n">
        <f aca="false">'Hardware COGS'!V11</f>
        <v>474995.6775</v>
      </c>
      <c r="W10" s="4" t="n">
        <f aca="false">'Hardware COGS'!W11</f>
        <v>530411.839875</v>
      </c>
      <c r="X10" s="4" t="n">
        <f aca="false">'Hardware COGS'!X11</f>
        <v>546245.029125</v>
      </c>
      <c r="Y10" s="4" t="n">
        <f aca="false">'Hardware COGS'!Y11</f>
        <v>514578.650625</v>
      </c>
      <c r="Z10" s="4" t="n">
        <f aca="false">'Hardware COGS'!Z11</f>
        <v>577911.407625</v>
      </c>
      <c r="AA10" s="4" t="n">
        <f aca="false">'Hardware COGS'!AA11</f>
        <v>831242.435625</v>
      </c>
      <c r="AB10" s="4" t="n">
        <f aca="false">'Hardware COGS'!AB11</f>
        <v>1171656.0045</v>
      </c>
      <c r="AC10" s="4" t="n">
        <f aca="false">'Hardware COGS'!AC11</f>
        <v>17799838.02</v>
      </c>
      <c r="AD10" s="4" t="n">
        <f aca="false">'Hardware COGS'!AD11</f>
        <v>34166355.75</v>
      </c>
      <c r="AE10" s="4" t="n">
        <f aca="false">'Hardware COGS'!AE11</f>
        <v>52666187.4</v>
      </c>
      <c r="AG10" s="4" t="n">
        <f aca="false">SUMIF($C$3:$AE$3,AG$3,$C10:$AE10)</f>
        <v>0</v>
      </c>
      <c r="AH10" s="4" t="n">
        <f aca="false">SUMIF($C$3:$AE$3,AH$3,$C10:$AE10)</f>
        <v>517894.79625</v>
      </c>
      <c r="AI10" s="4" t="n">
        <f aca="false">SUMIF($C$3:$AE$3,AI$3,$C10:$AE10)</f>
        <v>6307335.276625</v>
      </c>
      <c r="AJ10" s="4" t="n">
        <f aca="false">SUMIF($C$3:$AE$3,AJ$3,$C10:$AE10)</f>
        <v>17799838.02</v>
      </c>
      <c r="AK10" s="4" t="n">
        <f aca="false">SUMIF($C$3:$AE$3,AK$3,$C10:$AE10)</f>
        <v>34166355.75</v>
      </c>
      <c r="AL10" s="4" t="n">
        <f aca="false">SUMIF($C$3:$AE$3,AL$3,$C10:$AE10)</f>
        <v>52666187.4</v>
      </c>
    </row>
    <row r="11" customFormat="false" ht="15" hidden="false" customHeight="false" outlineLevel="0" collapsed="false">
      <c r="A11" s="0" t="s">
        <v>634</v>
      </c>
      <c r="B11" s="2"/>
      <c r="C11" s="4" t="n">
        <f aca="false">odm_dep*'Hardware COGS'!F11+(1-odm_dep)*'Hardware COGS'!D11</f>
        <v>0</v>
      </c>
      <c r="D11" s="4" t="n">
        <f aca="false">odm_dep*'Hardware COGS'!G11+(1-odm_dep)*'Hardware COGS'!E11</f>
        <v>0</v>
      </c>
      <c r="E11" s="4" t="n">
        <f aca="false">odm_dep*'Hardware COGS'!H11+(1-odm_dep)*'Hardware COGS'!F11</f>
        <v>0</v>
      </c>
      <c r="F11" s="4" t="n">
        <f aca="false">odm_dep*'Hardware COGS'!I11+(1-odm_dep)*'Hardware COGS'!G11</f>
        <v>0</v>
      </c>
      <c r="G11" s="4" t="n">
        <f aca="false">odm_dep*'Hardware COGS'!J11+(1-odm_dep)*'Hardware COGS'!H11</f>
        <v>0</v>
      </c>
      <c r="H11" s="4" t="n">
        <f aca="false">odm_dep*'Hardware COGS'!K11+(1-odm_dep)*'Hardware COGS'!I11</f>
        <v>0</v>
      </c>
      <c r="I11" s="4" t="n">
        <f aca="false">odm_dep*'Hardware COGS'!L11+(1-odm_dep)*'Hardware COGS'!J11</f>
        <v>0</v>
      </c>
      <c r="J11" s="4" t="n">
        <f aca="false">odm_dep*'Hardware COGS'!M11+(1-odm_dep)*'Hardware COGS'!K11</f>
        <v>0</v>
      </c>
      <c r="K11" s="4" t="n">
        <f aca="false">odm_dep*'Hardware COGS'!N11+(1-odm_dep)*'Hardware COGS'!L11</f>
        <v>0</v>
      </c>
      <c r="L11" s="4" t="n">
        <f aca="false">odm_dep*'Hardware COGS'!O11+(1-odm_dep)*'Hardware COGS'!M11</f>
        <v>89292.20625</v>
      </c>
      <c r="M11" s="4" t="n">
        <f aca="false">odm_dep*'Hardware COGS'!P11+(1-odm_dep)*'Hardware COGS'!N11</f>
        <v>66076.232625</v>
      </c>
      <c r="N11" s="4" t="n">
        <f aca="false">odm_dep*'Hardware COGS'!Q11+(1-odm_dep)*'Hardware COGS'!O11</f>
        <v>284052.993375</v>
      </c>
      <c r="O11" s="4" t="n">
        <f aca="false">odm_dep*'Hardware COGS'!R11+(1-odm_dep)*'Hardware COGS'!P11</f>
        <v>246572.153955</v>
      </c>
      <c r="P11" s="4" t="n">
        <f aca="false">odm_dep*'Hardware COGS'!S11+(1-odm_dep)*'Hardware COGS'!Q11</f>
        <v>281635.388695</v>
      </c>
      <c r="Q11" s="4" t="n">
        <f aca="false">odm_dep*'Hardware COGS'!T11+(1-odm_dep)*'Hardware COGS'!R11</f>
        <v>318085.71552</v>
      </c>
      <c r="R11" s="4" t="n">
        <f aca="false">odm_dep*'Hardware COGS'!U11+(1-odm_dep)*'Hardware COGS'!S11</f>
        <v>367479.11508</v>
      </c>
      <c r="S11" s="4" t="n">
        <f aca="false">odm_dep*'Hardware COGS'!V11+(1-odm_dep)*'Hardware COGS'!T11</f>
        <v>381663.1935</v>
      </c>
      <c r="T11" s="4" t="n">
        <f aca="false">odm_dep*'Hardware COGS'!W11+(1-odm_dep)*'Hardware COGS'!U11</f>
        <v>444954.2842125</v>
      </c>
      <c r="U11" s="4" t="n">
        <f aca="false">odm_dep*'Hardware COGS'!X11+(1-odm_dep)*'Hardware COGS'!V11</f>
        <v>496370.4829875</v>
      </c>
      <c r="V11" s="4" t="n">
        <f aca="false">odm_dep*'Hardware COGS'!Y11+(1-odm_dep)*'Hardware COGS'!W11</f>
        <v>525661.8831</v>
      </c>
      <c r="W11" s="4" t="n">
        <f aca="false">odm_dep*'Hardware COGS'!Z11+(1-odm_dep)*'Hardware COGS'!X11</f>
        <v>555744.942675</v>
      </c>
      <c r="X11" s="4" t="n">
        <f aca="false">odm_dep*'Hardware COGS'!AA11+(1-odm_dep)*'Hardware COGS'!Y11</f>
        <v>609577.786125</v>
      </c>
      <c r="Y11" s="4" t="n">
        <f aca="false">odm_dep*'Hardware COGS'!AB11+(1-odm_dep)*'Hardware COGS'!Z11</f>
        <v>756034.7866875</v>
      </c>
      <c r="Z11" s="4" t="n">
        <f aca="false">odm_dep*'Hardware COGS'!AC11/12+(1-odm_dep)*'Hardware COGS'!AA11</f>
        <v>1026865.6554375</v>
      </c>
      <c r="AA11" s="4" t="n">
        <f aca="false">odm_dep*'Hardware COGS'!AC11/12+(1-odm_dep)*'Hardware COGS'!AB11</f>
        <v>1265155.15365</v>
      </c>
      <c r="AB11" s="4" t="n">
        <f aca="false">odm_dep*'Hardware COGS'!AC11/12+(1-odm_dep)*'Hardware COGS'!AC11/12</f>
        <v>1483319.835</v>
      </c>
      <c r="AC11" s="4" t="n">
        <f aca="false">'Working Capital'!AC10+'Working Capital'!AC12-'Working Capital'!AB12</f>
        <v>18352527.054411</v>
      </c>
      <c r="AD11" s="4" t="n">
        <f aca="false">'Working Capital'!AD10+'Working Capital'!AD12-'Working Capital'!AC12</f>
        <v>36856742.2261644</v>
      </c>
      <c r="AE11" s="4" t="n">
        <f aca="false">'Working Capital'!AE10+'Working Capital'!AE12-'Working Capital'!AD12</f>
        <v>55707255.6164384</v>
      </c>
      <c r="AG11" s="4" t="n">
        <f aca="false">SUMIF($C$3:$AE$3,AG$3,$C11:$AE11)</f>
        <v>0</v>
      </c>
      <c r="AH11" s="4" t="n">
        <f aca="false">SUMIF($C$3:$AE$3,AH$3,$C11:$AE11)</f>
        <v>967628.9749</v>
      </c>
      <c r="AI11" s="4" t="n">
        <f aca="false">SUMIF($C$3:$AE$3,AI$3,$C11:$AE11)</f>
        <v>8230912.833975</v>
      </c>
      <c r="AJ11" s="4" t="n">
        <f aca="false">SUMIF($C$3:$AE$3,AJ$3,$C11:$AE11)</f>
        <v>18352527.054411</v>
      </c>
      <c r="AK11" s="4" t="n">
        <f aca="false">SUMIF($C$3:$AE$3,AK$3,$C11:$AE11)</f>
        <v>36856742.2261644</v>
      </c>
      <c r="AL11" s="4" t="n">
        <f aca="false">SUMIF($C$3:$AE$3,AL$3,$C11:$AE11)</f>
        <v>55707255.6164384</v>
      </c>
    </row>
    <row r="12" customFormat="false" ht="15" hidden="false" customHeight="false" outlineLevel="0" collapsed="false">
      <c r="A12" s="0" t="s">
        <v>635</v>
      </c>
      <c r="B12" s="2"/>
      <c r="C12" s="4" t="n">
        <f aca="false">0+C11-C10</f>
        <v>0</v>
      </c>
      <c r="D12" s="4" t="n">
        <f aca="false">C12+D11-D10</f>
        <v>0</v>
      </c>
      <c r="E12" s="4" t="n">
        <f aca="false">D12+E11-E10</f>
        <v>0</v>
      </c>
      <c r="F12" s="4" t="n">
        <f aca="false">E12+F11-F10</f>
        <v>0</v>
      </c>
      <c r="G12" s="4" t="n">
        <f aca="false">F12+G11-G10</f>
        <v>0</v>
      </c>
      <c r="H12" s="4" t="n">
        <f aca="false">G12+H11-H10</f>
        <v>0</v>
      </c>
      <c r="I12" s="4" t="n">
        <f aca="false">H12+I11-I10</f>
        <v>0</v>
      </c>
      <c r="J12" s="4" t="n">
        <f aca="false">I12+J11-J10</f>
        <v>0</v>
      </c>
      <c r="K12" s="4" t="n">
        <f aca="false">J12+K11-K10</f>
        <v>0</v>
      </c>
      <c r="L12" s="4" t="n">
        <f aca="false">K12+L11-L10</f>
        <v>89292.20625</v>
      </c>
      <c r="M12" s="4" t="n">
        <f aca="false">L12+M11-M10</f>
        <v>155368.438875</v>
      </c>
      <c r="N12" s="4" t="n">
        <f aca="false">M12+N11-N10</f>
        <v>439421.43225</v>
      </c>
      <c r="O12" s="4" t="n">
        <f aca="false">N12+O11-O10</f>
        <v>388352.898705</v>
      </c>
      <c r="P12" s="4" t="n">
        <f aca="false">O12+P11-P10</f>
        <v>449734.17865</v>
      </c>
      <c r="Q12" s="4" t="n">
        <f aca="false">P12+Q11-Q10</f>
        <v>515471.52042</v>
      </c>
      <c r="R12" s="4" t="n">
        <f aca="false">Q12+R11-R10</f>
        <v>574969.7094</v>
      </c>
      <c r="S12" s="4" t="n">
        <f aca="false">R12+S11-S10</f>
        <v>606661.146</v>
      </c>
      <c r="T12" s="4" t="n">
        <f aca="false">S12+T11-T10</f>
        <v>709951.8727125</v>
      </c>
      <c r="U12" s="4" t="n">
        <f aca="false">T12+U11-U10</f>
        <v>797992.7382</v>
      </c>
      <c r="V12" s="4" t="n">
        <f aca="false">U12+V11-V10</f>
        <v>848658.9438</v>
      </c>
      <c r="W12" s="4" t="n">
        <f aca="false">V12+W11-W10</f>
        <v>873992.0466</v>
      </c>
      <c r="X12" s="4" t="n">
        <f aca="false">W12+X11-X10</f>
        <v>937324.8036</v>
      </c>
      <c r="Y12" s="4" t="n">
        <f aca="false">X12+Y11-Y10</f>
        <v>1178780.9396625</v>
      </c>
      <c r="Z12" s="4" t="n">
        <f aca="false">Y12+Z11-Z10</f>
        <v>1627735.187475</v>
      </c>
      <c r="AA12" s="4" t="n">
        <f aca="false">Z12+AA11-AA10</f>
        <v>2061647.9055</v>
      </c>
      <c r="AB12" s="4" t="n">
        <f aca="false">AA12+AB11-AB10</f>
        <v>2373311.736</v>
      </c>
      <c r="AC12" s="4" t="n">
        <f aca="false">AC10*inv_days/365</f>
        <v>2926000.77041096</v>
      </c>
      <c r="AD12" s="4" t="n">
        <f aca="false">AD10*inv_days/365</f>
        <v>5616387.24657534</v>
      </c>
      <c r="AE12" s="4" t="n">
        <f aca="false">AE10*inv_days/365</f>
        <v>8657455.4630137</v>
      </c>
      <c r="AG12" s="4" t="n">
        <f aca="false">D12</f>
        <v>0</v>
      </c>
      <c r="AH12" s="4" t="n">
        <f aca="false">P12</f>
        <v>449734.17865</v>
      </c>
      <c r="AI12" s="4" t="n">
        <f aca="false">AB12</f>
        <v>2373311.736</v>
      </c>
      <c r="AJ12" s="4" t="n">
        <f aca="false">AC12</f>
        <v>2926000.77041096</v>
      </c>
      <c r="AK12" s="4" t="n">
        <f aca="false">AD12</f>
        <v>5616387.24657534</v>
      </c>
      <c r="AL12" s="4" t="n">
        <f aca="false">AE12</f>
        <v>8657455.4630137</v>
      </c>
    </row>
    <row r="14" customFormat="false" ht="15" hidden="false" customHeight="false" outlineLevel="0" collapsed="false">
      <c r="A14" s="8" t="s">
        <v>636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5" hidden="false" customHeight="false" outlineLevel="0" collapsed="false">
      <c r="A15" s="0" t="s">
        <v>637</v>
      </c>
      <c r="B15" s="2"/>
      <c r="C15" s="4" t="n">
        <f aca="false">'Revenue Build'!C11*(1-returns_pct)*ar_days/30</f>
        <v>0</v>
      </c>
      <c r="D15" s="4" t="n">
        <f aca="false">'Revenue Build'!D11*(1-returns_pct)*ar_days/30</f>
        <v>0</v>
      </c>
      <c r="E15" s="4" t="n">
        <f aca="false">'Revenue Build'!E11*(1-returns_pct)*ar_days/30</f>
        <v>0</v>
      </c>
      <c r="F15" s="4" t="n">
        <f aca="false">'Revenue Build'!F11*(1-returns_pct)*ar_days/30</f>
        <v>0</v>
      </c>
      <c r="G15" s="4" t="n">
        <f aca="false">'Revenue Build'!G11*(1-returns_pct)*ar_days/30</f>
        <v>0</v>
      </c>
      <c r="H15" s="4" t="n">
        <f aca="false">'Revenue Build'!H11*(1-returns_pct)*ar_days/30</f>
        <v>0</v>
      </c>
      <c r="I15" s="4" t="n">
        <f aca="false">'Revenue Build'!I11*(1-returns_pct)*ar_days/30</f>
        <v>0</v>
      </c>
      <c r="J15" s="4" t="n">
        <f aca="false">'Revenue Build'!J11*(1-returns_pct)*ar_days/30</f>
        <v>0</v>
      </c>
      <c r="K15" s="4" t="n">
        <f aca="false">'Revenue Build'!K11*(1-returns_pct)*ar_days/30</f>
        <v>0</v>
      </c>
      <c r="L15" s="4" t="n">
        <f aca="false">'Revenue Build'!L11*(1-returns_pct)*ar_days/30</f>
        <v>0</v>
      </c>
      <c r="M15" s="4" t="n">
        <f aca="false">'Revenue Build'!M11*(1-returns_pct)*ar_days/30</f>
        <v>0</v>
      </c>
      <c r="N15" s="4" t="n">
        <f aca="false">'Revenue Build'!N11*(1-returns_pct)*ar_days/30</f>
        <v>0</v>
      </c>
      <c r="O15" s="4" t="n">
        <f aca="false">'Revenue Build'!O11*(1-returns_pct)*ar_days/30</f>
        <v>0</v>
      </c>
      <c r="P15" s="4" t="n">
        <f aca="false">'Revenue Build'!P11*(1-returns_pct)*ar_days/30</f>
        <v>0</v>
      </c>
      <c r="Q15" s="4" t="n">
        <f aca="false">'Revenue Build'!Q11*(1-returns_pct)*ar_days/30</f>
        <v>24496.2</v>
      </c>
      <c r="R15" s="4" t="n">
        <f aca="false">'Revenue Build'!R11*(1-returns_pct)*ar_days/30</f>
        <v>26455.896</v>
      </c>
      <c r="S15" s="4" t="n">
        <f aca="false">'Revenue Build'!S11*(1-returns_pct)*ar_days/30</f>
        <v>32334.984</v>
      </c>
      <c r="T15" s="4" t="n">
        <f aca="false">'Revenue Build'!T11*(1-returns_pct)*ar_days/30</f>
        <v>50606.136</v>
      </c>
      <c r="U15" s="4" t="n">
        <f aca="false">'Revenue Build'!U11*(1-returns_pct)*ar_days/30</f>
        <v>60480.504</v>
      </c>
      <c r="V15" s="4" t="n">
        <f aca="false">'Revenue Build'!V11*(1-returns_pct)*ar_days/30</f>
        <v>70354.872</v>
      </c>
      <c r="W15" s="4" t="n">
        <f aca="false">'Revenue Build'!W11*(1-returns_pct)*ar_days/30</f>
        <v>206744.58</v>
      </c>
      <c r="X15" s="4" t="n">
        <f aca="false">'Revenue Build'!X11*(1-returns_pct)*ar_days/30</f>
        <v>212916.06</v>
      </c>
      <c r="Y15" s="4" t="n">
        <f aca="false">'Revenue Build'!Y11*(1-returns_pct)*ar_days/30</f>
        <v>200573.1</v>
      </c>
      <c r="Z15" s="4" t="n">
        <f aca="false">'Revenue Build'!Z11*(1-returns_pct)*ar_days/30</f>
        <v>225259.02</v>
      </c>
      <c r="AA15" s="4" t="n">
        <f aca="false">'Revenue Build'!AA11*(1-returns_pct)*ar_days/30</f>
        <v>324002.7</v>
      </c>
      <c r="AB15" s="4" t="n">
        <f aca="false">'Revenue Build'!AB11*(1-returns_pct)*ar_days/30</f>
        <v>456689.52</v>
      </c>
      <c r="AC15" s="4" t="n">
        <f aca="false">'Revenue Build'!AC11*(1-returns_pct)*ar_days/365</f>
        <v>730432.701369863</v>
      </c>
      <c r="AD15" s="4" t="n">
        <f aca="false">'Revenue Build'!AD11*(1-returns_pct)*ar_days/365</f>
        <v>1775357.26027397</v>
      </c>
      <c r="AE15" s="4" t="n">
        <f aca="false">'Revenue Build'!AE11*(1-returns_pct)*ar_days/365</f>
        <v>2840571.61643836</v>
      </c>
      <c r="AG15" s="4" t="n">
        <f aca="false">D15</f>
        <v>0</v>
      </c>
      <c r="AH15" s="4" t="n">
        <f aca="false">P15</f>
        <v>0</v>
      </c>
      <c r="AI15" s="4" t="n">
        <f aca="false">AB15</f>
        <v>456689.52</v>
      </c>
      <c r="AJ15" s="4" t="n">
        <f aca="false">AC15</f>
        <v>730432.701369863</v>
      </c>
      <c r="AK15" s="4" t="n">
        <f aca="false">AD15</f>
        <v>1775357.26027397</v>
      </c>
      <c r="AL15" s="4" t="n">
        <f aca="false">AE15</f>
        <v>2840571.61643836</v>
      </c>
    </row>
    <row r="17" customFormat="false" ht="15" hidden="false" customHeight="false" outlineLevel="0" collapsed="false">
      <c r="A17" s="8" t="s">
        <v>638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customFormat="false" ht="15" hidden="false" customHeight="false" outlineLevel="0" collapsed="false">
      <c r="A18" s="0" t="s">
        <v>639</v>
      </c>
      <c r="B18" s="2"/>
      <c r="C18" s="4" t="n">
        <f aca="false">(ks_units+pre_units)*sc_vol*Assumptions!C104*(pre_mix_peb*'Pricing &amp; Mix'!C19+(1-pre_mix_peb-pre_mix_atl)*'Pricing &amp; Mix'!C20+pre_mix_atl*'Pricing &amp; Mix'!C21)</f>
        <v>0</v>
      </c>
      <c r="D18" s="4" t="n">
        <f aca="false">(ks_units+pre_units)*sc_vol*Assumptions!D104*(pre_mix_peb*'Pricing &amp; Mix'!D19+(1-pre_mix_peb-pre_mix_atl)*'Pricing &amp; Mix'!D20+pre_mix_atl*'Pricing &amp; Mix'!D21)</f>
        <v>0</v>
      </c>
      <c r="E18" s="4" t="n">
        <f aca="false">(ks_units+pre_units)*sc_vol*Assumptions!E104*(pre_mix_peb*'Pricing &amp; Mix'!E19+(1-pre_mix_peb-pre_mix_atl)*'Pricing &amp; Mix'!E20+pre_mix_atl*'Pricing &amp; Mix'!E21)</f>
        <v>0</v>
      </c>
      <c r="F18" s="4" t="n">
        <f aca="false">(ks_units+pre_units)*sc_vol*Assumptions!F104*(pre_mix_peb*'Pricing &amp; Mix'!F19+(1-pre_mix_peb-pre_mix_atl)*'Pricing &amp; Mix'!F20+pre_mix_atl*'Pricing &amp; Mix'!F21)</f>
        <v>0</v>
      </c>
      <c r="G18" s="4" t="n">
        <f aca="false">(ks_units+pre_units)*sc_vol*Assumptions!G104*(pre_mix_peb*'Pricing &amp; Mix'!G19+(1-pre_mix_peb-pre_mix_atl)*'Pricing &amp; Mix'!G20+pre_mix_atl*'Pricing &amp; Mix'!G21)</f>
        <v>0</v>
      </c>
      <c r="H18" s="4" t="n">
        <f aca="false">(ks_units+pre_units)*sc_vol*Assumptions!H104*(pre_mix_peb*'Pricing &amp; Mix'!H19+(1-pre_mix_peb-pre_mix_atl)*'Pricing &amp; Mix'!H20+pre_mix_atl*'Pricing &amp; Mix'!H21)</f>
        <v>0</v>
      </c>
      <c r="I18" s="4" t="n">
        <f aca="false">(ks_units+pre_units)*sc_vol*Assumptions!I104*(pre_mix_peb*'Pricing &amp; Mix'!I19+(1-pre_mix_peb-pre_mix_atl)*'Pricing &amp; Mix'!I20+pre_mix_atl*'Pricing &amp; Mix'!I21)</f>
        <v>0</v>
      </c>
      <c r="J18" s="4" t="n">
        <f aca="false">(ks_units+pre_units)*sc_vol*Assumptions!J104*(pre_mix_peb*'Pricing &amp; Mix'!J19+(1-pre_mix_peb-pre_mix_atl)*'Pricing &amp; Mix'!J20+pre_mix_atl*'Pricing &amp; Mix'!J21)</f>
        <v>851920</v>
      </c>
      <c r="K18" s="4" t="n">
        <f aca="false">(ks_units+pre_units)*sc_vol*Assumptions!K104*(pre_mix_peb*'Pricing &amp; Mix'!K19+(1-pre_mix_peb-pre_mix_atl)*'Pricing &amp; Mix'!K20+pre_mix_atl*'Pricing &amp; Mix'!K21)</f>
        <v>53245</v>
      </c>
      <c r="L18" s="4" t="n">
        <f aca="false">(ks_units+pre_units)*sc_vol*Assumptions!L104*(pre_mix_peb*'Pricing &amp; Mix'!L19+(1-pre_mix_peb-pre_mix_atl)*'Pricing &amp; Mix'!L20+pre_mix_atl*'Pricing &amp; Mix'!L21)</f>
        <v>53245</v>
      </c>
      <c r="M18" s="4" t="n">
        <f aca="false">(ks_units+pre_units)*sc_vol*Assumptions!M104*(pre_mix_peb*'Pricing &amp; Mix'!M19+(1-pre_mix_peb-pre_mix_atl)*'Pricing &amp; Mix'!M20+pre_mix_atl*'Pricing &amp; Mix'!M21)</f>
        <v>53245</v>
      </c>
      <c r="N18" s="4" t="n">
        <f aca="false">(ks_units+pre_units)*sc_vol*Assumptions!N104*(pre_mix_peb*'Pricing &amp; Mix'!N19+(1-pre_mix_peb-pre_mix_atl)*'Pricing &amp; Mix'!N20+pre_mix_atl*'Pricing &amp; Mix'!N21)</f>
        <v>53245</v>
      </c>
      <c r="O18" s="4" t="n">
        <f aca="false">(ks_units+pre_units)*sc_vol*Assumptions!O104*(pre_mix_peb*'Pricing &amp; Mix'!O19+(1-pre_mix_peb-pre_mix_atl)*'Pricing &amp; Mix'!O20+pre_mix_atl*'Pricing &amp; Mix'!O21)</f>
        <v>0</v>
      </c>
      <c r="P18" s="4" t="n">
        <f aca="false">(ks_units+pre_units)*sc_vol*Assumptions!P104*(pre_mix_peb*'Pricing &amp; Mix'!P19+(1-pre_mix_peb-pre_mix_atl)*'Pricing &amp; Mix'!P20+pre_mix_atl*'Pricing &amp; Mix'!P21)</f>
        <v>0</v>
      </c>
      <c r="Q18" s="4" t="n">
        <f aca="false">(ks_units+pre_units)*sc_vol*Assumptions!Q104*(pre_mix_peb*'Pricing &amp; Mix'!Q19+(1-pre_mix_peb-pre_mix_atl)*'Pricing &amp; Mix'!Q20+pre_mix_atl*'Pricing &amp; Mix'!Q21)</f>
        <v>0</v>
      </c>
      <c r="R18" s="4" t="n">
        <f aca="false">(ks_units+pre_units)*sc_vol*Assumptions!R104*(pre_mix_peb*'Pricing &amp; Mix'!R19+(1-pre_mix_peb-pre_mix_atl)*'Pricing &amp; Mix'!R20+pre_mix_atl*'Pricing &amp; Mix'!R21)</f>
        <v>0</v>
      </c>
      <c r="S18" s="4" t="n">
        <f aca="false">(ks_units+pre_units)*sc_vol*Assumptions!S104*(pre_mix_peb*'Pricing &amp; Mix'!S19+(1-pre_mix_peb-pre_mix_atl)*'Pricing &amp; Mix'!S20+pre_mix_atl*'Pricing &amp; Mix'!S21)</f>
        <v>0</v>
      </c>
      <c r="T18" s="4" t="n">
        <f aca="false">(ks_units+pre_units)*sc_vol*Assumptions!T104*(pre_mix_peb*'Pricing &amp; Mix'!T19+(1-pre_mix_peb-pre_mix_atl)*'Pricing &amp; Mix'!T20+pre_mix_atl*'Pricing &amp; Mix'!T21)</f>
        <v>0</v>
      </c>
      <c r="U18" s="4" t="n">
        <f aca="false">(ks_units+pre_units)*sc_vol*Assumptions!U104*(pre_mix_peb*'Pricing &amp; Mix'!U19+(1-pre_mix_peb-pre_mix_atl)*'Pricing &amp; Mix'!U20+pre_mix_atl*'Pricing &amp; Mix'!U21)</f>
        <v>0</v>
      </c>
      <c r="V18" s="4" t="n">
        <f aca="false">(ks_units+pre_units)*sc_vol*Assumptions!V104*(pre_mix_peb*'Pricing &amp; Mix'!V19+(1-pre_mix_peb-pre_mix_atl)*'Pricing &amp; Mix'!V20+pre_mix_atl*'Pricing &amp; Mix'!V21)</f>
        <v>0</v>
      </c>
      <c r="W18" s="4" t="n">
        <f aca="false">(ks_units+pre_units)*sc_vol*Assumptions!W104*(pre_mix_peb*'Pricing &amp; Mix'!W19+(1-pre_mix_peb-pre_mix_atl)*'Pricing &amp; Mix'!W20+pre_mix_atl*'Pricing &amp; Mix'!W21)</f>
        <v>0</v>
      </c>
      <c r="X18" s="4" t="n">
        <f aca="false">(ks_units+pre_units)*sc_vol*Assumptions!X104*(pre_mix_peb*'Pricing &amp; Mix'!X19+(1-pre_mix_peb-pre_mix_atl)*'Pricing &amp; Mix'!X20+pre_mix_atl*'Pricing &amp; Mix'!X21)</f>
        <v>0</v>
      </c>
      <c r="Y18" s="4" t="n">
        <f aca="false">(ks_units+pre_units)*sc_vol*Assumptions!Y104*(pre_mix_peb*'Pricing &amp; Mix'!Y19+(1-pre_mix_peb-pre_mix_atl)*'Pricing &amp; Mix'!Y20+pre_mix_atl*'Pricing &amp; Mix'!Y21)</f>
        <v>0</v>
      </c>
      <c r="Z18" s="4" t="n">
        <f aca="false">(ks_units+pre_units)*sc_vol*Assumptions!Z104*(pre_mix_peb*'Pricing &amp; Mix'!Z19+(1-pre_mix_peb-pre_mix_atl)*'Pricing &amp; Mix'!Z20+pre_mix_atl*'Pricing &amp; Mix'!Z21)</f>
        <v>0</v>
      </c>
      <c r="AA18" s="4" t="n">
        <f aca="false">(ks_units+pre_units)*sc_vol*Assumptions!AA104*(pre_mix_peb*'Pricing &amp; Mix'!AA19+(1-pre_mix_peb-pre_mix_atl)*'Pricing &amp; Mix'!AA20+pre_mix_atl*'Pricing &amp; Mix'!AA21)</f>
        <v>0</v>
      </c>
      <c r="AB18" s="4" t="n">
        <f aca="false">(ks_units+pre_units)*sc_vol*Assumptions!AB104*(pre_mix_peb*'Pricing &amp; Mix'!AB19+(1-pre_mix_peb-pre_mix_atl)*'Pricing &amp; Mix'!AB20+pre_mix_atl*'Pricing &amp; Mix'!AB21)</f>
        <v>0</v>
      </c>
      <c r="AC18" s="4" t="n">
        <f aca="false">(ks_units+pre_units)*sc_vol*Assumptions!AC104*(pre_mix_peb*'Pricing &amp; Mix'!AC19+(1-pre_mix_peb-pre_mix_atl)*'Pricing &amp; Mix'!AC20+pre_mix_atl*'Pricing &amp; Mix'!AC21)</f>
        <v>0</v>
      </c>
      <c r="AD18" s="4" t="n">
        <f aca="false">(ks_units+pre_units)*sc_vol*Assumptions!AD104*(pre_mix_peb*'Pricing &amp; Mix'!AD19+(1-pre_mix_peb-pre_mix_atl)*'Pricing &amp; Mix'!AD20+pre_mix_atl*'Pricing &amp; Mix'!AD21)</f>
        <v>0</v>
      </c>
      <c r="AE18" s="4" t="n">
        <f aca="false">(ks_units+pre_units)*sc_vol*Assumptions!AE104*(pre_mix_peb*'Pricing &amp; Mix'!AE19+(1-pre_mix_peb-pre_mix_atl)*'Pricing &amp; Mix'!AE20+pre_mix_atl*'Pricing &amp; Mix'!AE21)</f>
        <v>0</v>
      </c>
      <c r="AG18" s="4" t="n">
        <f aca="false">SUMIF($C$3:$AE$3,AG$3,$C18:$AE18)</f>
        <v>0</v>
      </c>
      <c r="AH18" s="4" t="n">
        <f aca="false">SUMIF($C$3:$AE$3,AH$3,$C18:$AE18)</f>
        <v>1064900</v>
      </c>
      <c r="AI18" s="4" t="n">
        <f aca="false">SUMIF($C$3:$AE$3,AI$3,$C18:$AE18)</f>
        <v>0</v>
      </c>
      <c r="AJ18" s="4" t="n">
        <f aca="false">SUMIF($C$3:$AE$3,AJ$3,$C18:$AE18)</f>
        <v>0</v>
      </c>
      <c r="AK18" s="4" t="n">
        <f aca="false">SUMIF($C$3:$AE$3,AK$3,$C18:$AE18)</f>
        <v>0</v>
      </c>
      <c r="AL18" s="4" t="n">
        <f aca="false">SUMIF($C$3:$AE$3,AL$3,$C18:$AE18)</f>
        <v>0</v>
      </c>
    </row>
    <row r="19" customFormat="false" ht="15" hidden="false" customHeight="false" outlineLevel="0" collapsed="false">
      <c r="A19" s="0" t="s">
        <v>640</v>
      </c>
      <c r="B19" s="2"/>
      <c r="C19" s="4" t="n">
        <f aca="false">'Revenue Build'!C12</f>
        <v>0</v>
      </c>
      <c r="D19" s="4" t="n">
        <f aca="false">'Revenue Build'!D12</f>
        <v>0</v>
      </c>
      <c r="E19" s="4" t="n">
        <f aca="false">'Revenue Build'!E12</f>
        <v>0</v>
      </c>
      <c r="F19" s="4" t="n">
        <f aca="false">'Revenue Build'!F12</f>
        <v>0</v>
      </c>
      <c r="G19" s="4" t="n">
        <f aca="false">'Revenue Build'!G12</f>
        <v>0</v>
      </c>
      <c r="H19" s="4" t="n">
        <f aca="false">'Revenue Build'!H12</f>
        <v>0</v>
      </c>
      <c r="I19" s="4" t="n">
        <f aca="false">'Revenue Build'!I12</f>
        <v>0</v>
      </c>
      <c r="J19" s="4" t="n">
        <f aca="false">'Revenue Build'!J12</f>
        <v>0</v>
      </c>
      <c r="K19" s="4" t="n">
        <f aca="false">'Revenue Build'!K12</f>
        <v>0</v>
      </c>
      <c r="L19" s="4" t="n">
        <f aca="false">'Revenue Build'!L12</f>
        <v>0</v>
      </c>
      <c r="M19" s="4" t="n">
        <f aca="false">'Revenue Build'!M12</f>
        <v>0</v>
      </c>
      <c r="N19" s="4" t="n">
        <f aca="false">'Revenue Build'!N12</f>
        <v>0</v>
      </c>
      <c r="O19" s="4" t="n">
        <f aca="false">'Revenue Build'!O12</f>
        <v>362425</v>
      </c>
      <c r="P19" s="4" t="n">
        <f aca="false">'Revenue Build'!P12</f>
        <v>268194.5</v>
      </c>
      <c r="Q19" s="4" t="n">
        <f aca="false">'Revenue Build'!Q12</f>
        <v>94230.5</v>
      </c>
      <c r="R19" s="4" t="n">
        <f aca="false">'Revenue Build'!R12</f>
        <v>170025</v>
      </c>
      <c r="S19" s="4" t="n">
        <f aca="false">'Revenue Build'!S12</f>
        <v>170025</v>
      </c>
      <c r="T19" s="4" t="n">
        <f aca="false">'Revenue Build'!T12</f>
        <v>0</v>
      </c>
      <c r="U19" s="4" t="n">
        <f aca="false">'Revenue Build'!U12</f>
        <v>0</v>
      </c>
      <c r="V19" s="4" t="n">
        <f aca="false">'Revenue Build'!V12</f>
        <v>0</v>
      </c>
      <c r="W19" s="4" t="n">
        <f aca="false">'Revenue Build'!W12</f>
        <v>0</v>
      </c>
      <c r="X19" s="4" t="n">
        <f aca="false">'Revenue Build'!X12</f>
        <v>0</v>
      </c>
      <c r="Y19" s="4" t="n">
        <f aca="false">'Revenue Build'!Y12</f>
        <v>0</v>
      </c>
      <c r="Z19" s="4" t="n">
        <f aca="false">'Revenue Build'!Z12</f>
        <v>0</v>
      </c>
      <c r="AA19" s="4" t="n">
        <f aca="false">'Revenue Build'!AA12</f>
        <v>0</v>
      </c>
      <c r="AB19" s="4" t="n">
        <f aca="false">'Revenue Build'!AB12</f>
        <v>0</v>
      </c>
      <c r="AC19" s="4" t="n">
        <f aca="false">'Revenue Build'!AC12</f>
        <v>0</v>
      </c>
      <c r="AD19" s="4" t="n">
        <f aca="false">'Revenue Build'!AD12</f>
        <v>0</v>
      </c>
      <c r="AE19" s="4" t="n">
        <f aca="false">'Revenue Build'!AE12</f>
        <v>0</v>
      </c>
      <c r="AG19" s="4" t="n">
        <f aca="false">SUMIF($C$3:$AE$3,AG$3,$C19:$AE19)</f>
        <v>0</v>
      </c>
      <c r="AH19" s="4" t="n">
        <f aca="false">SUMIF($C$3:$AE$3,AH$3,$C19:$AE19)</f>
        <v>630619.5</v>
      </c>
      <c r="AI19" s="4" t="n">
        <f aca="false">SUMIF($C$3:$AE$3,AI$3,$C19:$AE19)</f>
        <v>434280.5</v>
      </c>
      <c r="AJ19" s="4" t="n">
        <f aca="false">SUMIF($C$3:$AE$3,AJ$3,$C19:$AE19)</f>
        <v>0</v>
      </c>
      <c r="AK19" s="4" t="n">
        <f aca="false">SUMIF($C$3:$AE$3,AK$3,$C19:$AE19)</f>
        <v>0</v>
      </c>
      <c r="AL19" s="4" t="n">
        <f aca="false">SUMIF($C$3:$AE$3,AL$3,$C19:$AE19)</f>
        <v>0</v>
      </c>
    </row>
    <row r="20" customFormat="false" ht="15" hidden="false" customHeight="false" outlineLevel="0" collapsed="false">
      <c r="A20" s="0" t="s">
        <v>641</v>
      </c>
      <c r="B20" s="2"/>
      <c r="C20" s="4" t="n">
        <f aca="false">0+C18-C19</f>
        <v>0</v>
      </c>
      <c r="D20" s="4" t="n">
        <f aca="false">C20+D18-D19</f>
        <v>0</v>
      </c>
      <c r="E20" s="4" t="n">
        <f aca="false">D20+E18-E19</f>
        <v>0</v>
      </c>
      <c r="F20" s="4" t="n">
        <f aca="false">E20+F18-F19</f>
        <v>0</v>
      </c>
      <c r="G20" s="4" t="n">
        <f aca="false">F20+G18-G19</f>
        <v>0</v>
      </c>
      <c r="H20" s="4" t="n">
        <f aca="false">G20+H18-H19</f>
        <v>0</v>
      </c>
      <c r="I20" s="4" t="n">
        <f aca="false">H20+I18-I19</f>
        <v>0</v>
      </c>
      <c r="J20" s="4" t="n">
        <f aca="false">I20+J18-J19</f>
        <v>851920</v>
      </c>
      <c r="K20" s="4" t="n">
        <f aca="false">J20+K18-K19</f>
        <v>905165</v>
      </c>
      <c r="L20" s="4" t="n">
        <f aca="false">K20+L18-L19</f>
        <v>958410</v>
      </c>
      <c r="M20" s="4" t="n">
        <f aca="false">L20+M18-M19</f>
        <v>1011655</v>
      </c>
      <c r="N20" s="4" t="n">
        <f aca="false">M20+N18-N19</f>
        <v>1064900</v>
      </c>
      <c r="O20" s="4" t="n">
        <f aca="false">N20+O18-O19</f>
        <v>702475</v>
      </c>
      <c r="P20" s="4" t="n">
        <f aca="false">O20+P18-P19</f>
        <v>434280.5</v>
      </c>
      <c r="Q20" s="4" t="n">
        <f aca="false">P20+Q18-Q19</f>
        <v>340050</v>
      </c>
      <c r="R20" s="4" t="n">
        <f aca="false">Q20+R18-R19</f>
        <v>170025</v>
      </c>
      <c r="S20" s="4" t="n">
        <f aca="false">R20+S18-S19</f>
        <v>0</v>
      </c>
      <c r="T20" s="4" t="n">
        <f aca="false">S20+T18-T19</f>
        <v>0</v>
      </c>
      <c r="U20" s="4" t="n">
        <f aca="false">T20+U18-U19</f>
        <v>0</v>
      </c>
      <c r="V20" s="4" t="n">
        <f aca="false">U20+V18-V19</f>
        <v>0</v>
      </c>
      <c r="W20" s="4" t="n">
        <f aca="false">V20+W18-W19</f>
        <v>0</v>
      </c>
      <c r="X20" s="4" t="n">
        <f aca="false">W20+X18-X19</f>
        <v>0</v>
      </c>
      <c r="Y20" s="4" t="n">
        <f aca="false">X20+Y18-Y19</f>
        <v>0</v>
      </c>
      <c r="Z20" s="4" t="n">
        <f aca="false">Y20+Z18-Z19</f>
        <v>0</v>
      </c>
      <c r="AA20" s="4" t="n">
        <f aca="false">Z20+AA18-AA19</f>
        <v>0</v>
      </c>
      <c r="AB20" s="4" t="n">
        <f aca="false">AA20+AB18-AB19</f>
        <v>0</v>
      </c>
      <c r="AC20" s="4" t="n">
        <f aca="false">AB20+AC18-AC19</f>
        <v>0</v>
      </c>
      <c r="AD20" s="4" t="n">
        <f aca="false">AC20+AD18-AD19</f>
        <v>0</v>
      </c>
      <c r="AE20" s="4" t="n">
        <f aca="false">AD20+AE18-AE19</f>
        <v>0</v>
      </c>
      <c r="AG20" s="4" t="n">
        <f aca="false">D20</f>
        <v>0</v>
      </c>
      <c r="AH20" s="4" t="n">
        <f aca="false">P20</f>
        <v>434280.5</v>
      </c>
      <c r="AI20" s="4" t="n">
        <f aca="false">AB20</f>
        <v>0</v>
      </c>
      <c r="AJ20" s="4" t="n">
        <f aca="false">AC20</f>
        <v>0</v>
      </c>
      <c r="AK20" s="4" t="n">
        <f aca="false">AD20</f>
        <v>0</v>
      </c>
      <c r="AL20" s="4" t="n">
        <f aca="false">AE20</f>
        <v>0</v>
      </c>
    </row>
    <row r="21" customFormat="false" ht="15" hidden="false" customHeight="false" outlineLevel="0" collapsed="false">
      <c r="A21" s="0" t="s">
        <v>642</v>
      </c>
      <c r="B21" s="2"/>
      <c r="C21" s="4" t="n">
        <f aca="false">'Working Capital'!C18*(ks_fee+ks_proc)+(ks_units+pre_units)*sc_vol*Assumptions!C104/units_per_pledge*ks_proc_fixed</f>
        <v>0</v>
      </c>
      <c r="D21" s="4" t="n">
        <f aca="false">'Working Capital'!D18*(ks_fee+ks_proc)+(ks_units+pre_units)*sc_vol*Assumptions!D104/units_per_pledge*ks_proc_fixed</f>
        <v>0</v>
      </c>
      <c r="E21" s="4" t="n">
        <f aca="false">'Working Capital'!E18*(ks_fee+ks_proc)+(ks_units+pre_units)*sc_vol*Assumptions!E104/units_per_pledge*ks_proc_fixed</f>
        <v>0</v>
      </c>
      <c r="F21" s="4" t="n">
        <f aca="false">'Working Capital'!F18*(ks_fee+ks_proc)+(ks_units+pre_units)*sc_vol*Assumptions!F104/units_per_pledge*ks_proc_fixed</f>
        <v>0</v>
      </c>
      <c r="G21" s="4" t="n">
        <f aca="false">'Working Capital'!G18*(ks_fee+ks_proc)+(ks_units+pre_units)*sc_vol*Assumptions!G104/units_per_pledge*ks_proc_fixed</f>
        <v>0</v>
      </c>
      <c r="H21" s="4" t="n">
        <f aca="false">'Working Capital'!H18*(ks_fee+ks_proc)+(ks_units+pre_units)*sc_vol*Assumptions!H104/units_per_pledge*ks_proc_fixed</f>
        <v>0</v>
      </c>
      <c r="I21" s="4" t="n">
        <f aca="false">'Working Capital'!I18*(ks_fee+ks_proc)+(ks_units+pre_units)*sc_vol*Assumptions!I104/units_per_pledge*ks_proc_fixed</f>
        <v>0</v>
      </c>
      <c r="J21" s="4" t="n">
        <f aca="false">'Working Capital'!J18*(ks_fee+ks_proc)+(ks_units+pre_units)*sc_vol*Assumptions!J104/units_per_pledge*ks_proc_fixed</f>
        <v>68849.2521739131</v>
      </c>
      <c r="K21" s="4" t="n">
        <f aca="false">'Working Capital'!K18*(ks_fee+ks_proc)+(ks_units+pre_units)*sc_vol*Assumptions!K104/units_per_pledge*ks_proc_fixed</f>
        <v>4303.07826086957</v>
      </c>
      <c r="L21" s="4" t="n">
        <f aca="false">'Working Capital'!L18*(ks_fee+ks_proc)+(ks_units+pre_units)*sc_vol*Assumptions!L104/units_per_pledge*ks_proc_fixed</f>
        <v>4303.07826086957</v>
      </c>
      <c r="M21" s="4" t="n">
        <f aca="false">'Working Capital'!M18*(ks_fee+ks_proc)+(ks_units+pre_units)*sc_vol*Assumptions!M104/units_per_pledge*ks_proc_fixed</f>
        <v>4303.07826086957</v>
      </c>
      <c r="N21" s="4" t="n">
        <f aca="false">'Working Capital'!N18*(ks_fee+ks_proc)+(ks_units+pre_units)*sc_vol*Assumptions!N104/units_per_pledge*ks_proc_fixed</f>
        <v>4303.07826086957</v>
      </c>
      <c r="O21" s="4" t="n">
        <f aca="false">'Working Capital'!O18*(ks_fee+ks_proc)+(ks_units+pre_units)*sc_vol*Assumptions!O104/units_per_pledge*ks_proc_fixed</f>
        <v>0</v>
      </c>
      <c r="P21" s="4" t="n">
        <f aca="false">'Working Capital'!P18*(ks_fee+ks_proc)+(ks_units+pre_units)*sc_vol*Assumptions!P104/units_per_pledge*ks_proc_fixed</f>
        <v>0</v>
      </c>
      <c r="Q21" s="4" t="n">
        <f aca="false">'Working Capital'!Q18*(ks_fee+ks_proc)+(ks_units+pre_units)*sc_vol*Assumptions!Q104/units_per_pledge*ks_proc_fixed</f>
        <v>0</v>
      </c>
      <c r="R21" s="4" t="n">
        <f aca="false">'Working Capital'!R18*(ks_fee+ks_proc)+(ks_units+pre_units)*sc_vol*Assumptions!R104/units_per_pledge*ks_proc_fixed</f>
        <v>0</v>
      </c>
      <c r="S21" s="4" t="n">
        <f aca="false">'Working Capital'!S18*(ks_fee+ks_proc)+(ks_units+pre_units)*sc_vol*Assumptions!S104/units_per_pledge*ks_proc_fixed</f>
        <v>0</v>
      </c>
      <c r="T21" s="4" t="n">
        <f aca="false">'Working Capital'!T18*(ks_fee+ks_proc)+(ks_units+pre_units)*sc_vol*Assumptions!T104/units_per_pledge*ks_proc_fixed</f>
        <v>0</v>
      </c>
      <c r="U21" s="4" t="n">
        <f aca="false">'Working Capital'!U18*(ks_fee+ks_proc)+(ks_units+pre_units)*sc_vol*Assumptions!U104/units_per_pledge*ks_proc_fixed</f>
        <v>0</v>
      </c>
      <c r="V21" s="4" t="n">
        <f aca="false">'Working Capital'!V18*(ks_fee+ks_proc)+(ks_units+pre_units)*sc_vol*Assumptions!V104/units_per_pledge*ks_proc_fixed</f>
        <v>0</v>
      </c>
      <c r="W21" s="4" t="n">
        <f aca="false">'Working Capital'!W18*(ks_fee+ks_proc)+(ks_units+pre_units)*sc_vol*Assumptions!W104/units_per_pledge*ks_proc_fixed</f>
        <v>0</v>
      </c>
      <c r="X21" s="4" t="n">
        <f aca="false">'Working Capital'!X18*(ks_fee+ks_proc)+(ks_units+pre_units)*sc_vol*Assumptions!X104/units_per_pledge*ks_proc_fixed</f>
        <v>0</v>
      </c>
      <c r="Y21" s="4" t="n">
        <f aca="false">'Working Capital'!Y18*(ks_fee+ks_proc)+(ks_units+pre_units)*sc_vol*Assumptions!Y104/units_per_pledge*ks_proc_fixed</f>
        <v>0</v>
      </c>
      <c r="Z21" s="4" t="n">
        <f aca="false">'Working Capital'!Z18*(ks_fee+ks_proc)+(ks_units+pre_units)*sc_vol*Assumptions!Z104/units_per_pledge*ks_proc_fixed</f>
        <v>0</v>
      </c>
      <c r="AA21" s="4" t="n">
        <f aca="false">'Working Capital'!AA18*(ks_fee+ks_proc)+(ks_units+pre_units)*sc_vol*Assumptions!AA104/units_per_pledge*ks_proc_fixed</f>
        <v>0</v>
      </c>
      <c r="AB21" s="4" t="n">
        <f aca="false">'Working Capital'!AB18*(ks_fee+ks_proc)+(ks_units+pre_units)*sc_vol*Assumptions!AB104/units_per_pledge*ks_proc_fixed</f>
        <v>0</v>
      </c>
      <c r="AC21" s="4" t="n">
        <f aca="false">'Working Capital'!AC18*(ks_fee+ks_proc)+(ks_units+pre_units)*sc_vol*Assumptions!AC104/units_per_pledge*ks_proc_fixed</f>
        <v>0</v>
      </c>
      <c r="AD21" s="4" t="n">
        <f aca="false">'Working Capital'!AD18*(ks_fee+ks_proc)+(ks_units+pre_units)*sc_vol*Assumptions!AD104/units_per_pledge*ks_proc_fixed</f>
        <v>0</v>
      </c>
      <c r="AE21" s="4" t="n">
        <f aca="false">'Working Capital'!AE18*(ks_fee+ks_proc)+(ks_units+pre_units)*sc_vol*Assumptions!AE104/units_per_pledge*ks_proc_fixed</f>
        <v>0</v>
      </c>
      <c r="AG21" s="4" t="n">
        <f aca="false">SUMIF($C$3:$AE$3,AG$3,$C21:$AE21)</f>
        <v>0</v>
      </c>
      <c r="AH21" s="4" t="n">
        <f aca="false">SUMIF($C$3:$AE$3,AH$3,$C21:$AE21)</f>
        <v>86061.5652173913</v>
      </c>
      <c r="AI21" s="4" t="n">
        <f aca="false">SUMIF($C$3:$AE$3,AI$3,$C21:$AE21)</f>
        <v>0</v>
      </c>
      <c r="AJ21" s="4" t="n">
        <f aca="false">SUMIF($C$3:$AE$3,AJ$3,$C21:$AE21)</f>
        <v>0</v>
      </c>
      <c r="AK21" s="4" t="n">
        <f aca="false">SUMIF($C$3:$AE$3,AK$3,$C21:$AE21)</f>
        <v>0</v>
      </c>
      <c r="AL21" s="4" t="n">
        <f aca="false">SUMIF($C$3:$AE$3,AL$3,$C21:$AE21)</f>
        <v>0</v>
      </c>
    </row>
    <row r="23" customFormat="false" ht="15" hidden="false" customHeight="false" outlineLevel="0" collapsed="false">
      <c r="A23" s="8" t="s">
        <v>643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customFormat="false" ht="15" hidden="false" customHeight="false" outlineLevel="0" collapsed="false">
      <c r="A24" s="0" t="s">
        <v>644</v>
      </c>
      <c r="B24" s="2"/>
      <c r="C24" s="4" t="n">
        <f aca="false">Assumptions!C122</f>
        <v>0</v>
      </c>
      <c r="D24" s="4" t="n">
        <f aca="false">Assumptions!D122</f>
        <v>0</v>
      </c>
      <c r="E24" s="4" t="n">
        <f aca="false">Assumptions!E122</f>
        <v>0</v>
      </c>
      <c r="F24" s="4" t="n">
        <f aca="false">Assumptions!F122</f>
        <v>0</v>
      </c>
      <c r="G24" s="4" t="n">
        <f aca="false">Assumptions!G122</f>
        <v>0</v>
      </c>
      <c r="H24" s="4" t="n">
        <f aca="false">Assumptions!H122</f>
        <v>0</v>
      </c>
      <c r="I24" s="4" t="n">
        <f aca="false">Assumptions!I122</f>
        <v>0</v>
      </c>
      <c r="J24" s="4" t="n">
        <f aca="false">Assumptions!J122</f>
        <v>0</v>
      </c>
      <c r="K24" s="4" t="n">
        <f aca="false">Assumptions!K122</f>
        <v>180000</v>
      </c>
      <c r="L24" s="4" t="n">
        <f aca="false">Assumptions!L122</f>
        <v>185000</v>
      </c>
      <c r="M24" s="4" t="n">
        <f aca="false">Assumptions!M122</f>
        <v>0</v>
      </c>
      <c r="N24" s="4" t="n">
        <f aca="false">Assumptions!N122</f>
        <v>330000</v>
      </c>
      <c r="O24" s="4" t="n">
        <f aca="false">Assumptions!O122</f>
        <v>0</v>
      </c>
      <c r="P24" s="4" t="n">
        <f aca="false">Assumptions!P122</f>
        <v>0</v>
      </c>
      <c r="Q24" s="4" t="n">
        <f aca="false">Assumptions!Q122</f>
        <v>0</v>
      </c>
      <c r="R24" s="4" t="n">
        <f aca="false">Assumptions!R122</f>
        <v>0</v>
      </c>
      <c r="S24" s="4" t="n">
        <f aca="false">Assumptions!S122</f>
        <v>0</v>
      </c>
      <c r="T24" s="4" t="n">
        <f aca="false">Assumptions!T122</f>
        <v>0</v>
      </c>
      <c r="U24" s="4" t="n">
        <f aca="false">Assumptions!U122</f>
        <v>0</v>
      </c>
      <c r="V24" s="4" t="n">
        <f aca="false">Assumptions!V122</f>
        <v>0</v>
      </c>
      <c r="W24" s="4" t="n">
        <f aca="false">Assumptions!W122</f>
        <v>0</v>
      </c>
      <c r="X24" s="4" t="n">
        <f aca="false">Assumptions!X122</f>
        <v>0</v>
      </c>
      <c r="Y24" s="4" t="n">
        <f aca="false">Assumptions!Y122</f>
        <v>0</v>
      </c>
      <c r="Z24" s="4" t="n">
        <f aca="false">Assumptions!Z122</f>
        <v>0</v>
      </c>
      <c r="AA24" s="4" t="n">
        <f aca="false">Assumptions!AA122</f>
        <v>0</v>
      </c>
      <c r="AB24" s="4" t="n">
        <f aca="false">Assumptions!AB122</f>
        <v>100000</v>
      </c>
      <c r="AC24" s="4" t="n">
        <f aca="false">Assumptions!AC122</f>
        <v>500000</v>
      </c>
      <c r="AD24" s="4" t="n">
        <f aca="false">Assumptions!AD122</f>
        <v>800000</v>
      </c>
      <c r="AE24" s="4" t="n">
        <f aca="false">Assumptions!AE122</f>
        <v>1000000</v>
      </c>
      <c r="AG24" s="4" t="n">
        <f aca="false">SUMIF($C$3:$AE$3,AG$3,$C24:$AE24)</f>
        <v>0</v>
      </c>
      <c r="AH24" s="4" t="n">
        <f aca="false">SUMIF($C$3:$AE$3,AH$3,$C24:$AE24)</f>
        <v>695000</v>
      </c>
      <c r="AI24" s="4" t="n">
        <f aca="false">SUMIF($C$3:$AE$3,AI$3,$C24:$AE24)</f>
        <v>100000</v>
      </c>
      <c r="AJ24" s="4" t="n">
        <f aca="false">SUMIF($C$3:$AE$3,AJ$3,$C24:$AE24)</f>
        <v>500000</v>
      </c>
      <c r="AK24" s="4" t="n">
        <f aca="false">SUMIF($C$3:$AE$3,AK$3,$C24:$AE24)</f>
        <v>800000</v>
      </c>
      <c r="AL24" s="4" t="n">
        <f aca="false">SUMIF($C$3:$AE$3,AL$3,$C24:$AE24)</f>
        <v>1000000</v>
      </c>
    </row>
    <row r="25" customFormat="false" ht="15" hidden="false" customHeight="false" outlineLevel="0" collapsed="false">
      <c r="A25" s="0" t="s">
        <v>645</v>
      </c>
      <c r="B25" s="2"/>
      <c r="C25" s="4" t="n">
        <f aca="false">(MAX(0,Assumptions!C110-0)+0*fleet_replace)*fleet_unit_cost</f>
        <v>0</v>
      </c>
      <c r="D25" s="4" t="n">
        <f aca="false">(MAX(0,Assumptions!D110-Assumptions!C110)+Assumptions!C110*fleet_replace)*fleet_unit_cost</f>
        <v>0</v>
      </c>
      <c r="E25" s="4" t="n">
        <f aca="false">(MAX(0,Assumptions!E110-Assumptions!D110)+Assumptions!D110*fleet_replace)*fleet_unit_cost</f>
        <v>0</v>
      </c>
      <c r="F25" s="4" t="n">
        <f aca="false">(MAX(0,Assumptions!F110-Assumptions!E110)+Assumptions!E110*fleet_replace)*fleet_unit_cost</f>
        <v>0</v>
      </c>
      <c r="G25" s="4" t="n">
        <f aca="false">(MAX(0,Assumptions!G110-Assumptions!F110)+Assumptions!F110*fleet_replace)*fleet_unit_cost</f>
        <v>0</v>
      </c>
      <c r="H25" s="4" t="n">
        <f aca="false">(MAX(0,Assumptions!H110-Assumptions!G110)+Assumptions!G110*fleet_replace)*fleet_unit_cost</f>
        <v>0</v>
      </c>
      <c r="I25" s="4" t="n">
        <f aca="false">(MAX(0,Assumptions!I110-Assumptions!H110)+Assumptions!H110*fleet_replace)*fleet_unit_cost</f>
        <v>0</v>
      </c>
      <c r="J25" s="4" t="n">
        <f aca="false">(MAX(0,Assumptions!J110-Assumptions!I110)+Assumptions!I110*fleet_replace)*fleet_unit_cost</f>
        <v>0</v>
      </c>
      <c r="K25" s="4" t="n">
        <f aca="false">(MAX(0,Assumptions!K110-Assumptions!J110)+Assumptions!J110*fleet_replace)*fleet_unit_cost</f>
        <v>0</v>
      </c>
      <c r="L25" s="4" t="n">
        <f aca="false">(MAX(0,Assumptions!L110-Assumptions!K110)+Assumptions!K110*fleet_replace)*fleet_unit_cost</f>
        <v>0</v>
      </c>
      <c r="M25" s="4" t="n">
        <f aca="false">(MAX(0,Assumptions!M110-Assumptions!L110)+Assumptions!L110*fleet_replace)*fleet_unit_cost</f>
        <v>0</v>
      </c>
      <c r="N25" s="4" t="n">
        <f aca="false">(MAX(0,Assumptions!N110-Assumptions!M110)+Assumptions!M110*fleet_replace)*fleet_unit_cost</f>
        <v>0</v>
      </c>
      <c r="O25" s="4" t="n">
        <f aca="false">(MAX(0,Assumptions!O110-Assumptions!N110)+Assumptions!N110*fleet_replace)*fleet_unit_cost</f>
        <v>0</v>
      </c>
      <c r="P25" s="4" t="n">
        <f aca="false">(MAX(0,Assumptions!P110-Assumptions!O110)+Assumptions!O110*fleet_replace)*fleet_unit_cost</f>
        <v>0</v>
      </c>
      <c r="Q25" s="4" t="n">
        <f aca="false">(MAX(0,Assumptions!Q110-Assumptions!P110)+Assumptions!P110*fleet_replace)*fleet_unit_cost</f>
        <v>0</v>
      </c>
      <c r="R25" s="4" t="n">
        <f aca="false">(MAX(0,Assumptions!R110-Assumptions!Q110)+Assumptions!Q110*fleet_replace)*fleet_unit_cost</f>
        <v>0</v>
      </c>
      <c r="S25" s="4" t="n">
        <f aca="false">(MAX(0,Assumptions!S110-Assumptions!R110)+Assumptions!R110*fleet_replace)*fleet_unit_cost</f>
        <v>0</v>
      </c>
      <c r="T25" s="4" t="n">
        <f aca="false">(MAX(0,Assumptions!T110-Assumptions!S110)+Assumptions!S110*fleet_replace)*fleet_unit_cost</f>
        <v>4750</v>
      </c>
      <c r="U25" s="4" t="n">
        <f aca="false">(MAX(0,Assumptions!U110-Assumptions!T110)+Assumptions!T110*fleet_replace)*fleet_unit_cost</f>
        <v>4797.5</v>
      </c>
      <c r="V25" s="4" t="n">
        <f aca="false">(MAX(0,Assumptions!V110-Assumptions!U110)+Assumptions!U110*fleet_replace)*fleet_unit_cost</f>
        <v>4845</v>
      </c>
      <c r="W25" s="4" t="n">
        <f aca="false">(MAX(0,Assumptions!W110-Assumptions!V110)+Assumptions!V110*fleet_replace)*fleet_unit_cost</f>
        <v>4892.5</v>
      </c>
      <c r="X25" s="4" t="n">
        <f aca="false">(MAX(0,Assumptions!X110-Assumptions!W110)+Assumptions!W110*fleet_replace)*fleet_unit_cost</f>
        <v>4940</v>
      </c>
      <c r="Y25" s="4" t="n">
        <f aca="false">(MAX(0,Assumptions!Y110-Assumptions!X110)+Assumptions!X110*fleet_replace)*fleet_unit_cost</f>
        <v>4987.5</v>
      </c>
      <c r="Z25" s="4" t="n">
        <f aca="false">(MAX(0,Assumptions!Z110-Assumptions!Y110)+Assumptions!Y110*fleet_replace)*fleet_unit_cost</f>
        <v>9785</v>
      </c>
      <c r="AA25" s="4" t="n">
        <f aca="false">(MAX(0,Assumptions!AA110-Assumptions!Z110)+Assumptions!Z110*fleet_replace)*fleet_unit_cost</f>
        <v>9880</v>
      </c>
      <c r="AB25" s="4" t="n">
        <f aca="false">(MAX(0,Assumptions!AB110-Assumptions!AA110)+Assumptions!AA110*fleet_replace)*fleet_unit_cost</f>
        <v>9975</v>
      </c>
      <c r="AC25" s="4" t="n">
        <f aca="false">(MAX(0,Assumptions!AC110-Assumptions!AB110)+(Assumptions!AC110+Assumptions!AB110)/2*fleet_replace*12)*fleet_unit_cost</f>
        <v>198170</v>
      </c>
      <c r="AD25" s="4" t="n">
        <f aca="false">(MAX(0,Assumptions!AD110-Assumptions!AC110)+(Assumptions!AD110+Assumptions!AC110)/2*fleet_replace*12)*fleet_unit_cost</f>
        <v>380950</v>
      </c>
      <c r="AE25" s="4" t="n">
        <f aca="false">(MAX(0,Assumptions!AE110-Assumptions!AD110)+(Assumptions!AE110+Assumptions!AD110)/2*fleet_replace*12)*fleet_unit_cost</f>
        <v>571900</v>
      </c>
      <c r="AG25" s="4" t="n">
        <f aca="false">SUMIF($C$3:$AE$3,AG$3,$C25:$AE25)</f>
        <v>0</v>
      </c>
      <c r="AH25" s="4" t="n">
        <f aca="false">SUMIF($C$3:$AE$3,AH$3,$C25:$AE25)</f>
        <v>0</v>
      </c>
      <c r="AI25" s="4" t="n">
        <f aca="false">SUMIF($C$3:$AE$3,AI$3,$C25:$AE25)</f>
        <v>58852.5</v>
      </c>
      <c r="AJ25" s="4" t="n">
        <f aca="false">SUMIF($C$3:$AE$3,AJ$3,$C25:$AE25)</f>
        <v>198170</v>
      </c>
      <c r="AK25" s="4" t="n">
        <f aca="false">SUMIF($C$3:$AE$3,AK$3,$C25:$AE25)</f>
        <v>380950</v>
      </c>
      <c r="AL25" s="4" t="n">
        <f aca="false">SUMIF($C$3:$AE$3,AL$3,$C25:$AE25)</f>
        <v>571900</v>
      </c>
    </row>
    <row r="26" customFormat="false" ht="15" hidden="false" customHeight="false" outlineLevel="0" collapsed="false">
      <c r="A26" s="13" t="s">
        <v>646</v>
      </c>
      <c r="B26" s="2"/>
      <c r="C26" s="29" t="n">
        <f aca="false">'Working Capital'!C24+'Working Capital'!C25</f>
        <v>0</v>
      </c>
      <c r="D26" s="29" t="n">
        <f aca="false">'Working Capital'!D24+'Working Capital'!D25</f>
        <v>0</v>
      </c>
      <c r="E26" s="29" t="n">
        <f aca="false">'Working Capital'!E24+'Working Capital'!E25</f>
        <v>0</v>
      </c>
      <c r="F26" s="29" t="n">
        <f aca="false">'Working Capital'!F24+'Working Capital'!F25</f>
        <v>0</v>
      </c>
      <c r="G26" s="29" t="n">
        <f aca="false">'Working Capital'!G24+'Working Capital'!G25</f>
        <v>0</v>
      </c>
      <c r="H26" s="29" t="n">
        <f aca="false">'Working Capital'!H24+'Working Capital'!H25</f>
        <v>0</v>
      </c>
      <c r="I26" s="29" t="n">
        <f aca="false">'Working Capital'!I24+'Working Capital'!I25</f>
        <v>0</v>
      </c>
      <c r="J26" s="29" t="n">
        <f aca="false">'Working Capital'!J24+'Working Capital'!J25</f>
        <v>0</v>
      </c>
      <c r="K26" s="29" t="n">
        <f aca="false">'Working Capital'!K24+'Working Capital'!K25</f>
        <v>180000</v>
      </c>
      <c r="L26" s="29" t="n">
        <f aca="false">'Working Capital'!L24+'Working Capital'!L25</f>
        <v>185000</v>
      </c>
      <c r="M26" s="29" t="n">
        <f aca="false">'Working Capital'!M24+'Working Capital'!M25</f>
        <v>0</v>
      </c>
      <c r="N26" s="29" t="n">
        <f aca="false">'Working Capital'!N24+'Working Capital'!N25</f>
        <v>330000</v>
      </c>
      <c r="O26" s="29" t="n">
        <f aca="false">'Working Capital'!O24+'Working Capital'!O25</f>
        <v>0</v>
      </c>
      <c r="P26" s="29" t="n">
        <f aca="false">'Working Capital'!P24+'Working Capital'!P25</f>
        <v>0</v>
      </c>
      <c r="Q26" s="29" t="n">
        <f aca="false">'Working Capital'!Q24+'Working Capital'!Q25</f>
        <v>0</v>
      </c>
      <c r="R26" s="29" t="n">
        <f aca="false">'Working Capital'!R24+'Working Capital'!R25</f>
        <v>0</v>
      </c>
      <c r="S26" s="29" t="n">
        <f aca="false">'Working Capital'!S24+'Working Capital'!S25</f>
        <v>0</v>
      </c>
      <c r="T26" s="29" t="n">
        <f aca="false">'Working Capital'!T24+'Working Capital'!T25</f>
        <v>4750</v>
      </c>
      <c r="U26" s="29" t="n">
        <f aca="false">'Working Capital'!U24+'Working Capital'!U25</f>
        <v>4797.5</v>
      </c>
      <c r="V26" s="29" t="n">
        <f aca="false">'Working Capital'!V24+'Working Capital'!V25</f>
        <v>4845</v>
      </c>
      <c r="W26" s="29" t="n">
        <f aca="false">'Working Capital'!W24+'Working Capital'!W25</f>
        <v>4892.5</v>
      </c>
      <c r="X26" s="29" t="n">
        <f aca="false">'Working Capital'!X24+'Working Capital'!X25</f>
        <v>4940</v>
      </c>
      <c r="Y26" s="29" t="n">
        <f aca="false">'Working Capital'!Y24+'Working Capital'!Y25</f>
        <v>4987.5</v>
      </c>
      <c r="Z26" s="29" t="n">
        <f aca="false">'Working Capital'!Z24+'Working Capital'!Z25</f>
        <v>9785</v>
      </c>
      <c r="AA26" s="29" t="n">
        <f aca="false">'Working Capital'!AA24+'Working Capital'!AA25</f>
        <v>9880</v>
      </c>
      <c r="AB26" s="29" t="n">
        <f aca="false">'Working Capital'!AB24+'Working Capital'!AB25</f>
        <v>109975</v>
      </c>
      <c r="AC26" s="29" t="n">
        <f aca="false">'Working Capital'!AC24+'Working Capital'!AC25</f>
        <v>698170</v>
      </c>
      <c r="AD26" s="29" t="n">
        <f aca="false">'Working Capital'!AD24+'Working Capital'!AD25</f>
        <v>1180950</v>
      </c>
      <c r="AE26" s="29" t="n">
        <f aca="false">'Working Capital'!AE24+'Working Capital'!AE25</f>
        <v>1571900</v>
      </c>
      <c r="AG26" s="29" t="n">
        <f aca="false">SUMIF($C$3:$AE$3,AG$3,$C26:$AE26)</f>
        <v>0</v>
      </c>
      <c r="AH26" s="29" t="n">
        <f aca="false">SUMIF($C$3:$AE$3,AH$3,$C26:$AE26)</f>
        <v>695000</v>
      </c>
      <c r="AI26" s="29" t="n">
        <f aca="false">SUMIF($C$3:$AE$3,AI$3,$C26:$AE26)</f>
        <v>158852.5</v>
      </c>
      <c r="AJ26" s="29" t="n">
        <f aca="false">SUMIF($C$3:$AE$3,AJ$3,$C26:$AE26)</f>
        <v>698170</v>
      </c>
      <c r="AK26" s="29" t="n">
        <f aca="false">SUMIF($C$3:$AE$3,AK$3,$C26:$AE26)</f>
        <v>1180950</v>
      </c>
      <c r="AL26" s="29" t="n">
        <f aca="false">SUMIF($C$3:$AE$3,AL$3,$C26:$AE26)</f>
        <v>1571900</v>
      </c>
    </row>
    <row r="27" customFormat="false" ht="15" hidden="false" customHeight="false" outlineLevel="0" collapsed="false">
      <c r="A27" s="0" t="s">
        <v>647</v>
      </c>
      <c r="B27" s="2"/>
      <c r="C27" s="4" t="n">
        <f aca="false">MIN(0,0+'Working Capital'!C26)</f>
        <v>0</v>
      </c>
      <c r="D27" s="4" t="n">
        <f aca="false">MIN(SUM('Working Capital'!C26:C26)/36,'Working Capital'!C28+'Working Capital'!D26)</f>
        <v>0</v>
      </c>
      <c r="E27" s="4" t="n">
        <f aca="false">MIN(SUM('Working Capital'!C26:D26)/36,'Working Capital'!D28+'Working Capital'!E26)</f>
        <v>0</v>
      </c>
      <c r="F27" s="4" t="n">
        <f aca="false">MIN(SUM('Working Capital'!C26:E26)/36,'Working Capital'!E28+'Working Capital'!F26)</f>
        <v>0</v>
      </c>
      <c r="G27" s="4" t="n">
        <f aca="false">MIN(SUM('Working Capital'!C26:F26)/36,'Working Capital'!F28+'Working Capital'!G26)</f>
        <v>0</v>
      </c>
      <c r="H27" s="4" t="n">
        <f aca="false">MIN(SUM('Working Capital'!C26:G26)/36,'Working Capital'!G28+'Working Capital'!H26)</f>
        <v>0</v>
      </c>
      <c r="I27" s="4" t="n">
        <f aca="false">MIN(SUM('Working Capital'!C26:H26)/36,'Working Capital'!H28+'Working Capital'!I26)</f>
        <v>0</v>
      </c>
      <c r="J27" s="4" t="n">
        <f aca="false">MIN(SUM('Working Capital'!C26:I26)/36,'Working Capital'!I28+'Working Capital'!J26)</f>
        <v>0</v>
      </c>
      <c r="K27" s="4" t="n">
        <f aca="false">MIN(SUM('Working Capital'!C26:J26)/36,'Working Capital'!J28+'Working Capital'!K26)</f>
        <v>0</v>
      </c>
      <c r="L27" s="4" t="n">
        <f aca="false">MIN(SUM('Working Capital'!C26:K26)/36,'Working Capital'!K28+'Working Capital'!L26)</f>
        <v>5000</v>
      </c>
      <c r="M27" s="4" t="n">
        <f aca="false">MIN(SUM('Working Capital'!C26:L26)/36,'Working Capital'!L28+'Working Capital'!M26)</f>
        <v>10138.8888888889</v>
      </c>
      <c r="N27" s="4" t="n">
        <f aca="false">MIN(SUM('Working Capital'!C26:M26)/36,'Working Capital'!M28+'Working Capital'!N26)</f>
        <v>10138.8888888889</v>
      </c>
      <c r="O27" s="4" t="n">
        <f aca="false">MIN(SUM('Working Capital'!C26:N26)/36,'Working Capital'!N28+'Working Capital'!O26)</f>
        <v>19305.5555555556</v>
      </c>
      <c r="P27" s="4" t="n">
        <f aca="false">MIN(SUM('Working Capital'!C26:O26)/36,'Working Capital'!O28+'Working Capital'!P26)</f>
        <v>19305.5555555556</v>
      </c>
      <c r="Q27" s="4" t="n">
        <f aca="false">MIN(SUM('Working Capital'!C26:P26)/36,'Working Capital'!P28+'Working Capital'!Q26)</f>
        <v>19305.5555555556</v>
      </c>
      <c r="R27" s="4" t="n">
        <f aca="false">MIN(SUM('Working Capital'!C26:Q26)/36,'Working Capital'!Q28+'Working Capital'!R26)</f>
        <v>19305.5555555556</v>
      </c>
      <c r="S27" s="4" t="n">
        <f aca="false">MIN(SUM('Working Capital'!C26:R26)/36,'Working Capital'!R28+'Working Capital'!S26)</f>
        <v>19305.5555555556</v>
      </c>
      <c r="T27" s="4" t="n">
        <f aca="false">MIN(SUM('Working Capital'!C26:S26)/36,'Working Capital'!S28+'Working Capital'!T26)</f>
        <v>19305.5555555556</v>
      </c>
      <c r="U27" s="4" t="n">
        <f aca="false">MIN(SUM('Working Capital'!C26:T26)/36,'Working Capital'!T28+'Working Capital'!U26)</f>
        <v>19437.5</v>
      </c>
      <c r="V27" s="4" t="n">
        <f aca="false">MIN(SUM('Working Capital'!C26:U26)/36,'Working Capital'!U28+'Working Capital'!V26)</f>
        <v>19570.7638888889</v>
      </c>
      <c r="W27" s="4" t="n">
        <f aca="false">MIN(SUM('Working Capital'!C26:V26)/36,'Working Capital'!V28+'Working Capital'!W26)</f>
        <v>19705.3472222222</v>
      </c>
      <c r="X27" s="4" t="n">
        <f aca="false">MIN(SUM('Working Capital'!C26:W26)/36,'Working Capital'!W28+'Working Capital'!X26)</f>
        <v>19841.25</v>
      </c>
      <c r="Y27" s="4" t="n">
        <f aca="false">MIN(SUM('Working Capital'!C26:X26)/36,'Working Capital'!X28+'Working Capital'!Y26)</f>
        <v>19978.4722222222</v>
      </c>
      <c r="Z27" s="4" t="n">
        <f aca="false">MIN(SUM('Working Capital'!C26:Y26)/36,'Working Capital'!Y28+'Working Capital'!Z26)</f>
        <v>20117.0138888889</v>
      </c>
      <c r="AA27" s="4" t="n">
        <f aca="false">MIN(SUM('Working Capital'!C26:Z26)/36,'Working Capital'!Z28+'Working Capital'!AA26)</f>
        <v>20388.8194444444</v>
      </c>
      <c r="AB27" s="4" t="n">
        <f aca="false">MIN(SUM('Working Capital'!C26:AA26)/36,'Working Capital'!AA28+'Working Capital'!AB26)</f>
        <v>20663.2638888889</v>
      </c>
      <c r="AC27" s="4" t="n">
        <f aca="false">MIN((SUM('Working Capital'!AC26:AC26)*0.5+SUM('Working Capital'!Q26:AB26)+SUM('Working Capital'!E26:P26)+SUM('Working Capital'!C26:D26)*0.5)/3,'Working Capital'!AB28+'Working Capital'!AC26)</f>
        <v>400979.166666667</v>
      </c>
      <c r="AD27" s="4" t="n">
        <f aca="false">MIN((SUM('Working Capital'!AD26:AD26)*0.5+SUM('Working Capital'!AC26:AC26)+SUM('Working Capital'!Q26:AB26)+SUM('Working Capital'!E26:P26)*0.5)/3,'Working Capital'!AC28+'Working Capital'!AD26)</f>
        <v>598332.5</v>
      </c>
      <c r="AE27" s="4" t="n">
        <f aca="false">MIN((SUM('Working Capital'!AE26:AE26)*0.5+SUM('Working Capital'!AD26:AD26)+SUM('Working Capital'!AC26:AC26)+SUM('Working Capital'!Q26:AB26)*0.5)/3,'Working Capital'!AD28+'Working Capital'!AE26)</f>
        <v>914832.083333333</v>
      </c>
      <c r="AG27" s="4" t="n">
        <f aca="false">SUMIF($C$3:$AE$3,AG$3,$C27:$AE27)</f>
        <v>0</v>
      </c>
      <c r="AH27" s="4" t="n">
        <f aca="false">SUMIF($C$3:$AE$3,AH$3,$C27:$AE27)</f>
        <v>63888.8888888889</v>
      </c>
      <c r="AI27" s="4" t="n">
        <f aca="false">SUMIF($C$3:$AE$3,AI$3,$C27:$AE27)</f>
        <v>236924.652777778</v>
      </c>
      <c r="AJ27" s="4" t="n">
        <f aca="false">SUMIF($C$3:$AE$3,AJ$3,$C27:$AE27)</f>
        <v>400979.166666667</v>
      </c>
      <c r="AK27" s="4" t="n">
        <f aca="false">SUMIF($C$3:$AE$3,AK$3,$C27:$AE27)</f>
        <v>598332.5</v>
      </c>
      <c r="AL27" s="4" t="n">
        <f aca="false">SUMIF($C$3:$AE$3,AL$3,$C27:$AE27)</f>
        <v>914832.083333333</v>
      </c>
    </row>
    <row r="28" customFormat="false" ht="15" hidden="false" customHeight="false" outlineLevel="0" collapsed="false">
      <c r="A28" s="0" t="s">
        <v>648</v>
      </c>
      <c r="B28" s="2"/>
      <c r="C28" s="4" t="n">
        <f aca="false">0+C26-C27</f>
        <v>0</v>
      </c>
      <c r="D28" s="4" t="n">
        <f aca="false">C28+D26-D27</f>
        <v>0</v>
      </c>
      <c r="E28" s="4" t="n">
        <f aca="false">D28+E26-E27</f>
        <v>0</v>
      </c>
      <c r="F28" s="4" t="n">
        <f aca="false">E28+F26-F27</f>
        <v>0</v>
      </c>
      <c r="G28" s="4" t="n">
        <f aca="false">F28+G26-G27</f>
        <v>0</v>
      </c>
      <c r="H28" s="4" t="n">
        <f aca="false">G28+H26-H27</f>
        <v>0</v>
      </c>
      <c r="I28" s="4" t="n">
        <f aca="false">H28+I26-I27</f>
        <v>0</v>
      </c>
      <c r="J28" s="4" t="n">
        <f aca="false">I28+J26-J27</f>
        <v>0</v>
      </c>
      <c r="K28" s="4" t="n">
        <f aca="false">J28+K26-K27</f>
        <v>180000</v>
      </c>
      <c r="L28" s="4" t="n">
        <f aca="false">K28+L26-L27</f>
        <v>360000</v>
      </c>
      <c r="M28" s="4" t="n">
        <f aca="false">L28+M26-M27</f>
        <v>349861.111111111</v>
      </c>
      <c r="N28" s="4" t="n">
        <f aca="false">M28+N26-N27</f>
        <v>669722.222222222</v>
      </c>
      <c r="O28" s="4" t="n">
        <f aca="false">N28+O26-O27</f>
        <v>650416.666666667</v>
      </c>
      <c r="P28" s="4" t="n">
        <f aca="false">O28+P26-P27</f>
        <v>631111.111111111</v>
      </c>
      <c r="Q28" s="4" t="n">
        <f aca="false">P28+Q26-Q27</f>
        <v>611805.555555556</v>
      </c>
      <c r="R28" s="4" t="n">
        <f aca="false">Q28+R26-R27</f>
        <v>592500</v>
      </c>
      <c r="S28" s="4" t="n">
        <f aca="false">R28+S26-S27</f>
        <v>573194.444444445</v>
      </c>
      <c r="T28" s="4" t="n">
        <f aca="false">S28+T26-T27</f>
        <v>558638.888888889</v>
      </c>
      <c r="U28" s="4" t="n">
        <f aca="false">T28+U26-U27</f>
        <v>543998.888888889</v>
      </c>
      <c r="V28" s="4" t="n">
        <f aca="false">U28+V26-V27</f>
        <v>529273.125</v>
      </c>
      <c r="W28" s="4" t="n">
        <f aca="false">V28+W26-W27</f>
        <v>514460.277777778</v>
      </c>
      <c r="X28" s="4" t="n">
        <f aca="false">W28+X26-X27</f>
        <v>499559.027777778</v>
      </c>
      <c r="Y28" s="4" t="n">
        <f aca="false">X28+Y26-Y27</f>
        <v>484568.055555556</v>
      </c>
      <c r="Z28" s="4" t="n">
        <f aca="false">Y28+Z26-Z27</f>
        <v>474236.041666667</v>
      </c>
      <c r="AA28" s="4" t="n">
        <f aca="false">Z28+AA26-AA27</f>
        <v>463727.222222223</v>
      </c>
      <c r="AB28" s="4" t="n">
        <f aca="false">AA28+AB26-AB27</f>
        <v>553038.958333334</v>
      </c>
      <c r="AC28" s="4" t="n">
        <f aca="false">AB28+AC26-AC27</f>
        <v>850229.791666667</v>
      </c>
      <c r="AD28" s="4" t="n">
        <f aca="false">AC28+AD26-AD27</f>
        <v>1432847.29166667</v>
      </c>
      <c r="AE28" s="4" t="n">
        <f aca="false">AD28+AE26-AE27</f>
        <v>2089915.20833333</v>
      </c>
      <c r="AG28" s="4" t="n">
        <f aca="false">D28</f>
        <v>0</v>
      </c>
      <c r="AH28" s="4" t="n">
        <f aca="false">P28</f>
        <v>631111.111111111</v>
      </c>
      <c r="AI28" s="4" t="n">
        <f aca="false">AB28</f>
        <v>553038.958333334</v>
      </c>
      <c r="AJ28" s="4" t="n">
        <f aca="false">AC28</f>
        <v>850229.791666667</v>
      </c>
      <c r="AK28" s="4" t="n">
        <f aca="false">AD28</f>
        <v>1432847.29166667</v>
      </c>
      <c r="AL28" s="4" t="n">
        <f aca="false">AE28</f>
        <v>2089915.20833333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649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382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650</v>
      </c>
      <c r="B10" s="2"/>
      <c r="C10" s="4" t="n">
        <f aca="false">'Revenue Build'!C15</f>
        <v>0</v>
      </c>
      <c r="D10" s="4" t="n">
        <f aca="false">'Revenue Build'!D15</f>
        <v>0</v>
      </c>
      <c r="E10" s="4" t="n">
        <f aca="false">'Revenue Build'!E15</f>
        <v>0</v>
      </c>
      <c r="F10" s="4" t="n">
        <f aca="false">'Revenue Build'!F15</f>
        <v>0</v>
      </c>
      <c r="G10" s="4" t="n">
        <f aca="false">'Revenue Build'!G15</f>
        <v>0</v>
      </c>
      <c r="H10" s="4" t="n">
        <f aca="false">'Revenue Build'!H15</f>
        <v>0</v>
      </c>
      <c r="I10" s="4" t="n">
        <f aca="false">'Revenue Build'!I15</f>
        <v>0</v>
      </c>
      <c r="J10" s="4" t="n">
        <f aca="false">'Revenue Build'!J15</f>
        <v>0</v>
      </c>
      <c r="K10" s="4" t="n">
        <f aca="false">'Revenue Build'!K15</f>
        <v>0</v>
      </c>
      <c r="L10" s="4" t="n">
        <f aca="false">'Revenue Build'!L15</f>
        <v>0</v>
      </c>
      <c r="M10" s="4" t="n">
        <f aca="false">'Revenue Build'!M15</f>
        <v>0</v>
      </c>
      <c r="N10" s="4" t="n">
        <f aca="false">'Revenue Build'!N15</f>
        <v>0</v>
      </c>
      <c r="O10" s="4" t="n">
        <f aca="false">'Revenue Build'!O15</f>
        <v>347928</v>
      </c>
      <c r="P10" s="4" t="n">
        <f aca="false">'Revenue Build'!P15</f>
        <v>257466.72</v>
      </c>
      <c r="Q10" s="4" t="n">
        <f aca="false">'Revenue Build'!Q15</f>
        <v>329628.48</v>
      </c>
      <c r="R10" s="4" t="n">
        <f aca="false">'Revenue Build'!R15</f>
        <v>421524.576</v>
      </c>
      <c r="S10" s="4" t="n">
        <f aca="false">'Revenue Build'!S15</f>
        <v>478924.704</v>
      </c>
      <c r="T10" s="4" t="n">
        <f aca="false">'Revenue Build'!T15</f>
        <v>494090.016</v>
      </c>
      <c r="U10" s="4" t="n">
        <f aca="false">'Revenue Build'!U15</f>
        <v>590497.824</v>
      </c>
      <c r="V10" s="4" t="n">
        <f aca="false">'Revenue Build'!V15</f>
        <v>686905.632</v>
      </c>
      <c r="W10" s="4" t="n">
        <f aca="false">'Revenue Build'!W15</f>
        <v>764732.64</v>
      </c>
      <c r="X10" s="4" t="n">
        <f aca="false">'Revenue Build'!X15</f>
        <v>787560.48</v>
      </c>
      <c r="Y10" s="4" t="n">
        <f aca="false">'Revenue Build'!Y15</f>
        <v>741904.8</v>
      </c>
      <c r="Z10" s="4" t="n">
        <f aca="false">'Revenue Build'!Z15</f>
        <v>833216.16</v>
      </c>
      <c r="AA10" s="4" t="n">
        <f aca="false">'Revenue Build'!AA15</f>
        <v>1198461.6</v>
      </c>
      <c r="AB10" s="4" t="n">
        <f aca="false">'Revenue Build'!AB15</f>
        <v>1689260.16</v>
      </c>
      <c r="AC10" s="4" t="n">
        <f aca="false">'Revenue Build'!AC15</f>
        <v>26883763.2</v>
      </c>
      <c r="AD10" s="4" t="n">
        <f aca="false">'Revenue Build'!AD15</f>
        <v>54946080</v>
      </c>
      <c r="AE10" s="4" t="n">
        <f aca="false">'Revenue Build'!AE15</f>
        <v>87913728</v>
      </c>
      <c r="AG10" s="4" t="n">
        <f aca="false">SUMIF($C$3:$AE$3,AG$3,$C10:$AE10)</f>
        <v>0</v>
      </c>
      <c r="AH10" s="4" t="n">
        <f aca="false">SUMIF($C$3:$AE$3,AH$3,$C10:$AE10)</f>
        <v>605394.72</v>
      </c>
      <c r="AI10" s="4" t="n">
        <f aca="false">SUMIF($C$3:$AE$3,AI$3,$C10:$AE10)</f>
        <v>9016707.072</v>
      </c>
      <c r="AJ10" s="4" t="n">
        <f aca="false">SUMIF($C$3:$AE$3,AJ$3,$C10:$AE10)</f>
        <v>26883763.2</v>
      </c>
      <c r="AK10" s="4" t="n">
        <f aca="false">SUMIF($C$3:$AE$3,AK$3,$C10:$AE10)</f>
        <v>54946080</v>
      </c>
      <c r="AL10" s="4" t="n">
        <f aca="false">SUMIF($C$3:$AE$3,AL$3,$C10:$AE10)</f>
        <v>87913728</v>
      </c>
    </row>
    <row r="11" customFormat="false" ht="15" hidden="false" customHeight="false" outlineLevel="0" collapsed="false">
      <c r="A11" s="0" t="s">
        <v>651</v>
      </c>
      <c r="B11" s="2"/>
      <c r="C11" s="4" t="n">
        <f aca="false">'Revenue Build'!C18</f>
        <v>0</v>
      </c>
      <c r="D11" s="4" t="n">
        <f aca="false">'Revenue Build'!D18</f>
        <v>0</v>
      </c>
      <c r="E11" s="4" t="n">
        <f aca="false">'Revenue Build'!E18</f>
        <v>0</v>
      </c>
      <c r="F11" s="4" t="n">
        <f aca="false">'Revenue Build'!F18</f>
        <v>0</v>
      </c>
      <c r="G11" s="4" t="n">
        <f aca="false">'Revenue Build'!G18</f>
        <v>0</v>
      </c>
      <c r="H11" s="4" t="n">
        <f aca="false">'Revenue Build'!H18</f>
        <v>0</v>
      </c>
      <c r="I11" s="4" t="n">
        <f aca="false">'Revenue Build'!I18</f>
        <v>0</v>
      </c>
      <c r="J11" s="4" t="n">
        <f aca="false">'Revenue Build'!J18</f>
        <v>0</v>
      </c>
      <c r="K11" s="4" t="n">
        <f aca="false">'Revenue Build'!K18</f>
        <v>0</v>
      </c>
      <c r="L11" s="4" t="n">
        <f aca="false">'Revenue Build'!L18</f>
        <v>0</v>
      </c>
      <c r="M11" s="4" t="n">
        <f aca="false">'Revenue Build'!M18</f>
        <v>0</v>
      </c>
      <c r="N11" s="4" t="n">
        <f aca="false">'Revenue Build'!N18</f>
        <v>0</v>
      </c>
      <c r="O11" s="4" t="n">
        <f aca="false">'Revenue Build'!O18</f>
        <v>0</v>
      </c>
      <c r="P11" s="4" t="n">
        <f aca="false">'Revenue Build'!P18</f>
        <v>0</v>
      </c>
      <c r="Q11" s="4" t="n">
        <f aca="false">'Revenue Build'!Q18</f>
        <v>0</v>
      </c>
      <c r="R11" s="4" t="n">
        <f aca="false">'Revenue Build'!R18</f>
        <v>3071.4255</v>
      </c>
      <c r="S11" s="4" t="n">
        <f aca="false">'Revenue Build'!S18</f>
        <v>8231.42034</v>
      </c>
      <c r="T11" s="4" t="n">
        <f aca="false">'Revenue Build'!T18</f>
        <v>12615.3024696</v>
      </c>
      <c r="U11" s="4" t="n">
        <f aca="false">'Revenue Build'!U18</f>
        <v>17300.134124424</v>
      </c>
      <c r="V11" s="4" t="n">
        <f aca="false">'Revenue Build'!V18</f>
        <v>22369.3227669586</v>
      </c>
      <c r="W11" s="4" t="n">
        <f aca="false">'Revenue Build'!W18</f>
        <v>27542.601940441</v>
      </c>
      <c r="X11" s="4" t="n">
        <f aca="false">'Revenue Build'!X18</f>
        <v>33013.3903490146</v>
      </c>
      <c r="Y11" s="4" t="n">
        <f aca="false">'Revenue Build'!Y18</f>
        <v>39422.3038130737</v>
      </c>
      <c r="Z11" s="4" t="n">
        <f aca="false">'Revenue Build'!Z18</f>
        <v>46871.3513742893</v>
      </c>
      <c r="AA11" s="4" t="n">
        <f aca="false">'Revenue Build'!AA18</f>
        <v>54823.2353518319</v>
      </c>
      <c r="AB11" s="4" t="n">
        <f aca="false">'Revenue Build'!AB18</f>
        <v>62139.709745722</v>
      </c>
      <c r="AC11" s="4" t="n">
        <f aca="false">'Revenue Build'!AC18</f>
        <v>2050002.80865825</v>
      </c>
      <c r="AD11" s="4" t="n">
        <f aca="false">'Revenue Build'!AD18</f>
        <v>5452712.83597569</v>
      </c>
      <c r="AE11" s="4" t="n">
        <f aca="false">'Revenue Build'!AE18</f>
        <v>10614523.8115498</v>
      </c>
      <c r="AG11" s="4" t="n">
        <f aca="false">SUMIF($C$3:$AE$3,AG$3,$C11:$AE11)</f>
        <v>0</v>
      </c>
      <c r="AH11" s="4" t="n">
        <f aca="false">SUMIF($C$3:$AE$3,AH$3,$C11:$AE11)</f>
        <v>0</v>
      </c>
      <c r="AI11" s="4" t="n">
        <f aca="false">SUMIF($C$3:$AE$3,AI$3,$C11:$AE11)</f>
        <v>327400.197775355</v>
      </c>
      <c r="AJ11" s="4" t="n">
        <f aca="false">SUMIF($C$3:$AE$3,AJ$3,$C11:$AE11)</f>
        <v>2050002.80865825</v>
      </c>
      <c r="AK11" s="4" t="n">
        <f aca="false">SUMIF($C$3:$AE$3,AK$3,$C11:$AE11)</f>
        <v>5452712.83597569</v>
      </c>
      <c r="AL11" s="4" t="n">
        <f aca="false">SUMIF($C$3:$AE$3,AL$3,$C11:$AE11)</f>
        <v>10614523.8115498</v>
      </c>
    </row>
    <row r="12" customFormat="false" ht="15" hidden="false" customHeight="false" outlineLevel="0" collapsed="false">
      <c r="A12" s="0" t="s">
        <v>510</v>
      </c>
      <c r="B12" s="2"/>
      <c r="C12" s="4" t="n">
        <f aca="false">'Revenue Build'!C19</f>
        <v>0</v>
      </c>
      <c r="D12" s="4" t="n">
        <f aca="false">'Revenue Build'!D19</f>
        <v>0</v>
      </c>
      <c r="E12" s="4" t="n">
        <f aca="false">'Revenue Build'!E19</f>
        <v>0</v>
      </c>
      <c r="F12" s="4" t="n">
        <f aca="false">'Revenue Build'!F19</f>
        <v>0</v>
      </c>
      <c r="G12" s="4" t="n">
        <f aca="false">'Revenue Build'!G19</f>
        <v>0</v>
      </c>
      <c r="H12" s="4" t="n">
        <f aca="false">'Revenue Build'!H19</f>
        <v>0</v>
      </c>
      <c r="I12" s="4" t="n">
        <f aca="false">'Revenue Build'!I19</f>
        <v>0</v>
      </c>
      <c r="J12" s="4" t="n">
        <f aca="false">'Revenue Build'!J19</f>
        <v>0</v>
      </c>
      <c r="K12" s="4" t="n">
        <f aca="false">'Revenue Build'!K19</f>
        <v>0</v>
      </c>
      <c r="L12" s="4" t="n">
        <f aca="false">'Revenue Build'!L19</f>
        <v>0</v>
      </c>
      <c r="M12" s="4" t="n">
        <f aca="false">'Revenue Build'!M19</f>
        <v>0</v>
      </c>
      <c r="N12" s="4" t="n">
        <f aca="false">'Revenue Build'!N19</f>
        <v>0</v>
      </c>
      <c r="O12" s="4" t="n">
        <f aca="false">'Revenue Build'!O19</f>
        <v>0</v>
      </c>
      <c r="P12" s="4" t="n">
        <f aca="false">'Revenue Build'!P19</f>
        <v>0</v>
      </c>
      <c r="Q12" s="4" t="n">
        <f aca="false">'Revenue Build'!Q19</f>
        <v>0</v>
      </c>
      <c r="R12" s="4" t="n">
        <f aca="false">'Revenue Build'!R19</f>
        <v>331.8828672</v>
      </c>
      <c r="S12" s="4" t="n">
        <f aca="false">'Revenue Build'!S19</f>
        <v>646.838009855999</v>
      </c>
      <c r="T12" s="4" t="n">
        <f aca="false">'Revenue Build'!T19</f>
        <v>1348.7480067072</v>
      </c>
      <c r="U12" s="4" t="n">
        <f aca="false">'Revenue Build'!U19</f>
        <v>1762.30433425306</v>
      </c>
      <c r="V12" s="4" t="n">
        <f aca="false">'Revenue Build'!V19</f>
        <v>2288.95388678719</v>
      </c>
      <c r="W12" s="4" t="n">
        <f aca="false">'Revenue Build'!W19</f>
        <v>2770.5306539175</v>
      </c>
      <c r="X12" s="4" t="n">
        <f aca="false">'Revenue Build'!X19</f>
        <v>3520.90525421323</v>
      </c>
      <c r="Y12" s="4" t="n">
        <f aca="false">'Revenue Build'!Y19</f>
        <v>4471.73384970061</v>
      </c>
      <c r="Z12" s="4" t="n">
        <f aca="false">'Revenue Build'!Z19</f>
        <v>5433.12112724394</v>
      </c>
      <c r="AA12" s="4" t="n">
        <f aca="false">'Revenue Build'!AA19</f>
        <v>6068.05404596416</v>
      </c>
      <c r="AB12" s="4" t="n">
        <f aca="false">'Revenue Build'!AB19</f>
        <v>6449.75660183407</v>
      </c>
      <c r="AC12" s="4" t="n">
        <f aca="false">'Revenue Build'!AC19</f>
        <v>246151.378102154</v>
      </c>
      <c r="AD12" s="4" t="n">
        <f aca="false">'Revenue Build'!AD19</f>
        <v>761519.077067195</v>
      </c>
      <c r="AE12" s="4" t="n">
        <f aca="false">'Revenue Build'!AE19</f>
        <v>1732483.88932416</v>
      </c>
      <c r="AG12" s="4" t="n">
        <f aca="false">SUMIF($C$3:$AE$3,AG$3,$C12:$AE12)</f>
        <v>0</v>
      </c>
      <c r="AH12" s="4" t="n">
        <f aca="false">SUMIF($C$3:$AE$3,AH$3,$C12:$AE12)</f>
        <v>0</v>
      </c>
      <c r="AI12" s="4" t="n">
        <f aca="false">SUMIF($C$3:$AE$3,AI$3,$C12:$AE12)</f>
        <v>35092.828637677</v>
      </c>
      <c r="AJ12" s="4" t="n">
        <f aca="false">SUMIF($C$3:$AE$3,AJ$3,$C12:$AE12)</f>
        <v>246151.378102154</v>
      </c>
      <c r="AK12" s="4" t="n">
        <f aca="false">SUMIF($C$3:$AE$3,AK$3,$C12:$AE12)</f>
        <v>761519.077067195</v>
      </c>
      <c r="AL12" s="4" t="n">
        <f aca="false">SUMIF($C$3:$AE$3,AL$3,$C12:$AE12)</f>
        <v>1732483.88932416</v>
      </c>
    </row>
    <row r="13" customFormat="false" ht="15" hidden="false" customHeight="false" outlineLevel="0" collapsed="false">
      <c r="A13" s="0" t="s">
        <v>652</v>
      </c>
      <c r="B13" s="2"/>
      <c r="C13" s="4" t="n">
        <f aca="false">'Revenue Build'!C20</f>
        <v>0</v>
      </c>
      <c r="D13" s="4" t="n">
        <f aca="false">'Revenue Build'!D20</f>
        <v>0</v>
      </c>
      <c r="E13" s="4" t="n">
        <f aca="false">'Revenue Build'!E20</f>
        <v>0</v>
      </c>
      <c r="F13" s="4" t="n">
        <f aca="false">'Revenue Build'!F20</f>
        <v>0</v>
      </c>
      <c r="G13" s="4" t="n">
        <f aca="false">'Revenue Build'!G20</f>
        <v>0</v>
      </c>
      <c r="H13" s="4" t="n">
        <f aca="false">'Revenue Build'!H20</f>
        <v>0</v>
      </c>
      <c r="I13" s="4" t="n">
        <f aca="false">'Revenue Build'!I20</f>
        <v>0</v>
      </c>
      <c r="J13" s="4" t="n">
        <f aca="false">'Revenue Build'!J20</f>
        <v>0</v>
      </c>
      <c r="K13" s="4" t="n">
        <f aca="false">'Revenue Build'!K20</f>
        <v>0</v>
      </c>
      <c r="L13" s="4" t="n">
        <f aca="false">'Revenue Build'!L20</f>
        <v>0</v>
      </c>
      <c r="M13" s="4" t="n">
        <f aca="false">'Revenue Build'!M20</f>
        <v>0</v>
      </c>
      <c r="N13" s="4" t="n">
        <f aca="false">'Revenue Build'!N20</f>
        <v>0</v>
      </c>
      <c r="O13" s="4" t="n">
        <f aca="false">'Revenue Build'!O20</f>
        <v>28687.5</v>
      </c>
      <c r="P13" s="4" t="n">
        <f aca="false">'Revenue Build'!P20</f>
        <v>21228.75</v>
      </c>
      <c r="Q13" s="4" t="n">
        <f aca="false">'Revenue Build'!Q20</f>
        <v>24333.75</v>
      </c>
      <c r="R13" s="4" t="n">
        <f aca="false">'Revenue Build'!R20</f>
        <v>23287.5</v>
      </c>
      <c r="S13" s="4" t="n">
        <f aca="false">'Revenue Build'!S20</f>
        <v>27337.5</v>
      </c>
      <c r="T13" s="4" t="n">
        <f aca="false">'Revenue Build'!T20</f>
        <v>27675</v>
      </c>
      <c r="U13" s="4" t="n">
        <f aca="false">'Revenue Build'!U20</f>
        <v>33075</v>
      </c>
      <c r="V13" s="4" t="n">
        <f aca="false">'Revenue Build'!V20</f>
        <v>38475</v>
      </c>
      <c r="W13" s="4" t="n">
        <f aca="false">'Revenue Build'!W20</f>
        <v>45225</v>
      </c>
      <c r="X13" s="4" t="n">
        <f aca="false">'Revenue Build'!X20</f>
        <v>46575</v>
      </c>
      <c r="Y13" s="4" t="n">
        <f aca="false">'Revenue Build'!Y20</f>
        <v>43875</v>
      </c>
      <c r="Z13" s="4" t="n">
        <f aca="false">'Revenue Build'!Z20</f>
        <v>49275</v>
      </c>
      <c r="AA13" s="4" t="n">
        <f aca="false">'Revenue Build'!AA20</f>
        <v>70875</v>
      </c>
      <c r="AB13" s="4" t="n">
        <f aca="false">'Revenue Build'!AB20</f>
        <v>99900</v>
      </c>
      <c r="AC13" s="4" t="n">
        <f aca="false">'Revenue Build'!AC20</f>
        <v>1620000</v>
      </c>
      <c r="AD13" s="4" t="n">
        <f aca="false">'Revenue Build'!AD20</f>
        <v>3375000</v>
      </c>
      <c r="AE13" s="4" t="n">
        <f aca="false">'Revenue Build'!AE20</f>
        <v>5400000</v>
      </c>
      <c r="AG13" s="4" t="n">
        <f aca="false">SUMIF($C$3:$AE$3,AG$3,$C13:$AE13)</f>
        <v>0</v>
      </c>
      <c r="AH13" s="4" t="n">
        <f aca="false">SUMIF($C$3:$AE$3,AH$3,$C13:$AE13)</f>
        <v>49916.25</v>
      </c>
      <c r="AI13" s="4" t="n">
        <f aca="false">SUMIF($C$3:$AE$3,AI$3,$C13:$AE13)</f>
        <v>529908.75</v>
      </c>
      <c r="AJ13" s="4" t="n">
        <f aca="false">SUMIF($C$3:$AE$3,AJ$3,$C13:$AE13)</f>
        <v>1620000</v>
      </c>
      <c r="AK13" s="4" t="n">
        <f aca="false">SUMIF($C$3:$AE$3,AK$3,$C13:$AE13)</f>
        <v>3375000</v>
      </c>
      <c r="AL13" s="4" t="n">
        <f aca="false">SUMIF($C$3:$AE$3,AL$3,$C13:$AE13)</f>
        <v>5400000</v>
      </c>
    </row>
    <row r="14" customFormat="false" ht="15" hidden="false" customHeight="false" outlineLevel="0" collapsed="false">
      <c r="A14" s="0" t="s">
        <v>653</v>
      </c>
      <c r="B14" s="2"/>
      <c r="C14" s="4" t="n">
        <f aca="false">'Revenue Build'!C21</f>
        <v>0</v>
      </c>
      <c r="D14" s="4" t="n">
        <f aca="false">'Revenue Build'!D21</f>
        <v>0</v>
      </c>
      <c r="E14" s="4" t="n">
        <f aca="false">'Revenue Build'!E21</f>
        <v>0</v>
      </c>
      <c r="F14" s="4" t="n">
        <f aca="false">'Revenue Build'!F21</f>
        <v>0</v>
      </c>
      <c r="G14" s="4" t="n">
        <f aca="false">'Revenue Build'!G21</f>
        <v>0</v>
      </c>
      <c r="H14" s="4" t="n">
        <f aca="false">'Revenue Build'!H21</f>
        <v>0</v>
      </c>
      <c r="I14" s="4" t="n">
        <f aca="false">'Revenue Build'!I21</f>
        <v>0</v>
      </c>
      <c r="J14" s="4" t="n">
        <f aca="false">'Revenue Build'!J21</f>
        <v>0</v>
      </c>
      <c r="K14" s="4" t="n">
        <f aca="false">'Revenue Build'!K21</f>
        <v>0</v>
      </c>
      <c r="L14" s="4" t="n">
        <f aca="false">'Revenue Build'!L21</f>
        <v>0</v>
      </c>
      <c r="M14" s="4" t="n">
        <f aca="false">'Revenue Build'!M21</f>
        <v>0</v>
      </c>
      <c r="N14" s="4" t="n">
        <f aca="false">'Revenue Build'!N21</f>
        <v>0</v>
      </c>
      <c r="O14" s="4" t="n">
        <f aca="false">'Revenue Build'!O21</f>
        <v>318.75</v>
      </c>
      <c r="P14" s="4" t="n">
        <f aca="false">'Revenue Build'!P21</f>
        <v>867</v>
      </c>
      <c r="Q14" s="4" t="n">
        <f aca="false">'Revenue Build'!Q21</f>
        <v>1355.91</v>
      </c>
      <c r="R14" s="4" t="n">
        <f aca="false">'Revenue Build'!R21</f>
        <v>1857.9168</v>
      </c>
      <c r="S14" s="4" t="n">
        <f aca="false">'Revenue Build'!S21</f>
        <v>2383.258464</v>
      </c>
      <c r="T14" s="4" t="n">
        <f aca="false">'Revenue Build'!T21</f>
        <v>2946.84329472</v>
      </c>
      <c r="U14" s="4" t="n">
        <f aca="false">'Revenue Build'!U21</f>
        <v>3562.9064288256</v>
      </c>
      <c r="V14" s="4" t="n">
        <f aca="false">'Revenue Build'!V21</f>
        <v>4286.64830024909</v>
      </c>
      <c r="W14" s="4" t="n">
        <f aca="false">'Revenue Build'!W21</f>
        <v>5130.91533424411</v>
      </c>
      <c r="X14" s="4" t="n">
        <f aca="false">'Revenue Build'!X21</f>
        <v>6048.29702755922</v>
      </c>
      <c r="Y14" s="4" t="n">
        <f aca="false">'Revenue Build'!Y21</f>
        <v>6932.33108700804</v>
      </c>
      <c r="Z14" s="4" t="n">
        <f aca="false">'Revenue Build'!Z21</f>
        <v>7828.68446526788</v>
      </c>
      <c r="AA14" s="4" t="n">
        <f aca="false">'Revenue Build'!AA21</f>
        <v>9007.11077596252</v>
      </c>
      <c r="AB14" s="4" t="n">
        <f aca="false">'Revenue Build'!AB21</f>
        <v>10724.4685604433</v>
      </c>
      <c r="AC14" s="4" t="n">
        <f aca="false">'Revenue Build'!AC21</f>
        <v>425922.729000883</v>
      </c>
      <c r="AD14" s="4" t="n">
        <f aca="false">'Revenue Build'!AD21</f>
        <v>1413471.01330875</v>
      </c>
      <c r="AE14" s="4" t="n">
        <f aca="false">'Revenue Build'!AE21</f>
        <v>3430021.154775</v>
      </c>
      <c r="AG14" s="4" t="n">
        <f aca="false">SUMIF($C$3:$AE$3,AG$3,$C14:$AE14)</f>
        <v>0</v>
      </c>
      <c r="AH14" s="4" t="n">
        <f aca="false">SUMIF($C$3:$AE$3,AH$3,$C14:$AE14)</f>
        <v>1185.75</v>
      </c>
      <c r="AI14" s="4" t="n">
        <f aca="false">SUMIF($C$3:$AE$3,AI$3,$C14:$AE14)</f>
        <v>62065.2905382797</v>
      </c>
      <c r="AJ14" s="4" t="n">
        <f aca="false">SUMIF($C$3:$AE$3,AJ$3,$C14:$AE14)</f>
        <v>425922.729000883</v>
      </c>
      <c r="AK14" s="4" t="n">
        <f aca="false">SUMIF($C$3:$AE$3,AK$3,$C14:$AE14)</f>
        <v>1413471.01330875</v>
      </c>
      <c r="AL14" s="4" t="n">
        <f aca="false">SUMIF($C$3:$AE$3,AL$3,$C14:$AE14)</f>
        <v>3430021.154775</v>
      </c>
    </row>
    <row r="15" customFormat="false" ht="15" hidden="false" customHeight="false" outlineLevel="0" collapsed="false">
      <c r="A15" s="0" t="s">
        <v>514</v>
      </c>
      <c r="B15" s="2"/>
      <c r="C15" s="4" t="n">
        <f aca="false">'Revenue Build'!C23</f>
        <v>0</v>
      </c>
      <c r="D15" s="4" t="n">
        <f aca="false">'Revenue Build'!D23</f>
        <v>0</v>
      </c>
      <c r="E15" s="4" t="n">
        <f aca="false">'Revenue Build'!E23</f>
        <v>0</v>
      </c>
      <c r="F15" s="4" t="n">
        <f aca="false">'Revenue Build'!F23</f>
        <v>0</v>
      </c>
      <c r="G15" s="4" t="n">
        <f aca="false">'Revenue Build'!G23</f>
        <v>0</v>
      </c>
      <c r="H15" s="4" t="n">
        <f aca="false">'Revenue Build'!H23</f>
        <v>0</v>
      </c>
      <c r="I15" s="4" t="n">
        <f aca="false">'Revenue Build'!I23</f>
        <v>0</v>
      </c>
      <c r="J15" s="4" t="n">
        <f aca="false">'Revenue Build'!J23</f>
        <v>0</v>
      </c>
      <c r="K15" s="4" t="n">
        <f aca="false">'Revenue Build'!K23</f>
        <v>0</v>
      </c>
      <c r="L15" s="4" t="n">
        <f aca="false">'Revenue Build'!L23</f>
        <v>0</v>
      </c>
      <c r="M15" s="4" t="n">
        <f aca="false">'Revenue Build'!M23</f>
        <v>0</v>
      </c>
      <c r="N15" s="4" t="n">
        <f aca="false">'Revenue Build'!N23</f>
        <v>0</v>
      </c>
      <c r="O15" s="4" t="n">
        <f aca="false">'Revenue Build'!O23</f>
        <v>0</v>
      </c>
      <c r="P15" s="4" t="n">
        <f aca="false">'Revenue Build'!P23</f>
        <v>0</v>
      </c>
      <c r="Q15" s="4" t="n">
        <f aca="false">'Revenue Build'!Q23</f>
        <v>0</v>
      </c>
      <c r="R15" s="4" t="n">
        <f aca="false">'Revenue Build'!R23</f>
        <v>0</v>
      </c>
      <c r="S15" s="4" t="n">
        <f aca="false">'Revenue Build'!S23</f>
        <v>0</v>
      </c>
      <c r="T15" s="4" t="n">
        <f aca="false">'Revenue Build'!T23</f>
        <v>550</v>
      </c>
      <c r="U15" s="4" t="n">
        <f aca="false">'Revenue Build'!U23</f>
        <v>1650</v>
      </c>
      <c r="V15" s="4" t="n">
        <f aca="false">'Revenue Build'!V23</f>
        <v>2750</v>
      </c>
      <c r="W15" s="4" t="n">
        <f aca="false">'Revenue Build'!W23</f>
        <v>3850</v>
      </c>
      <c r="X15" s="4" t="n">
        <f aca="false">'Revenue Build'!X23</f>
        <v>4950</v>
      </c>
      <c r="Y15" s="4" t="n">
        <f aca="false">'Revenue Build'!Y23</f>
        <v>6050</v>
      </c>
      <c r="Z15" s="4" t="n">
        <f aca="false">'Revenue Build'!Z23</f>
        <v>7700</v>
      </c>
      <c r="AA15" s="4" t="n">
        <f aca="false">'Revenue Build'!AA23</f>
        <v>9900</v>
      </c>
      <c r="AB15" s="4" t="n">
        <f aca="false">'Revenue Build'!AB23</f>
        <v>12100</v>
      </c>
      <c r="AC15" s="4" t="n">
        <f aca="false">'Revenue Build'!AC23</f>
        <v>409200</v>
      </c>
      <c r="AD15" s="4" t="n">
        <f aca="false">'Revenue Build'!AD23</f>
        <v>1122000</v>
      </c>
      <c r="AE15" s="4" t="n">
        <f aca="false">'Revenue Build'!AE23</f>
        <v>2244000</v>
      </c>
      <c r="AG15" s="4" t="n">
        <f aca="false">SUMIF($C$3:$AE$3,AG$3,$C15:$AE15)</f>
        <v>0</v>
      </c>
      <c r="AH15" s="4" t="n">
        <f aca="false">SUMIF($C$3:$AE$3,AH$3,$C15:$AE15)</f>
        <v>0</v>
      </c>
      <c r="AI15" s="4" t="n">
        <f aca="false">SUMIF($C$3:$AE$3,AI$3,$C15:$AE15)</f>
        <v>49500</v>
      </c>
      <c r="AJ15" s="4" t="n">
        <f aca="false">SUMIF($C$3:$AE$3,AJ$3,$C15:$AE15)</f>
        <v>409200</v>
      </c>
      <c r="AK15" s="4" t="n">
        <f aca="false">SUMIF($C$3:$AE$3,AK$3,$C15:$AE15)</f>
        <v>1122000</v>
      </c>
      <c r="AL15" s="4" t="n">
        <f aca="false">SUMIF($C$3:$AE$3,AL$3,$C15:$AE15)</f>
        <v>2244000</v>
      </c>
    </row>
    <row r="16" customFormat="false" ht="15" hidden="false" customHeight="false" outlineLevel="0" collapsed="false">
      <c r="A16" s="13" t="s">
        <v>515</v>
      </c>
      <c r="B16" s="2"/>
      <c r="C16" s="29" t="n">
        <f aca="false">SUM(C10:C15)</f>
        <v>0</v>
      </c>
      <c r="D16" s="29" t="n">
        <f aca="false">SUM(D10:D15)</f>
        <v>0</v>
      </c>
      <c r="E16" s="29" t="n">
        <f aca="false">SUM(E10:E15)</f>
        <v>0</v>
      </c>
      <c r="F16" s="29" t="n">
        <f aca="false">SUM(F10:F15)</f>
        <v>0</v>
      </c>
      <c r="G16" s="29" t="n">
        <f aca="false">SUM(G10:G15)</f>
        <v>0</v>
      </c>
      <c r="H16" s="29" t="n">
        <f aca="false">SUM(H10:H15)</f>
        <v>0</v>
      </c>
      <c r="I16" s="29" t="n">
        <f aca="false">SUM(I10:I15)</f>
        <v>0</v>
      </c>
      <c r="J16" s="29" t="n">
        <f aca="false">SUM(J10:J15)</f>
        <v>0</v>
      </c>
      <c r="K16" s="29" t="n">
        <f aca="false">SUM(K10:K15)</f>
        <v>0</v>
      </c>
      <c r="L16" s="29" t="n">
        <f aca="false">SUM(L10:L15)</f>
        <v>0</v>
      </c>
      <c r="M16" s="29" t="n">
        <f aca="false">SUM(M10:M15)</f>
        <v>0</v>
      </c>
      <c r="N16" s="29" t="n">
        <f aca="false">SUM(N10:N15)</f>
        <v>0</v>
      </c>
      <c r="O16" s="29" t="n">
        <f aca="false">SUM(O10:O15)</f>
        <v>376934.25</v>
      </c>
      <c r="P16" s="29" t="n">
        <f aca="false">SUM(P10:P15)</f>
        <v>279562.47</v>
      </c>
      <c r="Q16" s="29" t="n">
        <f aca="false">SUM(Q10:Q15)</f>
        <v>355318.14</v>
      </c>
      <c r="R16" s="29" t="n">
        <f aca="false">SUM(R10:R15)</f>
        <v>450073.3011672</v>
      </c>
      <c r="S16" s="29" t="n">
        <f aca="false">SUM(S10:S15)</f>
        <v>517523.720813856</v>
      </c>
      <c r="T16" s="29" t="n">
        <f aca="false">SUM(T10:T15)</f>
        <v>539225.909771027</v>
      </c>
      <c r="U16" s="29" t="n">
        <f aca="false">SUM(U10:U15)</f>
        <v>647848.168887503</v>
      </c>
      <c r="V16" s="29" t="n">
        <f aca="false">SUM(V10:V15)</f>
        <v>757075.556953995</v>
      </c>
      <c r="W16" s="29" t="n">
        <f aca="false">SUM(W10:W15)</f>
        <v>849251.687928603</v>
      </c>
      <c r="X16" s="29" t="n">
        <f aca="false">SUM(X10:X15)</f>
        <v>881668.072630787</v>
      </c>
      <c r="Y16" s="29" t="n">
        <f aca="false">SUM(Y10:Y15)</f>
        <v>842656.168749782</v>
      </c>
      <c r="Z16" s="29" t="n">
        <f aca="false">SUM(Z10:Z15)</f>
        <v>950324.316966801</v>
      </c>
      <c r="AA16" s="29" t="n">
        <f aca="false">SUM(AA10:AA15)</f>
        <v>1349135.00017376</v>
      </c>
      <c r="AB16" s="29" t="n">
        <f aca="false">SUM(AB10:AB15)</f>
        <v>1880574.094908</v>
      </c>
      <c r="AC16" s="29" t="n">
        <f aca="false">SUM(AC10:AC15)</f>
        <v>31635040.1157613</v>
      </c>
      <c r="AD16" s="29" t="n">
        <f aca="false">SUM(AD10:AD15)</f>
        <v>67070782.9263516</v>
      </c>
      <c r="AE16" s="29" t="n">
        <f aca="false">SUM(AE10:AE15)</f>
        <v>111334756.855649</v>
      </c>
      <c r="AG16" s="29" t="n">
        <f aca="false">SUMIF($C$3:$AE$3,AG$3,$C16:$AE16)</f>
        <v>0</v>
      </c>
      <c r="AH16" s="29" t="n">
        <f aca="false">SUMIF($C$3:$AE$3,AH$3,$C16:$AE16)</f>
        <v>656496.72</v>
      </c>
      <c r="AI16" s="29" t="n">
        <f aca="false">SUMIF($C$3:$AE$3,AI$3,$C16:$AE16)</f>
        <v>10020674.1389513</v>
      </c>
      <c r="AJ16" s="29" t="n">
        <f aca="false">SUMIF($C$3:$AE$3,AJ$3,$C16:$AE16)</f>
        <v>31635040.1157613</v>
      </c>
      <c r="AK16" s="29" t="n">
        <f aca="false">SUMIF($C$3:$AE$3,AK$3,$C16:$AE16)</f>
        <v>67070782.9263516</v>
      </c>
      <c r="AL16" s="29" t="n">
        <f aca="false">SUMIF($C$3:$AE$3,AL$3,$C16:$AE16)</f>
        <v>111334756.855649</v>
      </c>
    </row>
    <row r="18" customFormat="false" ht="15" hidden="false" customHeight="false" outlineLevel="0" collapsed="false">
      <c r="A18" s="8" t="s">
        <v>654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customFormat="false" ht="15" hidden="false" customHeight="false" outlineLevel="0" collapsed="false">
      <c r="A19" s="0" t="s">
        <v>655</v>
      </c>
      <c r="B19" s="2"/>
      <c r="C19" s="4" t="n">
        <f aca="false">'Hardware COGS'!C15</f>
        <v>0</v>
      </c>
      <c r="D19" s="4" t="n">
        <f aca="false">'Hardware COGS'!D15</f>
        <v>0</v>
      </c>
      <c r="E19" s="4" t="n">
        <f aca="false">'Hardware COGS'!E15</f>
        <v>0</v>
      </c>
      <c r="F19" s="4" t="n">
        <f aca="false">'Hardware COGS'!F15</f>
        <v>0</v>
      </c>
      <c r="G19" s="4" t="n">
        <f aca="false">'Hardware COGS'!G15</f>
        <v>0</v>
      </c>
      <c r="H19" s="4" t="n">
        <f aca="false">'Hardware COGS'!H15</f>
        <v>0</v>
      </c>
      <c r="I19" s="4" t="n">
        <f aca="false">'Hardware COGS'!I15</f>
        <v>0</v>
      </c>
      <c r="J19" s="4" t="n">
        <f aca="false">'Hardware COGS'!J15</f>
        <v>0</v>
      </c>
      <c r="K19" s="4" t="n">
        <f aca="false">'Hardware COGS'!K15</f>
        <v>0</v>
      </c>
      <c r="L19" s="4" t="n">
        <f aca="false">'Hardware COGS'!L15</f>
        <v>0</v>
      </c>
      <c r="M19" s="4" t="n">
        <f aca="false">'Hardware COGS'!M15</f>
        <v>0</v>
      </c>
      <c r="N19" s="4" t="n">
        <f aca="false">'Hardware COGS'!N15</f>
        <v>0</v>
      </c>
      <c r="O19" s="4" t="n">
        <f aca="false">'Hardware COGS'!O15</f>
        <v>317639.1875</v>
      </c>
      <c r="P19" s="4" t="n">
        <f aca="false">'Hardware COGS'!P15</f>
        <v>235052.99875</v>
      </c>
      <c r="Q19" s="4" t="n">
        <f aca="false">'Hardware COGS'!Q15</f>
        <v>282474.65</v>
      </c>
      <c r="R19" s="4" t="n">
        <f aca="false">'Hardware COGS'!R15</f>
        <v>340552.22565</v>
      </c>
      <c r="S19" s="4" t="n">
        <f aca="false">'Hardware COGS'!S15</f>
        <v>388525.45635</v>
      </c>
      <c r="T19" s="4" t="n">
        <f aca="false">'Hardware COGS'!T15</f>
        <v>387532.08405</v>
      </c>
      <c r="U19" s="4" t="n">
        <f aca="false">'Hardware COGS'!U15</f>
        <v>463148.10045</v>
      </c>
      <c r="V19" s="4" t="n">
        <f aca="false">'Hardware COGS'!V15</f>
        <v>538764.11685</v>
      </c>
      <c r="W19" s="4" t="n">
        <f aca="false">'Hardware COGS'!W15</f>
        <v>597022.71225</v>
      </c>
      <c r="X19" s="4" t="n">
        <f aca="false">'Hardware COGS'!X15</f>
        <v>614844.28575</v>
      </c>
      <c r="Y19" s="4" t="n">
        <f aca="false">'Hardware COGS'!Y15</f>
        <v>579201.13875</v>
      </c>
      <c r="Z19" s="4" t="n">
        <f aca="false">'Hardware COGS'!Z15</f>
        <v>650487.43275</v>
      </c>
      <c r="AA19" s="4" t="n">
        <f aca="false">'Hardware COGS'!AA15</f>
        <v>935632.60875</v>
      </c>
      <c r="AB19" s="4" t="n">
        <f aca="false">'Hardware COGS'!AB15</f>
        <v>1318796.439</v>
      </c>
      <c r="AC19" s="4" t="n">
        <f aca="false">'Hardware COGS'!AC15</f>
        <v>20086257.18</v>
      </c>
      <c r="AD19" s="4" t="n">
        <f aca="false">'Hardware COGS'!AD15</f>
        <v>38722141.625</v>
      </c>
      <c r="AE19" s="4" t="n">
        <f aca="false">'Hardware COGS'!AE15</f>
        <v>59955444.8</v>
      </c>
      <c r="AG19" s="4" t="n">
        <f aca="false">SUMIF($C$3:$AE$3,AG$3,$C19:$AE19)</f>
        <v>0</v>
      </c>
      <c r="AH19" s="4" t="n">
        <f aca="false">SUMIF($C$3:$AE$3,AH$3,$C19:$AE19)</f>
        <v>552692.18625</v>
      </c>
      <c r="AI19" s="4" t="n">
        <f aca="false">SUMIF($C$3:$AE$3,AI$3,$C19:$AE19)</f>
        <v>7096981.2506</v>
      </c>
      <c r="AJ19" s="4" t="n">
        <f aca="false">SUMIF($C$3:$AE$3,AJ$3,$C19:$AE19)</f>
        <v>20086257.18</v>
      </c>
      <c r="AK19" s="4" t="n">
        <f aca="false">SUMIF($C$3:$AE$3,AK$3,$C19:$AE19)</f>
        <v>38722141.625</v>
      </c>
      <c r="AL19" s="4" t="n">
        <f aca="false">SUMIF($C$3:$AE$3,AL$3,$C19:$AE19)</f>
        <v>59955444.8</v>
      </c>
    </row>
    <row r="20" customFormat="false" ht="15" hidden="false" customHeight="false" outlineLevel="0" collapsed="false">
      <c r="A20" s="0" t="s">
        <v>526</v>
      </c>
      <c r="B20" s="2"/>
      <c r="C20" s="4" t="n">
        <f aca="false">'Hardware COGS'!C16</f>
        <v>0</v>
      </c>
      <c r="D20" s="4" t="n">
        <f aca="false">'Hardware COGS'!D16</f>
        <v>0</v>
      </c>
      <c r="E20" s="4" t="n">
        <f aca="false">'Hardware COGS'!E16</f>
        <v>0</v>
      </c>
      <c r="F20" s="4" t="n">
        <f aca="false">'Hardware COGS'!F16</f>
        <v>0</v>
      </c>
      <c r="G20" s="4" t="n">
        <f aca="false">'Hardware COGS'!G16</f>
        <v>0</v>
      </c>
      <c r="H20" s="4" t="n">
        <f aca="false">'Hardware COGS'!H16</f>
        <v>0</v>
      </c>
      <c r="I20" s="4" t="n">
        <f aca="false">'Hardware COGS'!I16</f>
        <v>0</v>
      </c>
      <c r="J20" s="4" t="n">
        <f aca="false">'Hardware COGS'!J16</f>
        <v>0</v>
      </c>
      <c r="K20" s="4" t="n">
        <f aca="false">'Hardware COGS'!K16</f>
        <v>0</v>
      </c>
      <c r="L20" s="4" t="n">
        <f aca="false">'Hardware COGS'!L16</f>
        <v>0</v>
      </c>
      <c r="M20" s="4" t="n">
        <f aca="false">'Hardware COGS'!M16</f>
        <v>0</v>
      </c>
      <c r="N20" s="4" t="n">
        <f aca="false">'Hardware COGS'!N16</f>
        <v>0</v>
      </c>
      <c r="O20" s="4" t="n">
        <f aca="false">'Hardware COGS'!O16</f>
        <v>10901.25</v>
      </c>
      <c r="P20" s="4" t="n">
        <f aca="false">'Hardware COGS'!P16</f>
        <v>8066.925</v>
      </c>
      <c r="Q20" s="4" t="n">
        <f aca="false">'Hardware COGS'!Q16</f>
        <v>9246.825</v>
      </c>
      <c r="R20" s="4" t="n">
        <f aca="false">'Hardware COGS'!R16</f>
        <v>8849.25</v>
      </c>
      <c r="S20" s="4" t="n">
        <f aca="false">'Hardware COGS'!S16</f>
        <v>10388.25</v>
      </c>
      <c r="T20" s="4" t="n">
        <f aca="false">'Hardware COGS'!T16</f>
        <v>10516.5</v>
      </c>
      <c r="U20" s="4" t="n">
        <f aca="false">'Hardware COGS'!U16</f>
        <v>12568.5</v>
      </c>
      <c r="V20" s="4" t="n">
        <f aca="false">'Hardware COGS'!V16</f>
        <v>14620.5</v>
      </c>
      <c r="W20" s="4" t="n">
        <f aca="false">'Hardware COGS'!W16</f>
        <v>17185.5</v>
      </c>
      <c r="X20" s="4" t="n">
        <f aca="false">'Hardware COGS'!X16</f>
        <v>17698.5</v>
      </c>
      <c r="Y20" s="4" t="n">
        <f aca="false">'Hardware COGS'!Y16</f>
        <v>16672.5</v>
      </c>
      <c r="Z20" s="4" t="n">
        <f aca="false">'Hardware COGS'!Z16</f>
        <v>18724.5</v>
      </c>
      <c r="AA20" s="4" t="n">
        <f aca="false">'Hardware COGS'!AA16</f>
        <v>26932.5</v>
      </c>
      <c r="AB20" s="4" t="n">
        <f aca="false">'Hardware COGS'!AB16</f>
        <v>37962</v>
      </c>
      <c r="AC20" s="4" t="n">
        <f aca="false">'Hardware COGS'!AC16</f>
        <v>615600</v>
      </c>
      <c r="AD20" s="4" t="n">
        <f aca="false">'Hardware COGS'!AD16</f>
        <v>1282500</v>
      </c>
      <c r="AE20" s="4" t="n">
        <f aca="false">'Hardware COGS'!AE16</f>
        <v>2052000</v>
      </c>
      <c r="AG20" s="4" t="n">
        <f aca="false">SUMIF($C$3:$AE$3,AG$3,$C20:$AE20)</f>
        <v>0</v>
      </c>
      <c r="AH20" s="4" t="n">
        <f aca="false">SUMIF($C$3:$AE$3,AH$3,$C20:$AE20)</f>
        <v>18968.175</v>
      </c>
      <c r="AI20" s="4" t="n">
        <f aca="false">SUMIF($C$3:$AE$3,AI$3,$C20:$AE20)</f>
        <v>201365.325</v>
      </c>
      <c r="AJ20" s="4" t="n">
        <f aca="false">SUMIF($C$3:$AE$3,AJ$3,$C20:$AE20)</f>
        <v>615600</v>
      </c>
      <c r="AK20" s="4" t="n">
        <f aca="false">SUMIF($C$3:$AE$3,AK$3,$C20:$AE20)</f>
        <v>1282500</v>
      </c>
      <c r="AL20" s="4" t="n">
        <f aca="false">SUMIF($C$3:$AE$3,AL$3,$C20:$AE20)</f>
        <v>2052000</v>
      </c>
    </row>
    <row r="21" customFormat="false" ht="15" hidden="false" customHeight="false" outlineLevel="0" collapsed="false">
      <c r="A21" s="0" t="s">
        <v>656</v>
      </c>
      <c r="B21" s="2"/>
      <c r="C21" s="4" t="n">
        <f aca="false">'Cloud &amp; AI COGS'!C18</f>
        <v>0</v>
      </c>
      <c r="D21" s="4" t="n">
        <f aca="false">'Cloud &amp; AI COGS'!D18</f>
        <v>0</v>
      </c>
      <c r="E21" s="4" t="n">
        <f aca="false">'Cloud &amp; AI COGS'!E18</f>
        <v>0</v>
      </c>
      <c r="F21" s="4" t="n">
        <f aca="false">'Cloud &amp; AI COGS'!F18</f>
        <v>0</v>
      </c>
      <c r="G21" s="4" t="n">
        <f aca="false">'Cloud &amp; AI COGS'!G18</f>
        <v>0</v>
      </c>
      <c r="H21" s="4" t="n">
        <f aca="false">'Cloud &amp; AI COGS'!H18</f>
        <v>0</v>
      </c>
      <c r="I21" s="4" t="n">
        <f aca="false">'Cloud &amp; AI COGS'!I18</f>
        <v>0</v>
      </c>
      <c r="J21" s="4" t="n">
        <f aca="false">'Cloud &amp; AI COGS'!J18</f>
        <v>0</v>
      </c>
      <c r="K21" s="4" t="n">
        <f aca="false">'Cloud &amp; AI COGS'!K18</f>
        <v>0</v>
      </c>
      <c r="L21" s="4" t="n">
        <f aca="false">'Cloud &amp; AI COGS'!L18</f>
        <v>0</v>
      </c>
      <c r="M21" s="4" t="n">
        <f aca="false">'Cloud &amp; AI COGS'!M18</f>
        <v>0</v>
      </c>
      <c r="N21" s="4" t="n">
        <f aca="false">'Cloud &amp; AI COGS'!N18</f>
        <v>0</v>
      </c>
      <c r="O21" s="4" t="n">
        <f aca="false">'Cloud &amp; AI COGS'!O18</f>
        <v>4093.6</v>
      </c>
      <c r="P21" s="4" t="n">
        <f aca="false">'Cloud &amp; AI COGS'!P18</f>
        <v>7122.864</v>
      </c>
      <c r="Q21" s="4" t="n">
        <f aca="false">'Cloud &amp; AI COGS'!Q18</f>
        <v>10595.2</v>
      </c>
      <c r="R21" s="4" t="n">
        <f aca="false">'Cloud &amp; AI COGS'!R18</f>
        <v>10923.641819456</v>
      </c>
      <c r="S21" s="4" t="n">
        <f aca="false">'Cloud &amp; AI COGS'!S18</f>
        <v>13521.3375950669</v>
      </c>
      <c r="T21" s="4" t="n">
        <f aca="false">'Cloud &amp; AI COGS'!T18</f>
        <v>16353.9917009987</v>
      </c>
      <c r="U21" s="4" t="n">
        <f aca="false">'Cloud &amp; AI COGS'!U18</f>
        <v>19628.7972737224</v>
      </c>
      <c r="V21" s="4" t="n">
        <f aca="false">'Cloud &amp; AI COGS'!V18</f>
        <v>23277.8564722558</v>
      </c>
      <c r="W21" s="4" t="n">
        <f aca="false">'Cloud &amp; AI COGS'!W18</f>
        <v>27896.6575399621</v>
      </c>
      <c r="X21" s="4" t="n">
        <f aca="false">'Cloud &amp; AI COGS'!X18</f>
        <v>32127.1847760043</v>
      </c>
      <c r="Y21" s="4" t="n">
        <f aca="false">'Cloud &amp; AI COGS'!Y18</f>
        <v>35534.9582621552</v>
      </c>
      <c r="Z21" s="4" t="n">
        <f aca="false">'Cloud &amp; AI COGS'!Z18</f>
        <v>39148.2415279789</v>
      </c>
      <c r="AA21" s="4" t="n">
        <f aca="false">'Cloud &amp; AI COGS'!AA18</f>
        <v>45869.465235406</v>
      </c>
      <c r="AB21" s="4" t="n">
        <f aca="false">'Cloud &amp; AI COGS'!AB18</f>
        <v>57012.5599085815</v>
      </c>
      <c r="AC21" s="4" t="n">
        <f aca="false">'Cloud &amp; AI COGS'!AC18</f>
        <v>1368286.01514453</v>
      </c>
      <c r="AD21" s="4" t="n">
        <f aca="false">'Cloud &amp; AI COGS'!AD18</f>
        <v>3003192.8606706</v>
      </c>
      <c r="AE21" s="4" t="n">
        <f aca="false">'Cloud &amp; AI COGS'!AE18</f>
        <v>5089430.73260511</v>
      </c>
      <c r="AG21" s="4" t="n">
        <f aca="false">SUMIF($C$3:$AE$3,AG$3,$C21:$AE21)</f>
        <v>0</v>
      </c>
      <c r="AH21" s="4" t="n">
        <f aca="false">SUMIF($C$3:$AE$3,AH$3,$C21:$AE21)</f>
        <v>11216.464</v>
      </c>
      <c r="AI21" s="4" t="n">
        <f aca="false">SUMIF($C$3:$AE$3,AI$3,$C21:$AE21)</f>
        <v>331889.892111588</v>
      </c>
      <c r="AJ21" s="4" t="n">
        <f aca="false">SUMIF($C$3:$AE$3,AJ$3,$C21:$AE21)</f>
        <v>1368286.01514453</v>
      </c>
      <c r="AK21" s="4" t="n">
        <f aca="false">SUMIF($C$3:$AE$3,AK$3,$C21:$AE21)</f>
        <v>3003192.8606706</v>
      </c>
      <c r="AL21" s="4" t="n">
        <f aca="false">SUMIF($C$3:$AE$3,AL$3,$C21:$AE21)</f>
        <v>5089430.73260511</v>
      </c>
    </row>
    <row r="22" customFormat="false" ht="15" hidden="false" customHeight="false" outlineLevel="0" collapsed="false">
      <c r="A22" s="13" t="s">
        <v>657</v>
      </c>
      <c r="B22" s="2"/>
      <c r="C22" s="29" t="n">
        <f aca="false">'P&amp;L'!C19+'P&amp;L'!C20+'P&amp;L'!C21</f>
        <v>0</v>
      </c>
      <c r="D22" s="29" t="n">
        <f aca="false">'P&amp;L'!D19+'P&amp;L'!D20+'P&amp;L'!D21</f>
        <v>0</v>
      </c>
      <c r="E22" s="29" t="n">
        <f aca="false">'P&amp;L'!E19+'P&amp;L'!E20+'P&amp;L'!E21</f>
        <v>0</v>
      </c>
      <c r="F22" s="29" t="n">
        <f aca="false">'P&amp;L'!F19+'P&amp;L'!F20+'P&amp;L'!F21</f>
        <v>0</v>
      </c>
      <c r="G22" s="29" t="n">
        <f aca="false">'P&amp;L'!G19+'P&amp;L'!G20+'P&amp;L'!G21</f>
        <v>0</v>
      </c>
      <c r="H22" s="29" t="n">
        <f aca="false">'P&amp;L'!H19+'P&amp;L'!H20+'P&amp;L'!H21</f>
        <v>0</v>
      </c>
      <c r="I22" s="29" t="n">
        <f aca="false">'P&amp;L'!I19+'P&amp;L'!I20+'P&amp;L'!I21</f>
        <v>0</v>
      </c>
      <c r="J22" s="29" t="n">
        <f aca="false">'P&amp;L'!J19+'P&amp;L'!J20+'P&amp;L'!J21</f>
        <v>0</v>
      </c>
      <c r="K22" s="29" t="n">
        <f aca="false">'P&amp;L'!K19+'P&amp;L'!K20+'P&amp;L'!K21</f>
        <v>0</v>
      </c>
      <c r="L22" s="29" t="n">
        <f aca="false">'P&amp;L'!L19+'P&amp;L'!L20+'P&amp;L'!L21</f>
        <v>0</v>
      </c>
      <c r="M22" s="29" t="n">
        <f aca="false">'P&amp;L'!M19+'P&amp;L'!M20+'P&amp;L'!M21</f>
        <v>0</v>
      </c>
      <c r="N22" s="29" t="n">
        <f aca="false">'P&amp;L'!N19+'P&amp;L'!N20+'P&amp;L'!N21</f>
        <v>0</v>
      </c>
      <c r="O22" s="29" t="n">
        <f aca="false">'P&amp;L'!O19+'P&amp;L'!O20+'P&amp;L'!O21</f>
        <v>332634.0375</v>
      </c>
      <c r="P22" s="29" t="n">
        <f aca="false">'P&amp;L'!P19+'P&amp;L'!P20+'P&amp;L'!P21</f>
        <v>250242.78775</v>
      </c>
      <c r="Q22" s="29" t="n">
        <f aca="false">'P&amp;L'!Q19+'P&amp;L'!Q20+'P&amp;L'!Q21</f>
        <v>302316.675</v>
      </c>
      <c r="R22" s="29" t="n">
        <f aca="false">'P&amp;L'!R19+'P&amp;L'!R20+'P&amp;L'!R21</f>
        <v>360325.117469456</v>
      </c>
      <c r="S22" s="29" t="n">
        <f aca="false">'P&amp;L'!S19+'P&amp;L'!S20+'P&amp;L'!S21</f>
        <v>412435.043945067</v>
      </c>
      <c r="T22" s="29" t="n">
        <f aca="false">'P&amp;L'!T19+'P&amp;L'!T20+'P&amp;L'!T21</f>
        <v>414402.575750999</v>
      </c>
      <c r="U22" s="29" t="n">
        <f aca="false">'P&amp;L'!U19+'P&amp;L'!U20+'P&amp;L'!U21</f>
        <v>495345.397723722</v>
      </c>
      <c r="V22" s="29" t="n">
        <f aca="false">'P&amp;L'!V19+'P&amp;L'!V20+'P&amp;L'!V21</f>
        <v>576662.473322256</v>
      </c>
      <c r="W22" s="29" t="n">
        <f aca="false">'P&amp;L'!W19+'P&amp;L'!W20+'P&amp;L'!W21</f>
        <v>642104.869789962</v>
      </c>
      <c r="X22" s="29" t="n">
        <f aca="false">'P&amp;L'!X19+'P&amp;L'!X20+'P&amp;L'!X21</f>
        <v>664669.970526004</v>
      </c>
      <c r="Y22" s="29" t="n">
        <f aca="false">'P&amp;L'!Y19+'P&amp;L'!Y20+'P&amp;L'!Y21</f>
        <v>631408.597012155</v>
      </c>
      <c r="Z22" s="29" t="n">
        <f aca="false">'P&amp;L'!Z19+'P&amp;L'!Z20+'P&amp;L'!Z21</f>
        <v>708360.174277979</v>
      </c>
      <c r="AA22" s="29" t="n">
        <f aca="false">'P&amp;L'!AA19+'P&amp;L'!AA20+'P&amp;L'!AA21</f>
        <v>1008434.57398541</v>
      </c>
      <c r="AB22" s="29" t="n">
        <f aca="false">'P&amp;L'!AB19+'P&amp;L'!AB20+'P&amp;L'!AB21</f>
        <v>1413770.99890858</v>
      </c>
      <c r="AC22" s="29" t="n">
        <f aca="false">'P&amp;L'!AC19+'P&amp;L'!AC20+'P&amp;L'!AC21</f>
        <v>22070143.1951445</v>
      </c>
      <c r="AD22" s="29" t="n">
        <f aca="false">'P&amp;L'!AD19+'P&amp;L'!AD20+'P&amp;L'!AD21</f>
        <v>43007834.4856706</v>
      </c>
      <c r="AE22" s="29" t="n">
        <f aca="false">'P&amp;L'!AE19+'P&amp;L'!AE20+'P&amp;L'!AE21</f>
        <v>67096875.5326051</v>
      </c>
      <c r="AG22" s="29" t="n">
        <f aca="false">SUMIF($C$3:$AE$3,AG$3,$C22:$AE22)</f>
        <v>0</v>
      </c>
      <c r="AH22" s="29" t="n">
        <f aca="false">SUMIF($C$3:$AE$3,AH$3,$C22:$AE22)</f>
        <v>582876.82525</v>
      </c>
      <c r="AI22" s="29" t="n">
        <f aca="false">SUMIF($C$3:$AE$3,AI$3,$C22:$AE22)</f>
        <v>7630236.46771159</v>
      </c>
      <c r="AJ22" s="29" t="n">
        <f aca="false">SUMIF($C$3:$AE$3,AJ$3,$C22:$AE22)</f>
        <v>22070143.1951445</v>
      </c>
      <c r="AK22" s="29" t="n">
        <f aca="false">SUMIF($C$3:$AE$3,AK$3,$C22:$AE22)</f>
        <v>43007834.4856706</v>
      </c>
      <c r="AL22" s="29" t="n">
        <f aca="false">SUMIF($C$3:$AE$3,AL$3,$C22:$AE22)</f>
        <v>67096875.5326051</v>
      </c>
    </row>
    <row r="23" customFormat="false" ht="15" hidden="false" customHeight="false" outlineLevel="0" collapsed="false">
      <c r="A23" s="13" t="s">
        <v>658</v>
      </c>
      <c r="B23" s="2"/>
      <c r="C23" s="29" t="n">
        <f aca="false">'P&amp;L'!C16-'P&amp;L'!C22</f>
        <v>0</v>
      </c>
      <c r="D23" s="29" t="n">
        <f aca="false">'P&amp;L'!D16-'P&amp;L'!D22</f>
        <v>0</v>
      </c>
      <c r="E23" s="29" t="n">
        <f aca="false">'P&amp;L'!E16-'P&amp;L'!E22</f>
        <v>0</v>
      </c>
      <c r="F23" s="29" t="n">
        <f aca="false">'P&amp;L'!F16-'P&amp;L'!F22</f>
        <v>0</v>
      </c>
      <c r="G23" s="29" t="n">
        <f aca="false">'P&amp;L'!G16-'P&amp;L'!G22</f>
        <v>0</v>
      </c>
      <c r="H23" s="29" t="n">
        <f aca="false">'P&amp;L'!H16-'P&amp;L'!H22</f>
        <v>0</v>
      </c>
      <c r="I23" s="29" t="n">
        <f aca="false">'P&amp;L'!I16-'P&amp;L'!I22</f>
        <v>0</v>
      </c>
      <c r="J23" s="29" t="n">
        <f aca="false">'P&amp;L'!J16-'P&amp;L'!J22</f>
        <v>0</v>
      </c>
      <c r="K23" s="29" t="n">
        <f aca="false">'P&amp;L'!K16-'P&amp;L'!K22</f>
        <v>0</v>
      </c>
      <c r="L23" s="29" t="n">
        <f aca="false">'P&amp;L'!L16-'P&amp;L'!L22</f>
        <v>0</v>
      </c>
      <c r="M23" s="29" t="n">
        <f aca="false">'P&amp;L'!M16-'P&amp;L'!M22</f>
        <v>0</v>
      </c>
      <c r="N23" s="29" t="n">
        <f aca="false">'P&amp;L'!N16-'P&amp;L'!N22</f>
        <v>0</v>
      </c>
      <c r="O23" s="29" t="n">
        <f aca="false">'P&amp;L'!O16-'P&amp;L'!O22</f>
        <v>44300.2125</v>
      </c>
      <c r="P23" s="29" t="n">
        <f aca="false">'P&amp;L'!P16-'P&amp;L'!P22</f>
        <v>29319.68225</v>
      </c>
      <c r="Q23" s="29" t="n">
        <f aca="false">'P&amp;L'!Q16-'P&amp;L'!Q22</f>
        <v>53001.4649999999</v>
      </c>
      <c r="R23" s="29" t="n">
        <f aca="false">'P&amp;L'!R16-'P&amp;L'!R22</f>
        <v>89748.183697744</v>
      </c>
      <c r="S23" s="29" t="n">
        <f aca="false">'P&amp;L'!S16-'P&amp;L'!S22</f>
        <v>105088.676868789</v>
      </c>
      <c r="T23" s="29" t="n">
        <f aca="false">'P&amp;L'!T16-'P&amp;L'!T22</f>
        <v>124823.334020028</v>
      </c>
      <c r="U23" s="29" t="n">
        <f aca="false">'P&amp;L'!U16-'P&amp;L'!U22</f>
        <v>152502.77116378</v>
      </c>
      <c r="V23" s="29" t="n">
        <f aca="false">'P&amp;L'!V16-'P&amp;L'!V22</f>
        <v>180413.083631739</v>
      </c>
      <c r="W23" s="29" t="n">
        <f aca="false">'P&amp;L'!W16-'P&amp;L'!W22</f>
        <v>207146.818138641</v>
      </c>
      <c r="X23" s="29" t="n">
        <f aca="false">'P&amp;L'!X16-'P&amp;L'!X22</f>
        <v>216998.102104783</v>
      </c>
      <c r="Y23" s="29" t="n">
        <f aca="false">'P&amp;L'!Y16-'P&amp;L'!Y22</f>
        <v>211247.571737627</v>
      </c>
      <c r="Z23" s="29" t="n">
        <f aca="false">'P&amp;L'!Z16-'P&amp;L'!Z22</f>
        <v>241964.142688822</v>
      </c>
      <c r="AA23" s="29" t="n">
        <f aca="false">'P&amp;L'!AA16-'P&amp;L'!AA22</f>
        <v>340700.426188353</v>
      </c>
      <c r="AB23" s="29" t="n">
        <f aca="false">'P&amp;L'!AB16-'P&amp;L'!AB22</f>
        <v>466803.095999418</v>
      </c>
      <c r="AC23" s="29" t="n">
        <f aca="false">'P&amp;L'!AC16-'P&amp;L'!AC22</f>
        <v>9564896.92061676</v>
      </c>
      <c r="AD23" s="29" t="n">
        <f aca="false">'P&amp;L'!AD16-'P&amp;L'!AD22</f>
        <v>24062948.440681</v>
      </c>
      <c r="AE23" s="29" t="n">
        <f aca="false">'P&amp;L'!AE16-'P&amp;L'!AE22</f>
        <v>44237881.3230438</v>
      </c>
      <c r="AG23" s="29" t="n">
        <f aca="false">SUMIF($C$3:$AE$3,AG$3,$C23:$AE23)</f>
        <v>0</v>
      </c>
      <c r="AH23" s="29" t="n">
        <f aca="false">SUMIF($C$3:$AE$3,AH$3,$C23:$AE23)</f>
        <v>73619.8947499999</v>
      </c>
      <c r="AI23" s="29" t="n">
        <f aca="false">SUMIF($C$3:$AE$3,AI$3,$C23:$AE23)</f>
        <v>2390437.67123972</v>
      </c>
      <c r="AJ23" s="29" t="n">
        <f aca="false">SUMIF($C$3:$AE$3,AJ$3,$C23:$AE23)</f>
        <v>9564896.92061676</v>
      </c>
      <c r="AK23" s="29" t="n">
        <f aca="false">SUMIF($C$3:$AE$3,AK$3,$C23:$AE23)</f>
        <v>24062948.440681</v>
      </c>
      <c r="AL23" s="29" t="n">
        <f aca="false">SUMIF($C$3:$AE$3,AL$3,$C23:$AE23)</f>
        <v>44237881.3230438</v>
      </c>
    </row>
    <row r="24" customFormat="false" ht="15" hidden="false" customHeight="false" outlineLevel="0" collapsed="false">
      <c r="A24" s="0" t="s">
        <v>16</v>
      </c>
      <c r="B24" s="2" t="s">
        <v>58</v>
      </c>
      <c r="C24" s="5" t="n">
        <f aca="false">IF('P&amp;L'!C16&lt;&gt;0,'P&amp;L'!C23/'P&amp;L'!C16,0)</f>
        <v>0</v>
      </c>
      <c r="D24" s="5" t="n">
        <f aca="false">IF('P&amp;L'!D16&lt;&gt;0,'P&amp;L'!D23/'P&amp;L'!D16,0)</f>
        <v>0</v>
      </c>
      <c r="E24" s="5" t="n">
        <f aca="false">IF('P&amp;L'!E16&lt;&gt;0,'P&amp;L'!E23/'P&amp;L'!E16,0)</f>
        <v>0</v>
      </c>
      <c r="F24" s="5" t="n">
        <f aca="false">IF('P&amp;L'!F16&lt;&gt;0,'P&amp;L'!F23/'P&amp;L'!F16,0)</f>
        <v>0</v>
      </c>
      <c r="G24" s="5" t="n">
        <f aca="false">IF('P&amp;L'!G16&lt;&gt;0,'P&amp;L'!G23/'P&amp;L'!G16,0)</f>
        <v>0</v>
      </c>
      <c r="H24" s="5" t="n">
        <f aca="false">IF('P&amp;L'!H16&lt;&gt;0,'P&amp;L'!H23/'P&amp;L'!H16,0)</f>
        <v>0</v>
      </c>
      <c r="I24" s="5" t="n">
        <f aca="false">IF('P&amp;L'!I16&lt;&gt;0,'P&amp;L'!I23/'P&amp;L'!I16,0)</f>
        <v>0</v>
      </c>
      <c r="J24" s="5" t="n">
        <f aca="false">IF('P&amp;L'!J16&lt;&gt;0,'P&amp;L'!J23/'P&amp;L'!J16,0)</f>
        <v>0</v>
      </c>
      <c r="K24" s="5" t="n">
        <f aca="false">IF('P&amp;L'!K16&lt;&gt;0,'P&amp;L'!K23/'P&amp;L'!K16,0)</f>
        <v>0</v>
      </c>
      <c r="L24" s="5" t="n">
        <f aca="false">IF('P&amp;L'!L16&lt;&gt;0,'P&amp;L'!L23/'P&amp;L'!L16,0)</f>
        <v>0</v>
      </c>
      <c r="M24" s="5" t="n">
        <f aca="false">IF('P&amp;L'!M16&lt;&gt;0,'P&amp;L'!M23/'P&amp;L'!M16,0)</f>
        <v>0</v>
      </c>
      <c r="N24" s="5" t="n">
        <f aca="false">IF('P&amp;L'!N16&lt;&gt;0,'P&amp;L'!N23/'P&amp;L'!N16,0)</f>
        <v>0</v>
      </c>
      <c r="O24" s="5" t="n">
        <f aca="false">IF('P&amp;L'!O16&lt;&gt;0,'P&amp;L'!O23/'P&amp;L'!O16,0)</f>
        <v>0.117527692163819</v>
      </c>
      <c r="P24" s="5" t="n">
        <f aca="false">IF('P&amp;L'!P16&lt;&gt;0,'P&amp;L'!P23/'P&amp;L'!P16,0)</f>
        <v>0.104877032492952</v>
      </c>
      <c r="Q24" s="5" t="n">
        <f aca="false">IF('P&amp;L'!Q16&lt;&gt;0,'P&amp;L'!Q23/'P&amp;L'!Q16,0)</f>
        <v>0.149166223261216</v>
      </c>
      <c r="R24" s="5" t="n">
        <f aca="false">IF('P&amp;L'!R16&lt;&gt;0,'P&amp;L'!R23/'P&amp;L'!R16,0)</f>
        <v>0.199407926364428</v>
      </c>
      <c r="S24" s="5" t="n">
        <f aca="false">IF('P&amp;L'!S16&lt;&gt;0,'P&amp;L'!S23/'P&amp;L'!S16,0)</f>
        <v>0.203060599238866</v>
      </c>
      <c r="T24" s="5" t="n">
        <f aca="false">IF('P&amp;L'!T16&lt;&gt;0,'P&amp;L'!T23/'P&amp;L'!T16,0)</f>
        <v>0.231486157764623</v>
      </c>
      <c r="U24" s="5" t="n">
        <f aca="false">IF('P&amp;L'!U16&lt;&gt;0,'P&amp;L'!U23/'P&amp;L'!U16,0)</f>
        <v>0.235398938343317</v>
      </c>
      <c r="V24" s="5" t="n">
        <f aca="false">IF('P&amp;L'!V16&lt;&gt;0,'P&amp;L'!V23/'P&amp;L'!V16,0)</f>
        <v>0.238302613226096</v>
      </c>
      <c r="W24" s="5" t="n">
        <f aca="false">IF('P&amp;L'!W16&lt;&gt;0,'P&amp;L'!W23/'P&amp;L'!W16,0)</f>
        <v>0.243916875389308</v>
      </c>
      <c r="X24" s="5" t="n">
        <f aca="false">IF('P&amp;L'!X16&lt;&gt;0,'P&amp;L'!X23/'P&amp;L'!X16,0)</f>
        <v>0.246122218600122</v>
      </c>
      <c r="Y24" s="5" t="n">
        <f aca="false">IF('P&amp;L'!Y16&lt;&gt;0,'P&amp;L'!Y23/'P&amp;L'!Y16,0)</f>
        <v>0.250692488314715</v>
      </c>
      <c r="Z24" s="5" t="n">
        <f aca="false">IF('P&amp;L'!Z16&lt;&gt;0,'P&amp;L'!Z23/'P&amp;L'!Z16,0)</f>
        <v>0.254612176463201</v>
      </c>
      <c r="AA24" s="5" t="n">
        <f aca="false">IF('P&amp;L'!AA16&lt;&gt;0,'P&amp;L'!AA23/'P&amp;L'!AA16,0)</f>
        <v>0.252532493890139</v>
      </c>
      <c r="AB24" s="5" t="n">
        <f aca="false">IF('P&amp;L'!AB16&lt;&gt;0,'P&amp;L'!AB23/'P&amp;L'!AB16,0)</f>
        <v>0.248223719162873</v>
      </c>
      <c r="AC24" s="5" t="n">
        <f aca="false">IF('P&amp;L'!AC16&lt;&gt;0,'P&amp;L'!AC23/'P&amp;L'!AC16,0)</f>
        <v>0.302351344762522</v>
      </c>
      <c r="AD24" s="5" t="n">
        <f aca="false">IF('P&amp;L'!AD16&lt;&gt;0,'P&amp;L'!AD23/'P&amp;L'!AD16,0)</f>
        <v>0.358769458038142</v>
      </c>
      <c r="AE24" s="5" t="n">
        <f aca="false">IF('P&amp;L'!AE16&lt;&gt;0,'P&amp;L'!AE23/'P&amp;L'!AE16,0)</f>
        <v>0.397341158973387</v>
      </c>
      <c r="AG24" s="5" t="n">
        <f aca="false">IF(AG16&lt;&gt;0,AG23/AG16,0)</f>
        <v>0</v>
      </c>
      <c r="AH24" s="5" t="n">
        <f aca="false">IF(AH16&lt;&gt;0,AH23/AH16,0)</f>
        <v>0.1121405370464</v>
      </c>
      <c r="AI24" s="5" t="n">
        <f aca="false">IF(AI16&lt;&gt;0,AI23/AI16,0)</f>
        <v>0.238550584331234</v>
      </c>
      <c r="AJ24" s="5" t="n">
        <f aca="false">IF(AJ16&lt;&gt;0,AJ23/AJ16,0)</f>
        <v>0.302351344762522</v>
      </c>
      <c r="AK24" s="5" t="n">
        <f aca="false">IF(AK16&lt;&gt;0,AK23/AK16,0)</f>
        <v>0.358769458038142</v>
      </c>
      <c r="AL24" s="5" t="n">
        <f aca="false">IF(AL16&lt;&gt;0,AL23/AL16,0)</f>
        <v>0.397341158973387</v>
      </c>
    </row>
    <row r="26" customFormat="false" ht="15" hidden="false" customHeight="false" outlineLevel="0" collapsed="false">
      <c r="A26" s="8" t="s">
        <v>659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customFormat="false" ht="15" hidden="false" customHeight="false" outlineLevel="0" collapsed="false">
      <c r="A27" s="0" t="s">
        <v>660</v>
      </c>
      <c r="B27" s="2"/>
      <c r="C27" s="4" t="n">
        <f aca="false">OpEx!C17</f>
        <v>51625</v>
      </c>
      <c r="D27" s="4" t="n">
        <f aca="false">OpEx!D17</f>
        <v>98291.6666666667</v>
      </c>
      <c r="E27" s="4" t="n">
        <f aca="false">OpEx!E17</f>
        <v>127062.5</v>
      </c>
      <c r="F27" s="4" t="n">
        <f aca="false">OpEx!F17</f>
        <v>147062.5</v>
      </c>
      <c r="G27" s="4" t="n">
        <f aca="false">OpEx!G17</f>
        <v>94875</v>
      </c>
      <c r="H27" s="4" t="n">
        <f aca="false">OpEx!H17</f>
        <v>76875</v>
      </c>
      <c r="I27" s="4" t="n">
        <f aca="false">OpEx!I17</f>
        <v>76875</v>
      </c>
      <c r="J27" s="4" t="n">
        <f aca="false">OpEx!J17</f>
        <v>76875</v>
      </c>
      <c r="K27" s="4" t="n">
        <f aca="false">OpEx!K17</f>
        <v>206875</v>
      </c>
      <c r="L27" s="4" t="n">
        <f aca="false">OpEx!L17</f>
        <v>221458.333333333</v>
      </c>
      <c r="M27" s="4" t="n">
        <f aca="false">OpEx!M17</f>
        <v>631145.833333333</v>
      </c>
      <c r="N27" s="4" t="n">
        <f aca="false">OpEx!N17</f>
        <v>516145.833333333</v>
      </c>
      <c r="O27" s="4" t="n">
        <f aca="false">OpEx!O17</f>
        <v>521145.833333333</v>
      </c>
      <c r="P27" s="4" t="n">
        <f aca="false">OpEx!P17</f>
        <v>471145.833333333</v>
      </c>
      <c r="Q27" s="4" t="n">
        <f aca="false">OpEx!Q17</f>
        <v>217744.791666667</v>
      </c>
      <c r="R27" s="4" t="n">
        <f aca="false">OpEx!R17</f>
        <v>232765.625</v>
      </c>
      <c r="S27" s="4" t="n">
        <f aca="false">OpEx!S17</f>
        <v>227765.625</v>
      </c>
      <c r="T27" s="4" t="n">
        <f aca="false">OpEx!T17</f>
        <v>225104.166666667</v>
      </c>
      <c r="U27" s="4" t="n">
        <f aca="false">OpEx!U17</f>
        <v>255104.166666667</v>
      </c>
      <c r="V27" s="4" t="n">
        <f aca="false">OpEx!V17</f>
        <v>242807.291666667</v>
      </c>
      <c r="W27" s="4" t="n">
        <f aca="false">OpEx!W17</f>
        <v>242807.291666667</v>
      </c>
      <c r="X27" s="4" t="n">
        <f aca="false">OpEx!X17</f>
        <v>242807.291666667</v>
      </c>
      <c r="Y27" s="4" t="n">
        <f aca="false">OpEx!Y17</f>
        <v>242807.291666667</v>
      </c>
      <c r="Z27" s="4" t="n">
        <f aca="false">OpEx!Z17</f>
        <v>242807.291666667</v>
      </c>
      <c r="AA27" s="4" t="n">
        <f aca="false">OpEx!AA17</f>
        <v>265338.541666667</v>
      </c>
      <c r="AB27" s="4" t="n">
        <f aca="false">OpEx!AB17</f>
        <v>265338.541666667</v>
      </c>
      <c r="AC27" s="4" t="n">
        <f aca="false">OpEx!AC17</f>
        <v>6687263.54166667</v>
      </c>
      <c r="AD27" s="4" t="n">
        <f aca="false">OpEx!AD17</f>
        <v>10229421.7304167</v>
      </c>
      <c r="AE27" s="4" t="n">
        <f aca="false">OpEx!AE17</f>
        <v>13770286.553475</v>
      </c>
      <c r="AG27" s="4" t="n">
        <f aca="false">SUMIF($C$3:$AE$3,AG$3,$C27:$AE27)</f>
        <v>149916.666666667</v>
      </c>
      <c r="AH27" s="4" t="n">
        <f aca="false">SUMIF($C$3:$AE$3,AH$3,$C27:$AE27)</f>
        <v>3167541.66666667</v>
      </c>
      <c r="AI27" s="4" t="n">
        <f aca="false">SUMIF($C$3:$AE$3,AI$3,$C27:$AE27)</f>
        <v>2903197.91666667</v>
      </c>
      <c r="AJ27" s="4" t="n">
        <f aca="false">SUMIF($C$3:$AE$3,AJ$3,$C27:$AE27)</f>
        <v>6687263.54166667</v>
      </c>
      <c r="AK27" s="4" t="n">
        <f aca="false">SUMIF($C$3:$AE$3,AK$3,$C27:$AE27)</f>
        <v>10229421.7304167</v>
      </c>
      <c r="AL27" s="4" t="n">
        <f aca="false">SUMIF($C$3:$AE$3,AL$3,$C27:$AE27)</f>
        <v>13770286.553475</v>
      </c>
    </row>
    <row r="28" customFormat="false" ht="15" hidden="false" customHeight="false" outlineLevel="0" collapsed="false">
      <c r="A28" s="0" t="s">
        <v>287</v>
      </c>
      <c r="B28" s="2"/>
      <c r="C28" s="4" t="n">
        <f aca="false">OpEx!C26</f>
        <v>3000</v>
      </c>
      <c r="D28" s="4" t="n">
        <f aca="false">OpEx!D26</f>
        <v>3000</v>
      </c>
      <c r="E28" s="4" t="n">
        <f aca="false">OpEx!E26</f>
        <v>16000</v>
      </c>
      <c r="F28" s="4" t="n">
        <f aca="false">OpEx!F26</f>
        <v>35895.8333333333</v>
      </c>
      <c r="G28" s="4" t="n">
        <f aca="false">OpEx!G26</f>
        <v>55895.8333333333</v>
      </c>
      <c r="H28" s="4" t="n">
        <f aca="false">OpEx!H26</f>
        <v>75895.8333333333</v>
      </c>
      <c r="I28" s="4" t="n">
        <f aca="false">OpEx!I26</f>
        <v>85895.8333333333</v>
      </c>
      <c r="J28" s="4" t="n">
        <f aca="false">OpEx!J26</f>
        <v>99745.0855072464</v>
      </c>
      <c r="K28" s="4" t="n">
        <f aca="false">OpEx!K26</f>
        <v>29198.9115942029</v>
      </c>
      <c r="L28" s="4" t="n">
        <f aca="false">OpEx!L26</f>
        <v>29198.9115942029</v>
      </c>
      <c r="M28" s="4" t="n">
        <f aca="false">OpEx!M26</f>
        <v>29198.9115942029</v>
      </c>
      <c r="N28" s="4" t="n">
        <f aca="false">OpEx!N26</f>
        <v>46698.9115942029</v>
      </c>
      <c r="O28" s="4" t="n">
        <f aca="false">OpEx!O26</f>
        <v>47395.8333333333</v>
      </c>
      <c r="P28" s="4" t="n">
        <f aca="false">OpEx!P26</f>
        <v>47395.8333333333</v>
      </c>
      <c r="Q28" s="4" t="n">
        <f aca="false">OpEx!Q26</f>
        <v>131588.383333333</v>
      </c>
      <c r="R28" s="4" t="n">
        <f aca="false">OpEx!R26</f>
        <v>137070.037333333</v>
      </c>
      <c r="S28" s="4" t="n">
        <f aca="false">OpEx!S26</f>
        <v>166389.999333333</v>
      </c>
      <c r="T28" s="4" t="n">
        <f aca="false">OpEx!T26</f>
        <v>200553.380666667</v>
      </c>
      <c r="U28" s="4" t="n">
        <f aca="false">OpEx!U26</f>
        <v>222564.812666667</v>
      </c>
      <c r="V28" s="4" t="n">
        <f aca="false">OpEx!V26</f>
        <v>255305.411333333</v>
      </c>
      <c r="W28" s="4" t="n">
        <f aca="false">OpEx!W26</f>
        <v>257838.315833333</v>
      </c>
      <c r="X28" s="4" t="n">
        <f aca="false">OpEx!X26</f>
        <v>262595.460833333</v>
      </c>
      <c r="Y28" s="4" t="n">
        <f aca="false">OpEx!Y26</f>
        <v>253081.170833333</v>
      </c>
      <c r="Z28" s="4" t="n">
        <f aca="false">OpEx!Z26</f>
        <v>272109.750833333</v>
      </c>
      <c r="AA28" s="4" t="n">
        <f aca="false">OpEx!AA26</f>
        <v>348224.070833333</v>
      </c>
      <c r="AB28" s="4" t="n">
        <f aca="false">OpEx!AB26</f>
        <v>450502.688333333</v>
      </c>
      <c r="AC28" s="4" t="n">
        <f aca="false">OpEx!AC26</f>
        <v>8543176.40416667</v>
      </c>
      <c r="AD28" s="4" t="n">
        <f aca="false">OpEx!AD26</f>
        <v>16029256.8625</v>
      </c>
      <c r="AE28" s="4" t="n">
        <f aca="false">OpEx!AE26</f>
        <v>24676812.3423125</v>
      </c>
      <c r="AG28" s="4" t="n">
        <f aca="false">SUMIF($C$3:$AE$3,AG$3,$C28:$AE28)</f>
        <v>6000</v>
      </c>
      <c r="AH28" s="4" t="n">
        <f aca="false">SUMIF($C$3:$AE$3,AH$3,$C28:$AE28)</f>
        <v>598415.731884058</v>
      </c>
      <c r="AI28" s="4" t="n">
        <f aca="false">SUMIF($C$3:$AE$3,AI$3,$C28:$AE28)</f>
        <v>2957823.48216667</v>
      </c>
      <c r="AJ28" s="4" t="n">
        <f aca="false">SUMIF($C$3:$AE$3,AJ$3,$C28:$AE28)</f>
        <v>8543176.40416667</v>
      </c>
      <c r="AK28" s="4" t="n">
        <f aca="false">SUMIF($C$3:$AE$3,AK$3,$C28:$AE28)</f>
        <v>16029256.8625</v>
      </c>
      <c r="AL28" s="4" t="n">
        <f aca="false">SUMIF($C$3:$AE$3,AL$3,$C28:$AE28)</f>
        <v>24676812.3423125</v>
      </c>
    </row>
    <row r="29" customFormat="false" ht="15" hidden="false" customHeight="false" outlineLevel="0" collapsed="false">
      <c r="A29" s="0" t="s">
        <v>623</v>
      </c>
      <c r="B29" s="2"/>
      <c r="C29" s="4" t="n">
        <f aca="false">OpEx!C29</f>
        <v>0</v>
      </c>
      <c r="D29" s="4" t="n">
        <f aca="false">OpEx!D29</f>
        <v>0</v>
      </c>
      <c r="E29" s="4" t="n">
        <f aca="false">OpEx!E29</f>
        <v>0</v>
      </c>
      <c r="F29" s="4" t="n">
        <f aca="false">OpEx!F29</f>
        <v>0</v>
      </c>
      <c r="G29" s="4" t="n">
        <f aca="false">OpEx!G29</f>
        <v>0</v>
      </c>
      <c r="H29" s="4" t="n">
        <f aca="false">OpEx!H29</f>
        <v>0</v>
      </c>
      <c r="I29" s="4" t="n">
        <f aca="false">OpEx!I29</f>
        <v>0</v>
      </c>
      <c r="J29" s="4" t="n">
        <f aca="false">OpEx!J29</f>
        <v>0</v>
      </c>
      <c r="K29" s="4" t="n">
        <f aca="false">OpEx!K29</f>
        <v>0</v>
      </c>
      <c r="L29" s="4" t="n">
        <f aca="false">OpEx!L29</f>
        <v>16666.6666666667</v>
      </c>
      <c r="M29" s="4" t="n">
        <f aca="false">OpEx!M29</f>
        <v>16666.6666666667</v>
      </c>
      <c r="N29" s="4" t="n">
        <f aca="false">OpEx!N29</f>
        <v>23437.5</v>
      </c>
      <c r="O29" s="4" t="n">
        <f aca="false">OpEx!O29</f>
        <v>23437.5</v>
      </c>
      <c r="P29" s="4" t="n">
        <f aca="false">OpEx!P29</f>
        <v>23437.5</v>
      </c>
      <c r="Q29" s="4" t="n">
        <f aca="false">OpEx!Q29</f>
        <v>24140.625</v>
      </c>
      <c r="R29" s="4" t="n">
        <f aca="false">OpEx!R29</f>
        <v>24140.625</v>
      </c>
      <c r="S29" s="4" t="n">
        <f aca="false">OpEx!S29</f>
        <v>34869.7916666667</v>
      </c>
      <c r="T29" s="4" t="n">
        <f aca="false">OpEx!T29</f>
        <v>34869.7916666667</v>
      </c>
      <c r="U29" s="4" t="n">
        <f aca="false">OpEx!U29</f>
        <v>34869.7916666667</v>
      </c>
      <c r="V29" s="4" t="n">
        <f aca="false">OpEx!V29</f>
        <v>34869.7916666667</v>
      </c>
      <c r="W29" s="4" t="n">
        <f aca="false">OpEx!W29</f>
        <v>34869.7916666667</v>
      </c>
      <c r="X29" s="4" t="n">
        <f aca="false">OpEx!X29</f>
        <v>34869.7916666667</v>
      </c>
      <c r="Y29" s="4" t="n">
        <f aca="false">OpEx!Y29</f>
        <v>34869.7916666667</v>
      </c>
      <c r="Z29" s="4" t="n">
        <f aca="false">OpEx!Z29</f>
        <v>34869.7916666667</v>
      </c>
      <c r="AA29" s="4" t="n">
        <f aca="false">OpEx!AA29</f>
        <v>50963.5416666667</v>
      </c>
      <c r="AB29" s="4" t="n">
        <f aca="false">OpEx!AB29</f>
        <v>50963.5416666667</v>
      </c>
      <c r="AC29" s="4" t="n">
        <f aca="false">OpEx!AC29</f>
        <v>1160359.375</v>
      </c>
      <c r="AD29" s="4" t="n">
        <f aca="false">OpEx!AD29</f>
        <v>1905442.70625</v>
      </c>
      <c r="AE29" s="4" t="n">
        <f aca="false">OpEx!AE29</f>
        <v>2820806.4550625</v>
      </c>
      <c r="AG29" s="4" t="n">
        <f aca="false">SUMIF($C$3:$AE$3,AG$3,$C29:$AE29)</f>
        <v>0</v>
      </c>
      <c r="AH29" s="4" t="n">
        <f aca="false">SUMIF($C$3:$AE$3,AH$3,$C29:$AE29)</f>
        <v>103645.833333333</v>
      </c>
      <c r="AI29" s="4" t="n">
        <f aca="false">SUMIF($C$3:$AE$3,AI$3,$C29:$AE29)</f>
        <v>429166.666666667</v>
      </c>
      <c r="AJ29" s="4" t="n">
        <f aca="false">SUMIF($C$3:$AE$3,AJ$3,$C29:$AE29)</f>
        <v>1160359.375</v>
      </c>
      <c r="AK29" s="4" t="n">
        <f aca="false">SUMIF($C$3:$AE$3,AK$3,$C29:$AE29)</f>
        <v>1905442.70625</v>
      </c>
      <c r="AL29" s="4" t="n">
        <f aca="false">SUMIF($C$3:$AE$3,AL$3,$C29:$AE29)</f>
        <v>2820806.4550625</v>
      </c>
    </row>
    <row r="30" customFormat="false" ht="15" hidden="false" customHeight="false" outlineLevel="0" collapsed="false">
      <c r="A30" s="0" t="s">
        <v>625</v>
      </c>
      <c r="B30" s="2"/>
      <c r="C30" s="4" t="n">
        <f aca="false">OpEx!C34</f>
        <v>21375</v>
      </c>
      <c r="D30" s="4" t="n">
        <f aca="false">OpEx!D34</f>
        <v>21375</v>
      </c>
      <c r="E30" s="4" t="n">
        <f aca="false">OpEx!E34</f>
        <v>21375</v>
      </c>
      <c r="F30" s="4" t="n">
        <f aca="false">OpEx!F34</f>
        <v>21375</v>
      </c>
      <c r="G30" s="4" t="n">
        <f aca="false">OpEx!G34</f>
        <v>21375</v>
      </c>
      <c r="H30" s="4" t="n">
        <f aca="false">OpEx!H34</f>
        <v>21375</v>
      </c>
      <c r="I30" s="4" t="n">
        <f aca="false">OpEx!I34</f>
        <v>21375</v>
      </c>
      <c r="J30" s="4" t="n">
        <f aca="false">OpEx!J34</f>
        <v>21375</v>
      </c>
      <c r="K30" s="4" t="n">
        <f aca="false">OpEx!K34</f>
        <v>21375</v>
      </c>
      <c r="L30" s="4" t="n">
        <f aca="false">OpEx!L34</f>
        <v>29375</v>
      </c>
      <c r="M30" s="4" t="n">
        <f aca="false">OpEx!M34</f>
        <v>29375</v>
      </c>
      <c r="N30" s="4" t="n">
        <f aca="false">OpEx!N34</f>
        <v>29375</v>
      </c>
      <c r="O30" s="4" t="n">
        <f aca="false">OpEx!O34</f>
        <v>40833.3333333333</v>
      </c>
      <c r="P30" s="4" t="n">
        <f aca="false">OpEx!P34</f>
        <v>40833.3333333333</v>
      </c>
      <c r="Q30" s="4" t="n">
        <f aca="false">OpEx!Q34</f>
        <v>56458.3333333333</v>
      </c>
      <c r="R30" s="4" t="n">
        <f aca="false">OpEx!R34</f>
        <v>56458.3333333333</v>
      </c>
      <c r="S30" s="4" t="n">
        <f aca="false">OpEx!S34</f>
        <v>56458.3333333333</v>
      </c>
      <c r="T30" s="4" t="n">
        <f aca="false">OpEx!T34</f>
        <v>56458.3333333333</v>
      </c>
      <c r="U30" s="4" t="n">
        <f aca="false">OpEx!U34</f>
        <v>56458.3333333333</v>
      </c>
      <c r="V30" s="4" t="n">
        <f aca="false">OpEx!V34</f>
        <v>56458.3333333333</v>
      </c>
      <c r="W30" s="4" t="n">
        <f aca="false">OpEx!W34</f>
        <v>56458.3333333333</v>
      </c>
      <c r="X30" s="4" t="n">
        <f aca="false">OpEx!X34</f>
        <v>56458.3333333333</v>
      </c>
      <c r="Y30" s="4" t="n">
        <f aca="false">OpEx!Y34</f>
        <v>65578.125</v>
      </c>
      <c r="Z30" s="4" t="n">
        <f aca="false">OpEx!Z34</f>
        <v>65578.125</v>
      </c>
      <c r="AA30" s="4" t="n">
        <f aca="false">OpEx!AA34</f>
        <v>65578.125</v>
      </c>
      <c r="AB30" s="4" t="n">
        <f aca="false">OpEx!AB34</f>
        <v>65578.125</v>
      </c>
      <c r="AC30" s="4" t="n">
        <f aca="false">OpEx!AC34</f>
        <v>1334894.27083333</v>
      </c>
      <c r="AD30" s="4" t="n">
        <f aca="false">OpEx!AD34</f>
        <v>2482010.99375</v>
      </c>
      <c r="AE30" s="4" t="n">
        <f aca="false">OpEx!AE34</f>
        <v>3590984.33607813</v>
      </c>
      <c r="AG30" s="4" t="n">
        <f aca="false">SUMIF($C$3:$AE$3,AG$3,$C30:$AE30)</f>
        <v>42750</v>
      </c>
      <c r="AH30" s="4" t="n">
        <f aca="false">SUMIF($C$3:$AE$3,AH$3,$C30:$AE30)</f>
        <v>319416.666666667</v>
      </c>
      <c r="AI30" s="4" t="n">
        <f aca="false">SUMIF($C$3:$AE$3,AI$3,$C30:$AE30)</f>
        <v>713979.166666667</v>
      </c>
      <c r="AJ30" s="4" t="n">
        <f aca="false">SUMIF($C$3:$AE$3,AJ$3,$C30:$AE30)</f>
        <v>1334894.27083333</v>
      </c>
      <c r="AK30" s="4" t="n">
        <f aca="false">SUMIF($C$3:$AE$3,AK$3,$C30:$AE30)</f>
        <v>2482010.99375</v>
      </c>
      <c r="AL30" s="4" t="n">
        <f aca="false">SUMIF($C$3:$AE$3,AL$3,$C30:$AE30)</f>
        <v>3590984.33607813</v>
      </c>
    </row>
    <row r="31" customFormat="false" ht="15" hidden="false" customHeight="false" outlineLevel="0" collapsed="false">
      <c r="A31" s="13" t="s">
        <v>629</v>
      </c>
      <c r="B31" s="2"/>
      <c r="C31" s="29" t="n">
        <f aca="false">SUM(C27:C30)</f>
        <v>76000</v>
      </c>
      <c r="D31" s="29" t="n">
        <f aca="false">SUM(D27:D30)</f>
        <v>122666.666666667</v>
      </c>
      <c r="E31" s="29" t="n">
        <f aca="false">SUM(E27:E30)</f>
        <v>164437.5</v>
      </c>
      <c r="F31" s="29" t="n">
        <f aca="false">SUM(F27:F30)</f>
        <v>204333.333333333</v>
      </c>
      <c r="G31" s="29" t="n">
        <f aca="false">SUM(G27:G30)</f>
        <v>172145.833333333</v>
      </c>
      <c r="H31" s="29" t="n">
        <f aca="false">SUM(H27:H30)</f>
        <v>174145.833333333</v>
      </c>
      <c r="I31" s="29" t="n">
        <f aca="false">SUM(I27:I30)</f>
        <v>184145.833333333</v>
      </c>
      <c r="J31" s="29" t="n">
        <f aca="false">SUM(J27:J30)</f>
        <v>197995.085507246</v>
      </c>
      <c r="K31" s="29" t="n">
        <f aca="false">SUM(K27:K30)</f>
        <v>257448.911594203</v>
      </c>
      <c r="L31" s="29" t="n">
        <f aca="false">SUM(L27:L30)</f>
        <v>296698.911594203</v>
      </c>
      <c r="M31" s="29" t="n">
        <f aca="false">SUM(M27:M30)</f>
        <v>706386.411594203</v>
      </c>
      <c r="N31" s="29" t="n">
        <f aca="false">SUM(N27:N30)</f>
        <v>615657.244927536</v>
      </c>
      <c r="O31" s="29" t="n">
        <f aca="false">SUM(O27:O30)</f>
        <v>632812.5</v>
      </c>
      <c r="P31" s="29" t="n">
        <f aca="false">SUM(P27:P30)</f>
        <v>582812.5</v>
      </c>
      <c r="Q31" s="29" t="n">
        <f aca="false">SUM(Q27:Q30)</f>
        <v>429932.133333333</v>
      </c>
      <c r="R31" s="29" t="n">
        <f aca="false">SUM(R27:R30)</f>
        <v>450434.620666667</v>
      </c>
      <c r="S31" s="29" t="n">
        <f aca="false">SUM(S27:S30)</f>
        <v>485483.749333333</v>
      </c>
      <c r="T31" s="29" t="n">
        <f aca="false">SUM(T27:T30)</f>
        <v>516985.672333333</v>
      </c>
      <c r="U31" s="29" t="n">
        <f aca="false">SUM(U27:U30)</f>
        <v>568997.104333333</v>
      </c>
      <c r="V31" s="29" t="n">
        <f aca="false">SUM(V27:V30)</f>
        <v>589440.828</v>
      </c>
      <c r="W31" s="29" t="n">
        <f aca="false">SUM(W27:W30)</f>
        <v>591973.7325</v>
      </c>
      <c r="X31" s="29" t="n">
        <f aca="false">SUM(X27:X30)</f>
        <v>596730.8775</v>
      </c>
      <c r="Y31" s="29" t="n">
        <f aca="false">SUM(Y27:Y30)</f>
        <v>596336.379166667</v>
      </c>
      <c r="Z31" s="29" t="n">
        <f aca="false">SUM(Z27:Z30)</f>
        <v>615364.959166667</v>
      </c>
      <c r="AA31" s="29" t="n">
        <f aca="false">SUM(AA27:AA30)</f>
        <v>730104.279166667</v>
      </c>
      <c r="AB31" s="29" t="n">
        <f aca="false">SUM(AB27:AB30)</f>
        <v>832382.896666667</v>
      </c>
      <c r="AC31" s="29" t="n">
        <f aca="false">SUM(AC27:AC30)</f>
        <v>17725693.5916667</v>
      </c>
      <c r="AD31" s="29" t="n">
        <f aca="false">SUM(AD27:AD30)</f>
        <v>30646132.2929167</v>
      </c>
      <c r="AE31" s="29" t="n">
        <f aca="false">SUM(AE27:AE30)</f>
        <v>44858889.6869281</v>
      </c>
      <c r="AG31" s="29" t="n">
        <f aca="false">SUMIF($C$3:$AE$3,AG$3,$C31:$AE31)</f>
        <v>198666.666666667</v>
      </c>
      <c r="AH31" s="29" t="n">
        <f aca="false">SUMIF($C$3:$AE$3,AH$3,$C31:$AE31)</f>
        <v>4189019.89855072</v>
      </c>
      <c r="AI31" s="29" t="n">
        <f aca="false">SUMIF($C$3:$AE$3,AI$3,$C31:$AE31)</f>
        <v>7004167.23216667</v>
      </c>
      <c r="AJ31" s="29" t="n">
        <f aca="false">SUMIF($C$3:$AE$3,AJ$3,$C31:$AE31)</f>
        <v>17725693.5916667</v>
      </c>
      <c r="AK31" s="29" t="n">
        <f aca="false">SUMIF($C$3:$AE$3,AK$3,$C31:$AE31)</f>
        <v>30646132.2929167</v>
      </c>
      <c r="AL31" s="29" t="n">
        <f aca="false">SUMIF($C$3:$AE$3,AL$3,$C31:$AE31)</f>
        <v>44858889.6869281</v>
      </c>
    </row>
    <row r="32" customFormat="false" ht="15" hidden="false" customHeight="false" outlineLevel="0" collapsed="false">
      <c r="A32" s="13" t="s">
        <v>18</v>
      </c>
      <c r="B32" s="2"/>
      <c r="C32" s="29" t="n">
        <f aca="false">'P&amp;L'!C23-'P&amp;L'!C31</f>
        <v>-76000</v>
      </c>
      <c r="D32" s="29" t="n">
        <f aca="false">'P&amp;L'!D23-'P&amp;L'!D31</f>
        <v>-122666.666666667</v>
      </c>
      <c r="E32" s="29" t="n">
        <f aca="false">'P&amp;L'!E23-'P&amp;L'!E31</f>
        <v>-164437.5</v>
      </c>
      <c r="F32" s="29" t="n">
        <f aca="false">'P&amp;L'!F23-'P&amp;L'!F31</f>
        <v>-204333.333333333</v>
      </c>
      <c r="G32" s="29" t="n">
        <f aca="false">'P&amp;L'!G23-'P&amp;L'!G31</f>
        <v>-172145.833333333</v>
      </c>
      <c r="H32" s="29" t="n">
        <f aca="false">'P&amp;L'!H23-'P&amp;L'!H31</f>
        <v>-174145.833333333</v>
      </c>
      <c r="I32" s="29" t="n">
        <f aca="false">'P&amp;L'!I23-'P&amp;L'!I31</f>
        <v>-184145.833333333</v>
      </c>
      <c r="J32" s="29" t="n">
        <f aca="false">'P&amp;L'!J23-'P&amp;L'!J31</f>
        <v>-197995.085507246</v>
      </c>
      <c r="K32" s="29" t="n">
        <f aca="false">'P&amp;L'!K23-'P&amp;L'!K31</f>
        <v>-257448.911594203</v>
      </c>
      <c r="L32" s="29" t="n">
        <f aca="false">'P&amp;L'!L23-'P&amp;L'!L31</f>
        <v>-296698.911594203</v>
      </c>
      <c r="M32" s="29" t="n">
        <f aca="false">'P&amp;L'!M23-'P&amp;L'!M31</f>
        <v>-706386.411594203</v>
      </c>
      <c r="N32" s="29" t="n">
        <f aca="false">'P&amp;L'!N23-'P&amp;L'!N31</f>
        <v>-615657.244927536</v>
      </c>
      <c r="O32" s="29" t="n">
        <f aca="false">'P&amp;L'!O23-'P&amp;L'!O31</f>
        <v>-588512.2875</v>
      </c>
      <c r="P32" s="29" t="n">
        <f aca="false">'P&amp;L'!P23-'P&amp;L'!P31</f>
        <v>-553492.81775</v>
      </c>
      <c r="Q32" s="29" t="n">
        <f aca="false">'P&amp;L'!Q23-'P&amp;L'!Q31</f>
        <v>-376930.668333333</v>
      </c>
      <c r="R32" s="29" t="n">
        <f aca="false">'P&amp;L'!R23-'P&amp;L'!R31</f>
        <v>-360686.436968923</v>
      </c>
      <c r="S32" s="29" t="n">
        <f aca="false">'P&amp;L'!S23-'P&amp;L'!S31</f>
        <v>-380395.072464544</v>
      </c>
      <c r="T32" s="29" t="n">
        <f aca="false">'P&amp;L'!T23-'P&amp;L'!T31</f>
        <v>-392162.338313305</v>
      </c>
      <c r="U32" s="29" t="n">
        <f aca="false">'P&amp;L'!U23-'P&amp;L'!U31</f>
        <v>-416494.333169553</v>
      </c>
      <c r="V32" s="29" t="n">
        <f aca="false">'P&amp;L'!V23-'P&amp;L'!V31</f>
        <v>-409027.744368261</v>
      </c>
      <c r="W32" s="29" t="n">
        <f aca="false">'P&amp;L'!W23-'P&amp;L'!W31</f>
        <v>-384826.91436136</v>
      </c>
      <c r="X32" s="29" t="n">
        <f aca="false">'P&amp;L'!X23-'P&amp;L'!X31</f>
        <v>-379732.775395217</v>
      </c>
      <c r="Y32" s="29" t="n">
        <f aca="false">'P&amp;L'!Y23-'P&amp;L'!Y31</f>
        <v>-385088.80742904</v>
      </c>
      <c r="Z32" s="29" t="n">
        <f aca="false">'P&amp;L'!Z23-'P&amp;L'!Z31</f>
        <v>-373400.816477845</v>
      </c>
      <c r="AA32" s="29" t="n">
        <f aca="false">'P&amp;L'!AA23-'P&amp;L'!AA31</f>
        <v>-389403.852978314</v>
      </c>
      <c r="AB32" s="29" t="n">
        <f aca="false">'P&amp;L'!AB23-'P&amp;L'!AB31</f>
        <v>-365579.800667249</v>
      </c>
      <c r="AC32" s="29" t="n">
        <f aca="false">'P&amp;L'!AC23-'P&amp;L'!AC31</f>
        <v>-8160796.67104991</v>
      </c>
      <c r="AD32" s="29" t="n">
        <f aca="false">'P&amp;L'!AD23-'P&amp;L'!AD31</f>
        <v>-6583183.85223564</v>
      </c>
      <c r="AE32" s="29" t="n">
        <f aca="false">'P&amp;L'!AE23-'P&amp;L'!AE31</f>
        <v>-621008.363884307</v>
      </c>
      <c r="AG32" s="29" t="n">
        <f aca="false">SUMIF($C$3:$AE$3,AG$3,$C32:$AE32)</f>
        <v>-198666.666666667</v>
      </c>
      <c r="AH32" s="29" t="n">
        <f aca="false">SUMIF($C$3:$AE$3,AH$3,$C32:$AE32)</f>
        <v>-4115400.00380072</v>
      </c>
      <c r="AI32" s="29" t="n">
        <f aca="false">SUMIF($C$3:$AE$3,AI$3,$C32:$AE32)</f>
        <v>-4613729.56092694</v>
      </c>
      <c r="AJ32" s="29" t="n">
        <f aca="false">SUMIF($C$3:$AE$3,AJ$3,$C32:$AE32)</f>
        <v>-8160796.67104991</v>
      </c>
      <c r="AK32" s="29" t="n">
        <f aca="false">SUMIF($C$3:$AE$3,AK$3,$C32:$AE32)</f>
        <v>-6583183.85223564</v>
      </c>
      <c r="AL32" s="29" t="n">
        <f aca="false">SUMIF($C$3:$AE$3,AL$3,$C32:$AE32)</f>
        <v>-621008.363884307</v>
      </c>
    </row>
    <row r="33" customFormat="false" ht="15" hidden="false" customHeight="false" outlineLevel="0" collapsed="false">
      <c r="A33" s="0" t="s">
        <v>19</v>
      </c>
      <c r="B33" s="2" t="s">
        <v>58</v>
      </c>
      <c r="C33" s="5" t="n">
        <f aca="false">IF('P&amp;L'!C16&lt;&gt;0,'P&amp;L'!C32/'P&amp;L'!C16,0)</f>
        <v>0</v>
      </c>
      <c r="D33" s="5" t="n">
        <f aca="false">IF('P&amp;L'!D16&lt;&gt;0,'P&amp;L'!D32/'P&amp;L'!D16,0)</f>
        <v>0</v>
      </c>
      <c r="E33" s="5" t="n">
        <f aca="false">IF('P&amp;L'!E16&lt;&gt;0,'P&amp;L'!E32/'P&amp;L'!E16,0)</f>
        <v>0</v>
      </c>
      <c r="F33" s="5" t="n">
        <f aca="false">IF('P&amp;L'!F16&lt;&gt;0,'P&amp;L'!F32/'P&amp;L'!F16,0)</f>
        <v>0</v>
      </c>
      <c r="G33" s="5" t="n">
        <f aca="false">IF('P&amp;L'!G16&lt;&gt;0,'P&amp;L'!G32/'P&amp;L'!G16,0)</f>
        <v>0</v>
      </c>
      <c r="H33" s="5" t="n">
        <f aca="false">IF('P&amp;L'!H16&lt;&gt;0,'P&amp;L'!H32/'P&amp;L'!H16,0)</f>
        <v>0</v>
      </c>
      <c r="I33" s="5" t="n">
        <f aca="false">IF('P&amp;L'!I16&lt;&gt;0,'P&amp;L'!I32/'P&amp;L'!I16,0)</f>
        <v>0</v>
      </c>
      <c r="J33" s="5" t="n">
        <f aca="false">IF('P&amp;L'!J16&lt;&gt;0,'P&amp;L'!J32/'P&amp;L'!J16,0)</f>
        <v>0</v>
      </c>
      <c r="K33" s="5" t="n">
        <f aca="false">IF('P&amp;L'!K16&lt;&gt;0,'P&amp;L'!K32/'P&amp;L'!K16,0)</f>
        <v>0</v>
      </c>
      <c r="L33" s="5" t="n">
        <f aca="false">IF('P&amp;L'!L16&lt;&gt;0,'P&amp;L'!L32/'P&amp;L'!L16,0)</f>
        <v>0</v>
      </c>
      <c r="M33" s="5" t="n">
        <f aca="false">IF('P&amp;L'!M16&lt;&gt;0,'P&amp;L'!M32/'P&amp;L'!M16,0)</f>
        <v>0</v>
      </c>
      <c r="N33" s="5" t="n">
        <f aca="false">IF('P&amp;L'!N16&lt;&gt;0,'P&amp;L'!N32/'P&amp;L'!N16,0)</f>
        <v>0</v>
      </c>
      <c r="O33" s="5" t="n">
        <f aca="false">IF('P&amp;L'!O16&lt;&gt;0,'P&amp;L'!O32/'P&amp;L'!O16,0)</f>
        <v>-1.56131284832832</v>
      </c>
      <c r="P33" s="5" t="n">
        <f aca="false">IF('P&amp;L'!P16&lt;&gt;0,'P&amp;L'!P32/'P&amp;L'!P16,0)</f>
        <v>-1.97985379707798</v>
      </c>
      <c r="Q33" s="5" t="n">
        <f aca="false">IF('P&amp;L'!Q16&lt;&gt;0,'P&amp;L'!Q32/'P&amp;L'!Q16,0)</f>
        <v>-1.06082585125919</v>
      </c>
      <c r="R33" s="5" t="n">
        <f aca="false">IF('P&amp;L'!R16&lt;&gt;0,'P&amp;L'!R32/'P&amp;L'!R16,0)</f>
        <v>-0.80139487508709</v>
      </c>
      <c r="S33" s="5" t="n">
        <f aca="false">IF('P&amp;L'!S16&lt;&gt;0,'P&amp;L'!S32/'P&amp;L'!S16,0)</f>
        <v>-0.735029250188448</v>
      </c>
      <c r="T33" s="5" t="n">
        <f aca="false">IF('P&amp;L'!T16&lt;&gt;0,'P&amp;L'!T32/'P&amp;L'!T16,0)</f>
        <v>-0.72726909298522</v>
      </c>
      <c r="U33" s="5" t="n">
        <f aca="false">IF('P&amp;L'!U16&lt;&gt;0,'P&amp;L'!U32/'P&amp;L'!U16,0)</f>
        <v>-0.642888801993166</v>
      </c>
      <c r="V33" s="5" t="n">
        <f aca="false">IF('P&amp;L'!V16&lt;&gt;0,'P&amp;L'!V32/'P&amp;L'!V16,0)</f>
        <v>-0.540273346050078</v>
      </c>
      <c r="W33" s="5" t="n">
        <f aca="false">IF('P&amp;L'!W16&lt;&gt;0,'P&amp;L'!W32/'P&amp;L'!W16,0)</f>
        <v>-0.453136472769321</v>
      </c>
      <c r="X33" s="5" t="n">
        <f aca="false">IF('P&amp;L'!X16&lt;&gt;0,'P&amp;L'!X32/'P&amp;L'!X16,0)</f>
        <v>-0.430698113250424</v>
      </c>
      <c r="Y33" s="5" t="n">
        <f aca="false">IF('P&amp;L'!Y16&lt;&gt;0,'P&amp;L'!Y32/'P&amp;L'!Y16,0)</f>
        <v>-0.456993993173255</v>
      </c>
      <c r="Z33" s="5" t="n">
        <f aca="false">IF('P&amp;L'!Z16&lt;&gt;0,'P&amp;L'!Z32/'P&amp;L'!Z16,0)</f>
        <v>-0.392919353752461</v>
      </c>
      <c r="AA33" s="5" t="n">
        <f aca="false">IF('P&amp;L'!AA16&lt;&gt;0,'P&amp;L'!AA32/'P&amp;L'!AA16,0)</f>
        <v>-0.288632236898577</v>
      </c>
      <c r="AB33" s="5" t="n">
        <f aca="false">IF('P&amp;L'!AB16&lt;&gt;0,'P&amp;L'!AB32/'P&amp;L'!AB16,0)</f>
        <v>-0.194397977541605</v>
      </c>
      <c r="AC33" s="5" t="n">
        <f aca="false">IF('P&amp;L'!AC16&lt;&gt;0,'P&amp;L'!AC32/'P&amp;L'!AC16,0)</f>
        <v>-0.25796700877215</v>
      </c>
      <c r="AD33" s="5" t="n">
        <f aca="false">IF('P&amp;L'!AD16&lt;&gt;0,'P&amp;L'!AD32/'P&amp;L'!AD16,0)</f>
        <v>-0.0981527807639346</v>
      </c>
      <c r="AE33" s="5" t="n">
        <f aca="false">IF('P&amp;L'!AE16&lt;&gt;0,'P&amp;L'!AE32/'P&amp;L'!AE16,0)</f>
        <v>-0.00557784811700335</v>
      </c>
      <c r="AG33" s="5" t="n">
        <f aca="false">IF(AG16&lt;&gt;0,AG32/AG16,0)</f>
        <v>0</v>
      </c>
      <c r="AH33" s="5" t="n">
        <f aca="false">IF(AH16&lt;&gt;0,AH32/AH16,0)</f>
        <v>-6.26872896455709</v>
      </c>
      <c r="AI33" s="5" t="n">
        <f aca="false">IF(AI16&lt;&gt;0,AI32/AI16,0)</f>
        <v>-0.460421075164288</v>
      </c>
      <c r="AJ33" s="5" t="n">
        <f aca="false">IF(AJ16&lt;&gt;0,AJ32/AJ16,0)</f>
        <v>-0.25796700877215</v>
      </c>
      <c r="AK33" s="5" t="n">
        <f aca="false">IF(AK16&lt;&gt;0,AK32/AK16,0)</f>
        <v>-0.0981527807639346</v>
      </c>
      <c r="AL33" s="5" t="n">
        <f aca="false">IF(AL16&lt;&gt;0,AL32/AL16,0)</f>
        <v>-0.00557784811700335</v>
      </c>
    </row>
    <row r="34" customFormat="false" ht="15" hidden="false" customHeight="false" outlineLevel="0" collapsed="false">
      <c r="A34" s="0" t="s">
        <v>647</v>
      </c>
      <c r="B34" s="2"/>
      <c r="C34" s="4" t="n">
        <f aca="false">'Working Capital'!C27</f>
        <v>0</v>
      </c>
      <c r="D34" s="4" t="n">
        <f aca="false">'Working Capital'!D27</f>
        <v>0</v>
      </c>
      <c r="E34" s="4" t="n">
        <f aca="false">'Working Capital'!E27</f>
        <v>0</v>
      </c>
      <c r="F34" s="4" t="n">
        <f aca="false">'Working Capital'!F27</f>
        <v>0</v>
      </c>
      <c r="G34" s="4" t="n">
        <f aca="false">'Working Capital'!G27</f>
        <v>0</v>
      </c>
      <c r="H34" s="4" t="n">
        <f aca="false">'Working Capital'!H27</f>
        <v>0</v>
      </c>
      <c r="I34" s="4" t="n">
        <f aca="false">'Working Capital'!I27</f>
        <v>0</v>
      </c>
      <c r="J34" s="4" t="n">
        <f aca="false">'Working Capital'!J27</f>
        <v>0</v>
      </c>
      <c r="K34" s="4" t="n">
        <f aca="false">'Working Capital'!K27</f>
        <v>0</v>
      </c>
      <c r="L34" s="4" t="n">
        <f aca="false">'Working Capital'!L27</f>
        <v>5000</v>
      </c>
      <c r="M34" s="4" t="n">
        <f aca="false">'Working Capital'!M27</f>
        <v>10138.8888888889</v>
      </c>
      <c r="N34" s="4" t="n">
        <f aca="false">'Working Capital'!N27</f>
        <v>10138.8888888889</v>
      </c>
      <c r="O34" s="4" t="n">
        <f aca="false">'Working Capital'!O27</f>
        <v>19305.5555555556</v>
      </c>
      <c r="P34" s="4" t="n">
        <f aca="false">'Working Capital'!P27</f>
        <v>19305.5555555556</v>
      </c>
      <c r="Q34" s="4" t="n">
        <f aca="false">'Working Capital'!Q27</f>
        <v>19305.5555555556</v>
      </c>
      <c r="R34" s="4" t="n">
        <f aca="false">'Working Capital'!R27</f>
        <v>19305.5555555556</v>
      </c>
      <c r="S34" s="4" t="n">
        <f aca="false">'Working Capital'!S27</f>
        <v>19305.5555555556</v>
      </c>
      <c r="T34" s="4" t="n">
        <f aca="false">'Working Capital'!T27</f>
        <v>19305.5555555556</v>
      </c>
      <c r="U34" s="4" t="n">
        <f aca="false">'Working Capital'!U27</f>
        <v>19437.5</v>
      </c>
      <c r="V34" s="4" t="n">
        <f aca="false">'Working Capital'!V27</f>
        <v>19570.7638888889</v>
      </c>
      <c r="W34" s="4" t="n">
        <f aca="false">'Working Capital'!W27</f>
        <v>19705.3472222222</v>
      </c>
      <c r="X34" s="4" t="n">
        <f aca="false">'Working Capital'!X27</f>
        <v>19841.25</v>
      </c>
      <c r="Y34" s="4" t="n">
        <f aca="false">'Working Capital'!Y27</f>
        <v>19978.4722222222</v>
      </c>
      <c r="Z34" s="4" t="n">
        <f aca="false">'Working Capital'!Z27</f>
        <v>20117.0138888889</v>
      </c>
      <c r="AA34" s="4" t="n">
        <f aca="false">'Working Capital'!AA27</f>
        <v>20388.8194444444</v>
      </c>
      <c r="AB34" s="4" t="n">
        <f aca="false">'Working Capital'!AB27</f>
        <v>20663.2638888889</v>
      </c>
      <c r="AC34" s="4" t="n">
        <f aca="false">'Working Capital'!AC27</f>
        <v>400979.166666667</v>
      </c>
      <c r="AD34" s="4" t="n">
        <f aca="false">'Working Capital'!AD27</f>
        <v>598332.5</v>
      </c>
      <c r="AE34" s="4" t="n">
        <f aca="false">'Working Capital'!AE27</f>
        <v>914832.083333333</v>
      </c>
      <c r="AG34" s="4" t="n">
        <f aca="false">SUMIF($C$3:$AE$3,AG$3,$C34:$AE34)</f>
        <v>0</v>
      </c>
      <c r="AH34" s="4" t="n">
        <f aca="false">SUMIF($C$3:$AE$3,AH$3,$C34:$AE34)</f>
        <v>63888.8888888889</v>
      </c>
      <c r="AI34" s="4" t="n">
        <f aca="false">SUMIF($C$3:$AE$3,AI$3,$C34:$AE34)</f>
        <v>236924.652777778</v>
      </c>
      <c r="AJ34" s="4" t="n">
        <f aca="false">SUMIF($C$3:$AE$3,AJ$3,$C34:$AE34)</f>
        <v>400979.166666667</v>
      </c>
      <c r="AK34" s="4" t="n">
        <f aca="false">SUMIF($C$3:$AE$3,AK$3,$C34:$AE34)</f>
        <v>598332.5</v>
      </c>
      <c r="AL34" s="4" t="n">
        <f aca="false">SUMIF($C$3:$AE$3,AL$3,$C34:$AE34)</f>
        <v>914832.083333333</v>
      </c>
    </row>
    <row r="35" customFormat="false" ht="15" hidden="false" customHeight="false" outlineLevel="0" collapsed="false">
      <c r="A35" s="0" t="s">
        <v>661</v>
      </c>
      <c r="B35" s="2"/>
      <c r="C35" s="4" t="n">
        <f aca="false">'P&amp;L'!C32-'P&amp;L'!C34</f>
        <v>-76000</v>
      </c>
      <c r="D35" s="4" t="n">
        <f aca="false">'P&amp;L'!D32-'P&amp;L'!D34</f>
        <v>-122666.666666667</v>
      </c>
      <c r="E35" s="4" t="n">
        <f aca="false">'P&amp;L'!E32-'P&amp;L'!E34</f>
        <v>-164437.5</v>
      </c>
      <c r="F35" s="4" t="n">
        <f aca="false">'P&amp;L'!F32-'P&amp;L'!F34</f>
        <v>-204333.333333333</v>
      </c>
      <c r="G35" s="4" t="n">
        <f aca="false">'P&amp;L'!G32-'P&amp;L'!G34</f>
        <v>-172145.833333333</v>
      </c>
      <c r="H35" s="4" t="n">
        <f aca="false">'P&amp;L'!H32-'P&amp;L'!H34</f>
        <v>-174145.833333333</v>
      </c>
      <c r="I35" s="4" t="n">
        <f aca="false">'P&amp;L'!I32-'P&amp;L'!I34</f>
        <v>-184145.833333333</v>
      </c>
      <c r="J35" s="4" t="n">
        <f aca="false">'P&amp;L'!J32-'P&amp;L'!J34</f>
        <v>-197995.085507246</v>
      </c>
      <c r="K35" s="4" t="n">
        <f aca="false">'P&amp;L'!K32-'P&amp;L'!K34</f>
        <v>-257448.911594203</v>
      </c>
      <c r="L35" s="4" t="n">
        <f aca="false">'P&amp;L'!L32-'P&amp;L'!L34</f>
        <v>-301698.911594203</v>
      </c>
      <c r="M35" s="4" t="n">
        <f aca="false">'P&amp;L'!M32-'P&amp;L'!M34</f>
        <v>-716525.300483092</v>
      </c>
      <c r="N35" s="4" t="n">
        <f aca="false">'P&amp;L'!N32-'P&amp;L'!N34</f>
        <v>-625796.133816425</v>
      </c>
      <c r="O35" s="4" t="n">
        <f aca="false">'P&amp;L'!O32-'P&amp;L'!O34</f>
        <v>-607817.843055556</v>
      </c>
      <c r="P35" s="4" t="n">
        <f aca="false">'P&amp;L'!P32-'P&amp;L'!P34</f>
        <v>-572798.373305556</v>
      </c>
      <c r="Q35" s="4" t="n">
        <f aca="false">'P&amp;L'!Q32-'P&amp;L'!Q34</f>
        <v>-396236.223888889</v>
      </c>
      <c r="R35" s="4" t="n">
        <f aca="false">'P&amp;L'!R32-'P&amp;L'!R34</f>
        <v>-379991.992524478</v>
      </c>
      <c r="S35" s="4" t="n">
        <f aca="false">'P&amp;L'!S32-'P&amp;L'!S34</f>
        <v>-399700.6280201</v>
      </c>
      <c r="T35" s="4" t="n">
        <f aca="false">'P&amp;L'!T32-'P&amp;L'!T34</f>
        <v>-411467.89386886</v>
      </c>
      <c r="U35" s="4" t="n">
        <f aca="false">'P&amp;L'!U32-'P&amp;L'!U34</f>
        <v>-435931.833169553</v>
      </c>
      <c r="V35" s="4" t="n">
        <f aca="false">'P&amp;L'!V32-'P&amp;L'!V34</f>
        <v>-428598.50825715</v>
      </c>
      <c r="W35" s="4" t="n">
        <f aca="false">'P&amp;L'!W32-'P&amp;L'!W34</f>
        <v>-404532.261583582</v>
      </c>
      <c r="X35" s="4" t="n">
        <f aca="false">'P&amp;L'!X32-'P&amp;L'!X34</f>
        <v>-399574.025395217</v>
      </c>
      <c r="Y35" s="4" t="n">
        <f aca="false">'P&amp;L'!Y32-'P&amp;L'!Y34</f>
        <v>-405067.279651262</v>
      </c>
      <c r="Z35" s="4" t="n">
        <f aca="false">'P&amp;L'!Z32-'P&amp;L'!Z34</f>
        <v>-393517.830366733</v>
      </c>
      <c r="AA35" s="4" t="n">
        <f aca="false">'P&amp;L'!AA32-'P&amp;L'!AA34</f>
        <v>-409792.672422758</v>
      </c>
      <c r="AB35" s="4" t="n">
        <f aca="false">'P&amp;L'!AB32-'P&amp;L'!AB34</f>
        <v>-386243.064556138</v>
      </c>
      <c r="AC35" s="4" t="n">
        <f aca="false">'P&amp;L'!AC32-'P&amp;L'!AC34</f>
        <v>-8561775.83771657</v>
      </c>
      <c r="AD35" s="4" t="n">
        <f aca="false">'P&amp;L'!AD32-'P&amp;L'!AD34</f>
        <v>-7181516.35223564</v>
      </c>
      <c r="AE35" s="4" t="n">
        <f aca="false">'P&amp;L'!AE32-'P&amp;L'!AE34</f>
        <v>-1535840.44721764</v>
      </c>
      <c r="AG35" s="4" t="n">
        <f aca="false">SUMIF($C$3:$AE$3,AG$3,$C35:$AE35)</f>
        <v>-198666.666666667</v>
      </c>
      <c r="AH35" s="4" t="n">
        <f aca="false">SUMIF($C$3:$AE$3,AH$3,$C35:$AE35)</f>
        <v>-4179288.89268961</v>
      </c>
      <c r="AI35" s="4" t="n">
        <f aca="false">SUMIF($C$3:$AE$3,AI$3,$C35:$AE35)</f>
        <v>-4850654.21370472</v>
      </c>
      <c r="AJ35" s="4" t="n">
        <f aca="false">SUMIF($C$3:$AE$3,AJ$3,$C35:$AE35)</f>
        <v>-8561775.83771657</v>
      </c>
      <c r="AK35" s="4" t="n">
        <f aca="false">SUMIF($C$3:$AE$3,AK$3,$C35:$AE35)</f>
        <v>-7181516.35223564</v>
      </c>
      <c r="AL35" s="4" t="n">
        <f aca="false">SUMIF($C$3:$AE$3,AL$3,$C35:$AE35)</f>
        <v>-1535840.44721764</v>
      </c>
    </row>
    <row r="36" customFormat="false" ht="15" hidden="false" customHeight="false" outlineLevel="0" collapsed="false">
      <c r="A36" s="0" t="s">
        <v>662</v>
      </c>
      <c r="B36" s="2"/>
      <c r="C36" s="4" t="n">
        <f aca="false">MAX(0,'Cash Flow'!C27)*interest_rate/12*Timeline!C4</f>
        <v>0</v>
      </c>
      <c r="D36" s="4" t="n">
        <f aca="false">MAX(0,'Cash Flow'!D27)*interest_rate/12*Timeline!D4</f>
        <v>4153.33333333333</v>
      </c>
      <c r="E36" s="4" t="n">
        <f aca="false">MAX(0,'Cash Flow'!E27)*interest_rate/12*Timeline!E4</f>
        <v>3807.66944444445</v>
      </c>
      <c r="F36" s="4" t="n">
        <f aca="false">MAX(0,'Cash Flow'!F27)*interest_rate/12*Timeline!F4</f>
        <v>3339.16577199074</v>
      </c>
      <c r="G36" s="4" t="n">
        <f aca="false">MAX(0,'Cash Flow'!G27)*interest_rate/12*Timeline!G4</f>
        <v>2752.93278327016</v>
      </c>
      <c r="H36" s="4" t="n">
        <f aca="false">MAX(0,'Cash Flow'!H27)*interest_rate/12*Timeline!H4</f>
        <v>2258.87015666581</v>
      </c>
      <c r="I36" s="4" t="n">
        <f aca="false">MAX(0,'Cash Flow'!I27)*interest_rate/12*Timeline!I4</f>
        <v>1757.53318073386</v>
      </c>
      <c r="J36" s="4" t="n">
        <f aca="false">MAX(0,'Cash Flow'!J27)*interest_rate/12*Timeline!J4</f>
        <v>1225.56730528878</v>
      </c>
      <c r="K36" s="4" t="n">
        <f aca="false">MAX(0,'Cash Flow'!K27)*interest_rate/12*Timeline!K4</f>
        <v>3136.42287719974</v>
      </c>
      <c r="L36" s="4" t="n">
        <f aca="false">MAX(0,'Cash Flow'!L27)*interest_rate/12*Timeline!L4</f>
        <v>2024.97603510848</v>
      </c>
      <c r="M36" s="4" t="n">
        <f aca="false">MAX(0,'Cash Flow'!M27)*interest_rate/12*Timeline!M4</f>
        <v>18020.7893714986</v>
      </c>
      <c r="N36" s="4" t="n">
        <f aca="false">MAX(0,'Cash Flow'!N27)*interest_rate/12*Timeline!N4</f>
        <v>15975.6318781928</v>
      </c>
      <c r="O36" s="4" t="n">
        <f aca="false">MAX(0,'Cash Flow'!O27)*interest_rate/12*Timeline!O4</f>
        <v>12590.8705261218</v>
      </c>
      <c r="P36" s="4" t="n">
        <f aca="false">MAX(0,'Cash Flow'!P27)*interest_rate/12*Timeline!P4</f>
        <v>10002.9766994543</v>
      </c>
      <c r="Q36" s="4" t="n">
        <f aca="false">MAX(0,'Cash Flow'!Q27)*interest_rate/12*Timeline!Q4</f>
        <v>7456.53530488391</v>
      </c>
      <c r="R36" s="4" t="n">
        <f aca="false">MAX(0,'Cash Flow'!R27)*interest_rate/12*Timeline!R4</f>
        <v>5840.8822950551</v>
      </c>
      <c r="S36" s="4" t="n">
        <f aca="false">MAX(0,'Cash Flow'!S27)*interest_rate/12*Timeline!S4</f>
        <v>4130.75767939799</v>
      </c>
      <c r="T36" s="4" t="n">
        <f aca="false">MAX(0,'Cash Flow'!T27)*interest_rate/12*Timeline!T4</f>
        <v>11177.833147858</v>
      </c>
      <c r="U36" s="4" t="n">
        <f aca="false">MAX(0,'Cash Flow'!U27)*interest_rate/12*Timeline!U4</f>
        <v>9698.21869488063</v>
      </c>
      <c r="V36" s="4" t="n">
        <f aca="false">MAX(0,'Cash Flow'!V27)*interest_rate/12*Timeline!V4</f>
        <v>8212.15122165763</v>
      </c>
      <c r="W36" s="4" t="n">
        <f aca="false">MAX(0,'Cash Flow'!W27)*interest_rate/12*Timeline!W4</f>
        <v>6852.3978186467</v>
      </c>
      <c r="X36" s="4" t="n">
        <f aca="false">MAX(0,'Cash Flow'!X27)*interest_rate/12*Timeline!X4</f>
        <v>5264.01082223046</v>
      </c>
      <c r="Y36" s="4" t="n">
        <f aca="false">MAX(0,'Cash Flow'!Y27)*interest_rate/12*Timeline!Y4</f>
        <v>3954.68123430924</v>
      </c>
      <c r="Z36" s="4" t="n">
        <f aca="false">MAX(0,'Cash Flow'!Z27)*interest_rate/12*Timeline!Z4</f>
        <v>75076.913061059</v>
      </c>
      <c r="AA36" s="4" t="n">
        <f aca="false">MAX(0,'Cash Flow'!AA27)*interest_rate/12*Timeline!AA4</f>
        <v>72796.8116033069</v>
      </c>
      <c r="AB36" s="4" t="n">
        <f aca="false">MAX(0,'Cash Flow'!AB27)*interest_rate/12*Timeline!AB4</f>
        <v>70290.9765717236</v>
      </c>
      <c r="AC36" s="4" t="n">
        <f aca="false">MAX(0,'Cash Flow'!AC27)*interest_rate/12*Timeline!AC4</f>
        <v>813755.212249839</v>
      </c>
      <c r="AD36" s="4" t="n">
        <f aca="false">MAX(0,'Cash Flow'!AD27)*interest_rate/12*Timeline!AD4</f>
        <v>503247.683639508</v>
      </c>
      <c r="AE36" s="4" t="n">
        <f aca="false">MAX(0,'Cash Flow'!AE27)*interest_rate/12*Timeline!AE4</f>
        <v>1343380.78151125</v>
      </c>
      <c r="AG36" s="4" t="n">
        <f aca="false">SUMIF($C$3:$AE$3,AG$3,$C36:$AE36)</f>
        <v>4153.33333333333</v>
      </c>
      <c r="AH36" s="4" t="n">
        <f aca="false">SUMIF($C$3:$AE$3,AH$3,$C36:$AE36)</f>
        <v>76893.4060299695</v>
      </c>
      <c r="AI36" s="4" t="n">
        <f aca="false">SUMIF($C$3:$AE$3,AI$3,$C36:$AE36)</f>
        <v>280752.169455009</v>
      </c>
      <c r="AJ36" s="4" t="n">
        <f aca="false">SUMIF($C$3:$AE$3,AJ$3,$C36:$AE36)</f>
        <v>813755.212249839</v>
      </c>
      <c r="AK36" s="4" t="n">
        <f aca="false">SUMIF($C$3:$AE$3,AK$3,$C36:$AE36)</f>
        <v>503247.683639508</v>
      </c>
      <c r="AL36" s="4" t="n">
        <f aca="false">SUMIF($C$3:$AE$3,AL$3,$C36:$AE36)</f>
        <v>1343380.78151125</v>
      </c>
    </row>
    <row r="37" customFormat="false" ht="15" hidden="false" customHeight="false" outlineLevel="0" collapsed="false">
      <c r="A37" s="0" t="s">
        <v>663</v>
      </c>
      <c r="B37" s="2"/>
      <c r="C37" s="4" t="n">
        <f aca="false">'P&amp;L'!C35+'P&amp;L'!C36</f>
        <v>-76000</v>
      </c>
      <c r="D37" s="4" t="n">
        <f aca="false">'P&amp;L'!D35+'P&amp;L'!D36</f>
        <v>-118513.333333333</v>
      </c>
      <c r="E37" s="4" t="n">
        <f aca="false">'P&amp;L'!E35+'P&amp;L'!E36</f>
        <v>-160629.830555556</v>
      </c>
      <c r="F37" s="4" t="n">
        <f aca="false">'P&amp;L'!F35+'P&amp;L'!F36</f>
        <v>-200994.167561343</v>
      </c>
      <c r="G37" s="4" t="n">
        <f aca="false">'P&amp;L'!G35+'P&amp;L'!G36</f>
        <v>-169392.900550063</v>
      </c>
      <c r="H37" s="4" t="n">
        <f aca="false">'P&amp;L'!H35+'P&amp;L'!H36</f>
        <v>-171886.963176668</v>
      </c>
      <c r="I37" s="4" t="n">
        <f aca="false">'P&amp;L'!I35+'P&amp;L'!I36</f>
        <v>-182388.300152599</v>
      </c>
      <c r="J37" s="4" t="n">
        <f aca="false">'P&amp;L'!J35+'P&amp;L'!J36</f>
        <v>-196769.518201958</v>
      </c>
      <c r="K37" s="4" t="n">
        <f aca="false">'P&amp;L'!K35+'P&amp;L'!K36</f>
        <v>-254312.488717003</v>
      </c>
      <c r="L37" s="4" t="n">
        <f aca="false">'P&amp;L'!L35+'P&amp;L'!L36</f>
        <v>-299673.935559094</v>
      </c>
      <c r="M37" s="4" t="n">
        <f aca="false">'P&amp;L'!M35+'P&amp;L'!M36</f>
        <v>-698504.511111593</v>
      </c>
      <c r="N37" s="4" t="n">
        <f aca="false">'P&amp;L'!N35+'P&amp;L'!N36</f>
        <v>-609820.501938232</v>
      </c>
      <c r="O37" s="4" t="n">
        <f aca="false">'P&amp;L'!O35+'P&amp;L'!O36</f>
        <v>-595226.972529434</v>
      </c>
      <c r="P37" s="4" t="n">
        <f aca="false">'P&amp;L'!P35+'P&amp;L'!P36</f>
        <v>-562795.396606101</v>
      </c>
      <c r="Q37" s="4" t="n">
        <f aca="false">'P&amp;L'!Q35+'P&amp;L'!Q36</f>
        <v>-388779.688584005</v>
      </c>
      <c r="R37" s="4" t="n">
        <f aca="false">'P&amp;L'!R35+'P&amp;L'!R36</f>
        <v>-374151.110229423</v>
      </c>
      <c r="S37" s="4" t="n">
        <f aca="false">'P&amp;L'!S35+'P&amp;L'!S36</f>
        <v>-395569.870340702</v>
      </c>
      <c r="T37" s="4" t="n">
        <f aca="false">'P&amp;L'!T35+'P&amp;L'!T36</f>
        <v>-400290.060721002</v>
      </c>
      <c r="U37" s="4" t="n">
        <f aca="false">'P&amp;L'!U35+'P&amp;L'!U36</f>
        <v>-426233.614474673</v>
      </c>
      <c r="V37" s="4" t="n">
        <f aca="false">'P&amp;L'!V35+'P&amp;L'!V36</f>
        <v>-420386.357035492</v>
      </c>
      <c r="W37" s="4" t="n">
        <f aca="false">'P&amp;L'!W35+'P&amp;L'!W36</f>
        <v>-397679.863764935</v>
      </c>
      <c r="X37" s="4" t="n">
        <f aca="false">'P&amp;L'!X35+'P&amp;L'!X36</f>
        <v>-394310.014572987</v>
      </c>
      <c r="Y37" s="4" t="n">
        <f aca="false">'P&amp;L'!Y35+'P&amp;L'!Y36</f>
        <v>-401112.598416953</v>
      </c>
      <c r="Z37" s="4" t="n">
        <f aca="false">'P&amp;L'!Z35+'P&amp;L'!Z36</f>
        <v>-318440.917305674</v>
      </c>
      <c r="AA37" s="4" t="n">
        <f aca="false">'P&amp;L'!AA35+'P&amp;L'!AA36</f>
        <v>-336995.860819451</v>
      </c>
      <c r="AB37" s="4" t="n">
        <f aca="false">'P&amp;L'!AB35+'P&amp;L'!AB36</f>
        <v>-315952.087984414</v>
      </c>
      <c r="AC37" s="4" t="n">
        <f aca="false">'P&amp;L'!AC35+'P&amp;L'!AC36</f>
        <v>-7748020.62546673</v>
      </c>
      <c r="AD37" s="4" t="n">
        <f aca="false">'P&amp;L'!AD35+'P&amp;L'!AD36</f>
        <v>-6678268.66859613</v>
      </c>
      <c r="AE37" s="4" t="n">
        <f aca="false">'P&amp;L'!AE35+'P&amp;L'!AE36</f>
        <v>-192459.665706394</v>
      </c>
      <c r="AG37" s="4" t="n">
        <f aca="false">SUMIF($C$3:$AE$3,AG$3,$C37:$AE37)</f>
        <v>-194513.333333333</v>
      </c>
      <c r="AH37" s="4" t="n">
        <f aca="false">SUMIF($C$3:$AE$3,AH$3,$C37:$AE37)</f>
        <v>-4102395.48665964</v>
      </c>
      <c r="AI37" s="4" t="n">
        <f aca="false">SUMIF($C$3:$AE$3,AI$3,$C37:$AE37)</f>
        <v>-4569902.04424971</v>
      </c>
      <c r="AJ37" s="4" t="n">
        <f aca="false">SUMIF($C$3:$AE$3,AJ$3,$C37:$AE37)</f>
        <v>-7748020.62546673</v>
      </c>
      <c r="AK37" s="4" t="n">
        <f aca="false">SUMIF($C$3:$AE$3,AK$3,$C37:$AE37)</f>
        <v>-6678268.66859613</v>
      </c>
      <c r="AL37" s="4" t="n">
        <f aca="false">SUMIF($C$3:$AE$3,AL$3,$C37:$AE37)</f>
        <v>-192459.665706394</v>
      </c>
    </row>
    <row r="38" customFormat="false" ht="15" hidden="false" customHeight="false" outlineLevel="0" collapsed="false">
      <c r="A38" s="0" t="s">
        <v>664</v>
      </c>
      <c r="B38" s="2"/>
      <c r="C38" s="4" t="n">
        <f aca="false">SUM($C37:C37)</f>
        <v>-76000</v>
      </c>
      <c r="D38" s="4" t="n">
        <f aca="false">SUM($C37:D37)</f>
        <v>-194513.333333333</v>
      </c>
      <c r="E38" s="4" t="n">
        <f aca="false">SUM($C37:E37)</f>
        <v>-355143.163888889</v>
      </c>
      <c r="F38" s="4" t="n">
        <f aca="false">SUM($C37:F37)</f>
        <v>-556137.331450232</v>
      </c>
      <c r="G38" s="4" t="n">
        <f aca="false">SUM($C37:G37)</f>
        <v>-725530.232000295</v>
      </c>
      <c r="H38" s="4" t="n">
        <f aca="false">SUM($C37:H37)</f>
        <v>-897417.195176962</v>
      </c>
      <c r="I38" s="4" t="n">
        <f aca="false">SUM($C37:I37)</f>
        <v>-1079805.49532956</v>
      </c>
      <c r="J38" s="4" t="n">
        <f aca="false">SUM($C37:J37)</f>
        <v>-1276575.01353152</v>
      </c>
      <c r="K38" s="4" t="n">
        <f aca="false">SUM($C37:K37)</f>
        <v>-1530887.50224852</v>
      </c>
      <c r="L38" s="4" t="n">
        <f aca="false">SUM($C37:L37)</f>
        <v>-1830561.43780762</v>
      </c>
      <c r="M38" s="4" t="n">
        <f aca="false">SUM($C37:M37)</f>
        <v>-2529065.94891921</v>
      </c>
      <c r="N38" s="4" t="n">
        <f aca="false">SUM($C37:N37)</f>
        <v>-3138886.45085744</v>
      </c>
      <c r="O38" s="4" t="n">
        <f aca="false">SUM($C37:O37)</f>
        <v>-3734113.42338688</v>
      </c>
      <c r="P38" s="4" t="n">
        <f aca="false">SUM($C37:P37)</f>
        <v>-4296908.81999298</v>
      </c>
      <c r="Q38" s="4" t="n">
        <f aca="false">SUM($C37:Q37)</f>
        <v>-4685688.50857698</v>
      </c>
      <c r="R38" s="4" t="n">
        <f aca="false">SUM($C37:R37)</f>
        <v>-5059839.61880641</v>
      </c>
      <c r="S38" s="4" t="n">
        <f aca="false">SUM($C37:S37)</f>
        <v>-5455409.48914711</v>
      </c>
      <c r="T38" s="4" t="n">
        <f aca="false">SUM($C37:T37)</f>
        <v>-5855699.54986811</v>
      </c>
      <c r="U38" s="4" t="n">
        <f aca="false">SUM($C37:U37)</f>
        <v>-6281933.16434278</v>
      </c>
      <c r="V38" s="4" t="n">
        <f aca="false">SUM($C37:V37)</f>
        <v>-6702319.52137828</v>
      </c>
      <c r="W38" s="4" t="n">
        <f aca="false">SUM($C37:W37)</f>
        <v>-7099999.38514321</v>
      </c>
      <c r="X38" s="4" t="n">
        <f aca="false">SUM($C37:X37)</f>
        <v>-7494309.3997162</v>
      </c>
      <c r="Y38" s="4" t="n">
        <f aca="false">SUM($C37:Y37)</f>
        <v>-7895421.99813315</v>
      </c>
      <c r="Z38" s="4" t="n">
        <f aca="false">SUM($C37:Z37)</f>
        <v>-8213862.91543882</v>
      </c>
      <c r="AA38" s="4" t="n">
        <f aca="false">SUM($C37:AA37)</f>
        <v>-8550858.77625828</v>
      </c>
      <c r="AB38" s="4" t="n">
        <f aca="false">SUM($C37:AB37)</f>
        <v>-8866810.86424269</v>
      </c>
      <c r="AC38" s="4" t="n">
        <f aca="false">SUM($C37:AC37)</f>
        <v>-16614831.4897094</v>
      </c>
      <c r="AD38" s="4" t="n">
        <f aca="false">SUM($C37:AD37)</f>
        <v>-23293100.1583056</v>
      </c>
      <c r="AE38" s="4" t="n">
        <f aca="false">SUM($C37:AE37)</f>
        <v>-23485559.8240119</v>
      </c>
      <c r="AG38" s="4" t="n">
        <f aca="false">D38</f>
        <v>-194513.333333333</v>
      </c>
      <c r="AH38" s="4" t="n">
        <f aca="false">P38</f>
        <v>-4296908.81999298</v>
      </c>
      <c r="AI38" s="4" t="n">
        <f aca="false">AB38</f>
        <v>-8866810.86424269</v>
      </c>
      <c r="AJ38" s="4" t="n">
        <f aca="false">AC38</f>
        <v>-16614831.4897094</v>
      </c>
      <c r="AK38" s="4" t="n">
        <f aca="false">AD38</f>
        <v>-23293100.1583056</v>
      </c>
      <c r="AL38" s="4" t="n">
        <f aca="false">AE38</f>
        <v>-23485559.8240119</v>
      </c>
    </row>
    <row r="39" customFormat="false" ht="15" hidden="false" customHeight="false" outlineLevel="0" collapsed="false">
      <c r="A39" s="0" t="s">
        <v>665</v>
      </c>
      <c r="B39" s="2"/>
      <c r="C39" s="4" t="n">
        <f aca="false">IF('P&amp;L'!C38&gt;0,MAX(0,MIN('P&amp;L'!C37,'P&amp;L'!C38))*tax_rate,0)</f>
        <v>0</v>
      </c>
      <c r="D39" s="4" t="n">
        <f aca="false">IF('P&amp;L'!D38&gt;0,MAX(0,MIN('P&amp;L'!D37,'P&amp;L'!D38))*tax_rate,0)</f>
        <v>0</v>
      </c>
      <c r="E39" s="4" t="n">
        <f aca="false">IF('P&amp;L'!E38&gt;0,MAX(0,MIN('P&amp;L'!E37,'P&amp;L'!E38))*tax_rate,0)</f>
        <v>0</v>
      </c>
      <c r="F39" s="4" t="n">
        <f aca="false">IF('P&amp;L'!F38&gt;0,MAX(0,MIN('P&amp;L'!F37,'P&amp;L'!F38))*tax_rate,0)</f>
        <v>0</v>
      </c>
      <c r="G39" s="4" t="n">
        <f aca="false">IF('P&amp;L'!G38&gt;0,MAX(0,MIN('P&amp;L'!G37,'P&amp;L'!G38))*tax_rate,0)</f>
        <v>0</v>
      </c>
      <c r="H39" s="4" t="n">
        <f aca="false">IF('P&amp;L'!H38&gt;0,MAX(0,MIN('P&amp;L'!H37,'P&amp;L'!H38))*tax_rate,0)</f>
        <v>0</v>
      </c>
      <c r="I39" s="4" t="n">
        <f aca="false">IF('P&amp;L'!I38&gt;0,MAX(0,MIN('P&amp;L'!I37,'P&amp;L'!I38))*tax_rate,0)</f>
        <v>0</v>
      </c>
      <c r="J39" s="4" t="n">
        <f aca="false">IF('P&amp;L'!J38&gt;0,MAX(0,MIN('P&amp;L'!J37,'P&amp;L'!J38))*tax_rate,0)</f>
        <v>0</v>
      </c>
      <c r="K39" s="4" t="n">
        <f aca="false">IF('P&amp;L'!K38&gt;0,MAX(0,MIN('P&amp;L'!K37,'P&amp;L'!K38))*tax_rate,0)</f>
        <v>0</v>
      </c>
      <c r="L39" s="4" t="n">
        <f aca="false">IF('P&amp;L'!L38&gt;0,MAX(0,MIN('P&amp;L'!L37,'P&amp;L'!L38))*tax_rate,0)</f>
        <v>0</v>
      </c>
      <c r="M39" s="4" t="n">
        <f aca="false">IF('P&amp;L'!M38&gt;0,MAX(0,MIN('P&amp;L'!M37,'P&amp;L'!M38))*tax_rate,0)</f>
        <v>0</v>
      </c>
      <c r="N39" s="4" t="n">
        <f aca="false">IF('P&amp;L'!N38&gt;0,MAX(0,MIN('P&amp;L'!N37,'P&amp;L'!N38))*tax_rate,0)</f>
        <v>0</v>
      </c>
      <c r="O39" s="4" t="n">
        <f aca="false">IF('P&amp;L'!O38&gt;0,MAX(0,MIN('P&amp;L'!O37,'P&amp;L'!O38))*tax_rate,0)</f>
        <v>0</v>
      </c>
      <c r="P39" s="4" t="n">
        <f aca="false">IF('P&amp;L'!P38&gt;0,MAX(0,MIN('P&amp;L'!P37,'P&amp;L'!P38))*tax_rate,0)</f>
        <v>0</v>
      </c>
      <c r="Q39" s="4" t="n">
        <f aca="false">IF('P&amp;L'!Q38&gt;0,MAX(0,MIN('P&amp;L'!Q37,'P&amp;L'!Q38))*tax_rate,0)</f>
        <v>0</v>
      </c>
      <c r="R39" s="4" t="n">
        <f aca="false">IF('P&amp;L'!R38&gt;0,MAX(0,MIN('P&amp;L'!R37,'P&amp;L'!R38))*tax_rate,0)</f>
        <v>0</v>
      </c>
      <c r="S39" s="4" t="n">
        <f aca="false">IF('P&amp;L'!S38&gt;0,MAX(0,MIN('P&amp;L'!S37,'P&amp;L'!S38))*tax_rate,0)</f>
        <v>0</v>
      </c>
      <c r="T39" s="4" t="n">
        <f aca="false">IF('P&amp;L'!T38&gt;0,MAX(0,MIN('P&amp;L'!T37,'P&amp;L'!T38))*tax_rate,0)</f>
        <v>0</v>
      </c>
      <c r="U39" s="4" t="n">
        <f aca="false">IF('P&amp;L'!U38&gt;0,MAX(0,MIN('P&amp;L'!U37,'P&amp;L'!U38))*tax_rate,0)</f>
        <v>0</v>
      </c>
      <c r="V39" s="4" t="n">
        <f aca="false">IF('P&amp;L'!V38&gt;0,MAX(0,MIN('P&amp;L'!V37,'P&amp;L'!V38))*tax_rate,0)</f>
        <v>0</v>
      </c>
      <c r="W39" s="4" t="n">
        <f aca="false">IF('P&amp;L'!W38&gt;0,MAX(0,MIN('P&amp;L'!W37,'P&amp;L'!W38))*tax_rate,0)</f>
        <v>0</v>
      </c>
      <c r="X39" s="4" t="n">
        <f aca="false">IF('P&amp;L'!X38&gt;0,MAX(0,MIN('P&amp;L'!X37,'P&amp;L'!X38))*tax_rate,0)</f>
        <v>0</v>
      </c>
      <c r="Y39" s="4" t="n">
        <f aca="false">IF('P&amp;L'!Y38&gt;0,MAX(0,MIN('P&amp;L'!Y37,'P&amp;L'!Y38))*tax_rate,0)</f>
        <v>0</v>
      </c>
      <c r="Z39" s="4" t="n">
        <f aca="false">IF('P&amp;L'!Z38&gt;0,MAX(0,MIN('P&amp;L'!Z37,'P&amp;L'!Z38))*tax_rate,0)</f>
        <v>0</v>
      </c>
      <c r="AA39" s="4" t="n">
        <f aca="false">IF('P&amp;L'!AA38&gt;0,MAX(0,MIN('P&amp;L'!AA37,'P&amp;L'!AA38))*tax_rate,0)</f>
        <v>0</v>
      </c>
      <c r="AB39" s="4" t="n">
        <f aca="false">IF('P&amp;L'!AB38&gt;0,MAX(0,MIN('P&amp;L'!AB37,'P&amp;L'!AB38))*tax_rate,0)</f>
        <v>0</v>
      </c>
      <c r="AC39" s="4" t="n">
        <f aca="false">IF('P&amp;L'!AC38&gt;0,MAX(0,MIN('P&amp;L'!AC37,'P&amp;L'!AC38))*tax_rate,0)</f>
        <v>0</v>
      </c>
      <c r="AD39" s="4" t="n">
        <f aca="false">IF('P&amp;L'!AD38&gt;0,MAX(0,MIN('P&amp;L'!AD37,'P&amp;L'!AD38))*tax_rate,0)</f>
        <v>0</v>
      </c>
      <c r="AE39" s="4" t="n">
        <f aca="false">IF('P&amp;L'!AE38&gt;0,MAX(0,MIN('P&amp;L'!AE37,'P&amp;L'!AE38))*tax_rate,0)</f>
        <v>0</v>
      </c>
      <c r="AG39" s="4" t="n">
        <f aca="false">SUMIF($C$3:$AE$3,AG$3,$C39:$AE39)</f>
        <v>0</v>
      </c>
      <c r="AH39" s="4" t="n">
        <f aca="false">SUMIF($C$3:$AE$3,AH$3,$C39:$AE39)</f>
        <v>0</v>
      </c>
      <c r="AI39" s="4" t="n">
        <f aca="false">SUMIF($C$3:$AE$3,AI$3,$C39:$AE39)</f>
        <v>0</v>
      </c>
      <c r="AJ39" s="4" t="n">
        <f aca="false">SUMIF($C$3:$AE$3,AJ$3,$C39:$AE39)</f>
        <v>0</v>
      </c>
      <c r="AK39" s="4" t="n">
        <f aca="false">SUMIF($C$3:$AE$3,AK$3,$C39:$AE39)</f>
        <v>0</v>
      </c>
      <c r="AL39" s="4" t="n">
        <f aca="false">SUMIF($C$3:$AE$3,AL$3,$C39:$AE39)</f>
        <v>0</v>
      </c>
    </row>
    <row r="40" customFormat="false" ht="15" hidden="false" customHeight="false" outlineLevel="0" collapsed="false">
      <c r="A40" s="13" t="s">
        <v>666</v>
      </c>
      <c r="B40" s="2"/>
      <c r="C40" s="29" t="n">
        <f aca="false">'P&amp;L'!C37-'P&amp;L'!C39</f>
        <v>-76000</v>
      </c>
      <c r="D40" s="29" t="n">
        <f aca="false">'P&amp;L'!D37-'P&amp;L'!D39</f>
        <v>-118513.333333333</v>
      </c>
      <c r="E40" s="29" t="n">
        <f aca="false">'P&amp;L'!E37-'P&amp;L'!E39</f>
        <v>-160629.830555556</v>
      </c>
      <c r="F40" s="29" t="n">
        <f aca="false">'P&amp;L'!F37-'P&amp;L'!F39</f>
        <v>-200994.167561343</v>
      </c>
      <c r="G40" s="29" t="n">
        <f aca="false">'P&amp;L'!G37-'P&amp;L'!G39</f>
        <v>-169392.900550063</v>
      </c>
      <c r="H40" s="29" t="n">
        <f aca="false">'P&amp;L'!H37-'P&amp;L'!H39</f>
        <v>-171886.963176668</v>
      </c>
      <c r="I40" s="29" t="n">
        <f aca="false">'P&amp;L'!I37-'P&amp;L'!I39</f>
        <v>-182388.300152599</v>
      </c>
      <c r="J40" s="29" t="n">
        <f aca="false">'P&amp;L'!J37-'P&amp;L'!J39</f>
        <v>-196769.518201958</v>
      </c>
      <c r="K40" s="29" t="n">
        <f aca="false">'P&amp;L'!K37-'P&amp;L'!K39</f>
        <v>-254312.488717003</v>
      </c>
      <c r="L40" s="29" t="n">
        <f aca="false">'P&amp;L'!L37-'P&amp;L'!L39</f>
        <v>-299673.935559094</v>
      </c>
      <c r="M40" s="29" t="n">
        <f aca="false">'P&amp;L'!M37-'P&amp;L'!M39</f>
        <v>-698504.511111593</v>
      </c>
      <c r="N40" s="29" t="n">
        <f aca="false">'P&amp;L'!N37-'P&amp;L'!N39</f>
        <v>-609820.501938232</v>
      </c>
      <c r="O40" s="29" t="n">
        <f aca="false">'P&amp;L'!O37-'P&amp;L'!O39</f>
        <v>-595226.972529434</v>
      </c>
      <c r="P40" s="29" t="n">
        <f aca="false">'P&amp;L'!P37-'P&amp;L'!P39</f>
        <v>-562795.396606101</v>
      </c>
      <c r="Q40" s="29" t="n">
        <f aca="false">'P&amp;L'!Q37-'P&amp;L'!Q39</f>
        <v>-388779.688584005</v>
      </c>
      <c r="R40" s="29" t="n">
        <f aca="false">'P&amp;L'!R37-'P&amp;L'!R39</f>
        <v>-374151.110229423</v>
      </c>
      <c r="S40" s="29" t="n">
        <f aca="false">'P&amp;L'!S37-'P&amp;L'!S39</f>
        <v>-395569.870340702</v>
      </c>
      <c r="T40" s="29" t="n">
        <f aca="false">'P&amp;L'!T37-'P&amp;L'!T39</f>
        <v>-400290.060721002</v>
      </c>
      <c r="U40" s="29" t="n">
        <f aca="false">'P&amp;L'!U37-'P&amp;L'!U39</f>
        <v>-426233.614474673</v>
      </c>
      <c r="V40" s="29" t="n">
        <f aca="false">'P&amp;L'!V37-'P&amp;L'!V39</f>
        <v>-420386.357035492</v>
      </c>
      <c r="W40" s="29" t="n">
        <f aca="false">'P&amp;L'!W37-'P&amp;L'!W39</f>
        <v>-397679.863764935</v>
      </c>
      <c r="X40" s="29" t="n">
        <f aca="false">'P&amp;L'!X37-'P&amp;L'!X39</f>
        <v>-394310.014572987</v>
      </c>
      <c r="Y40" s="29" t="n">
        <f aca="false">'P&amp;L'!Y37-'P&amp;L'!Y39</f>
        <v>-401112.598416953</v>
      </c>
      <c r="Z40" s="29" t="n">
        <f aca="false">'P&amp;L'!Z37-'P&amp;L'!Z39</f>
        <v>-318440.917305674</v>
      </c>
      <c r="AA40" s="29" t="n">
        <f aca="false">'P&amp;L'!AA37-'P&amp;L'!AA39</f>
        <v>-336995.860819451</v>
      </c>
      <c r="AB40" s="29" t="n">
        <f aca="false">'P&amp;L'!AB37-'P&amp;L'!AB39</f>
        <v>-315952.087984414</v>
      </c>
      <c r="AC40" s="29" t="n">
        <f aca="false">'P&amp;L'!AC37-'P&amp;L'!AC39</f>
        <v>-7748020.62546673</v>
      </c>
      <c r="AD40" s="29" t="n">
        <f aca="false">'P&amp;L'!AD37-'P&amp;L'!AD39</f>
        <v>-6678268.66859613</v>
      </c>
      <c r="AE40" s="29" t="n">
        <f aca="false">'P&amp;L'!AE37-'P&amp;L'!AE39</f>
        <v>-192459.665706394</v>
      </c>
      <c r="AG40" s="29" t="n">
        <f aca="false">SUMIF($C$3:$AE$3,AG$3,$C40:$AE40)</f>
        <v>-194513.333333333</v>
      </c>
      <c r="AH40" s="29" t="n">
        <f aca="false">SUMIF($C$3:$AE$3,AH$3,$C40:$AE40)</f>
        <v>-4102395.48665964</v>
      </c>
      <c r="AI40" s="29" t="n">
        <f aca="false">SUMIF($C$3:$AE$3,AI$3,$C40:$AE40)</f>
        <v>-4569902.04424971</v>
      </c>
      <c r="AJ40" s="29" t="n">
        <f aca="false">SUMIF($C$3:$AE$3,AJ$3,$C40:$AE40)</f>
        <v>-7748020.62546673</v>
      </c>
      <c r="AK40" s="29" t="n">
        <f aca="false">SUMIF($C$3:$AE$3,AK$3,$C40:$AE40)</f>
        <v>-6678268.66859613</v>
      </c>
      <c r="AL40" s="29" t="n">
        <f aca="false">SUMIF($C$3:$AE$3,AL$3,$C40:$AE40)</f>
        <v>-192459.665706394</v>
      </c>
    </row>
    <row r="41" customFormat="false" ht="15" hidden="false" customHeight="false" outlineLevel="0" collapsed="false">
      <c r="A41" s="0" t="s">
        <v>667</v>
      </c>
      <c r="B41" s="2"/>
      <c r="C41" s="4" t="n">
        <f aca="false">COUNTIF($C32:C32,"&gt;0")</f>
        <v>0</v>
      </c>
      <c r="D41" s="4" t="n">
        <f aca="false">COUNTIF($C32:D32,"&gt;0")</f>
        <v>0</v>
      </c>
      <c r="E41" s="4" t="n">
        <f aca="false">COUNTIF($C32:E32,"&gt;0")</f>
        <v>0</v>
      </c>
      <c r="F41" s="4" t="n">
        <f aca="false">COUNTIF($C32:F32,"&gt;0")</f>
        <v>0</v>
      </c>
      <c r="G41" s="4" t="n">
        <f aca="false">COUNTIF($C32:G32,"&gt;0")</f>
        <v>0</v>
      </c>
      <c r="H41" s="4" t="n">
        <f aca="false">COUNTIF($C32:H32,"&gt;0")</f>
        <v>0</v>
      </c>
      <c r="I41" s="4" t="n">
        <f aca="false">COUNTIF($C32:I32,"&gt;0")</f>
        <v>0</v>
      </c>
      <c r="J41" s="4" t="n">
        <f aca="false">COUNTIF($C32:J32,"&gt;0")</f>
        <v>0</v>
      </c>
      <c r="K41" s="4" t="n">
        <f aca="false">COUNTIF($C32:K32,"&gt;0")</f>
        <v>0</v>
      </c>
      <c r="L41" s="4" t="n">
        <f aca="false">COUNTIF($C32:L32,"&gt;0")</f>
        <v>0</v>
      </c>
      <c r="M41" s="4" t="n">
        <f aca="false">COUNTIF($C32:M32,"&gt;0")</f>
        <v>0</v>
      </c>
      <c r="N41" s="4" t="n">
        <f aca="false">COUNTIF($C32:N32,"&gt;0")</f>
        <v>0</v>
      </c>
      <c r="O41" s="4" t="n">
        <f aca="false">COUNTIF($C32:O32,"&gt;0")</f>
        <v>0</v>
      </c>
      <c r="P41" s="4" t="n">
        <f aca="false">COUNTIF($C32:P32,"&gt;0")</f>
        <v>0</v>
      </c>
      <c r="Q41" s="4" t="n">
        <f aca="false">COUNTIF($C32:Q32,"&gt;0")</f>
        <v>0</v>
      </c>
      <c r="R41" s="4" t="n">
        <f aca="false">COUNTIF($C32:R32,"&gt;0")</f>
        <v>0</v>
      </c>
      <c r="S41" s="4" t="n">
        <f aca="false">COUNTIF($C32:S32,"&gt;0")</f>
        <v>0</v>
      </c>
      <c r="T41" s="4" t="n">
        <f aca="false">COUNTIF($C32:T32,"&gt;0")</f>
        <v>0</v>
      </c>
      <c r="U41" s="4" t="n">
        <f aca="false">COUNTIF($C32:U32,"&gt;0")</f>
        <v>0</v>
      </c>
      <c r="V41" s="4" t="n">
        <f aca="false">COUNTIF($C32:V32,"&gt;0")</f>
        <v>0</v>
      </c>
      <c r="W41" s="4" t="n">
        <f aca="false">COUNTIF($C32:W32,"&gt;0")</f>
        <v>0</v>
      </c>
      <c r="X41" s="4" t="n">
        <f aca="false">COUNTIF($C32:X32,"&gt;0")</f>
        <v>0</v>
      </c>
      <c r="Y41" s="4" t="n">
        <f aca="false">COUNTIF($C32:Y32,"&gt;0")</f>
        <v>0</v>
      </c>
      <c r="Z41" s="4" t="n">
        <f aca="false">COUNTIF($C32:Z32,"&gt;0")</f>
        <v>0</v>
      </c>
      <c r="AA41" s="4" t="n">
        <f aca="false">COUNTIF($C32:AA32,"&gt;0")</f>
        <v>0</v>
      </c>
      <c r="AB41" s="4" t="n">
        <f aca="false">COUNTIF($C32:AB32,"&gt;0")</f>
        <v>0</v>
      </c>
      <c r="AC41" s="4" t="n">
        <f aca="false">COUNTIF($C32:AC32,"&gt;0")</f>
        <v>0</v>
      </c>
      <c r="AD41" s="4" t="n">
        <f aca="false">COUNTIF($C32:AD32,"&gt;0")</f>
        <v>0</v>
      </c>
      <c r="AE41" s="4" t="n">
        <f aca="false">COUNTIF($C32:AE32,"&gt;0")</f>
        <v>0</v>
      </c>
      <c r="AG41" s="4" t="n">
        <f aca="false">IF(AG32&gt;0,1,0)</f>
        <v>0</v>
      </c>
      <c r="AH41" s="4" t="n">
        <f aca="false">IF(AG32&gt;0,1,0)+IF(AH32&gt;0,1,0)</f>
        <v>0</v>
      </c>
      <c r="AI41" s="4" t="n">
        <f aca="false">IF(AG32&gt;0,1,0)+IF(AH32&gt;0,1,0)+IF(AI32&gt;0,1,0)</f>
        <v>0</v>
      </c>
      <c r="AJ41" s="4" t="n">
        <f aca="false">IF(AG32&gt;0,1,0)+IF(AH32&gt;0,1,0)+IF(AI32&gt;0,1,0)+IF(AJ32&gt;0,1,0)</f>
        <v>0</v>
      </c>
      <c r="AK41" s="4" t="n">
        <f aca="false">IF(AG32&gt;0,1,0)+IF(AH32&gt;0,1,0)+IF(AI32&gt;0,1,0)+IF(AJ32&gt;0,1,0)+IF(AK32&gt;0,1,0)</f>
        <v>0</v>
      </c>
      <c r="AL41" s="4" t="n">
        <f aca="false">IF(AG32&gt;0,1,0)+IF(AH32&gt;0,1,0)+IF(AI32&gt;0,1,0)+IF(AJ32&gt;0,1,0)+IF(AK32&gt;0,1,0)+IF(AL32&gt;0,1,0)</f>
        <v>0</v>
      </c>
    </row>
    <row r="43" customFormat="false" ht="15" hidden="false" customHeight="false" outlineLevel="0" collapsed="false">
      <c r="A43" s="8" t="s">
        <v>668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customFormat="false" ht="15" hidden="false" customHeight="false" outlineLevel="0" collapsed="false">
      <c r="A44" s="0" t="s">
        <v>17</v>
      </c>
      <c r="B44" s="2" t="s">
        <v>58</v>
      </c>
      <c r="C44" s="5" t="n">
        <f aca="false">'Hardware COGS'!C17</f>
        <v>0</v>
      </c>
      <c r="D44" s="5" t="n">
        <f aca="false">'Hardware COGS'!D17</f>
        <v>0</v>
      </c>
      <c r="E44" s="5" t="n">
        <f aca="false">'Hardware COGS'!E17</f>
        <v>0</v>
      </c>
      <c r="F44" s="5" t="n">
        <f aca="false">'Hardware COGS'!F17</f>
        <v>0</v>
      </c>
      <c r="G44" s="5" t="n">
        <f aca="false">'Hardware COGS'!G17</f>
        <v>0</v>
      </c>
      <c r="H44" s="5" t="n">
        <f aca="false">'Hardware COGS'!H17</f>
        <v>0</v>
      </c>
      <c r="I44" s="5" t="n">
        <f aca="false">'Hardware COGS'!I17</f>
        <v>0</v>
      </c>
      <c r="J44" s="5" t="n">
        <f aca="false">'Hardware COGS'!J17</f>
        <v>0</v>
      </c>
      <c r="K44" s="5" t="n">
        <f aca="false">'Hardware COGS'!K17</f>
        <v>0</v>
      </c>
      <c r="L44" s="5" t="n">
        <f aca="false">'Hardware COGS'!L17</f>
        <v>0</v>
      </c>
      <c r="M44" s="5" t="n">
        <f aca="false">'Hardware COGS'!M17</f>
        <v>0</v>
      </c>
      <c r="N44" s="5" t="n">
        <f aca="false">'Hardware COGS'!N17</f>
        <v>0</v>
      </c>
      <c r="O44" s="5" t="n">
        <f aca="false">'Hardware COGS'!O17</f>
        <v>0.0870548288726402</v>
      </c>
      <c r="P44" s="5" t="n">
        <f aca="false">'Hardware COGS'!P17</f>
        <v>0.0870548288726403</v>
      </c>
      <c r="Q44" s="5" t="n">
        <f aca="false">'Hardware COGS'!Q17</f>
        <v>0.143051443855822</v>
      </c>
      <c r="R44" s="5" t="n">
        <f aca="false">'Hardware COGS'!R17</f>
        <v>0.192094020041194</v>
      </c>
      <c r="S44" s="5" t="n">
        <f aca="false">'Hardware COGS'!S17</f>
        <v>0.188754614023836</v>
      </c>
      <c r="T44" s="5" t="n">
        <f aca="false">'Hardware COGS'!T17</f>
        <v>0.215665017505636</v>
      </c>
      <c r="U44" s="5" t="n">
        <f aca="false">'Hardware COGS'!U17</f>
        <v>0.215665017505636</v>
      </c>
      <c r="V44" s="5" t="n">
        <f aca="false">'Hardware COGS'!V17</f>
        <v>0.215665017505636</v>
      </c>
      <c r="W44" s="5" t="n">
        <f aca="false">'Hardware COGS'!W17</f>
        <v>0.219305308780857</v>
      </c>
      <c r="X44" s="5" t="n">
        <f aca="false">'Hardware COGS'!X17</f>
        <v>0.219305308780857</v>
      </c>
      <c r="Y44" s="5" t="n">
        <f aca="false">'Hardware COGS'!Y17</f>
        <v>0.219305308780857</v>
      </c>
      <c r="Z44" s="5" t="n">
        <f aca="false">'Hardware COGS'!Z17</f>
        <v>0.219305308780857</v>
      </c>
      <c r="AA44" s="5" t="n">
        <f aca="false">'Hardware COGS'!AA17</f>
        <v>0.219305308780857</v>
      </c>
      <c r="AB44" s="5" t="n">
        <f aca="false">'Hardware COGS'!AB17</f>
        <v>0.219305308780857</v>
      </c>
      <c r="AC44" s="5" t="n">
        <f aca="false">'Hardware COGS'!AC17</f>
        <v>0.252848009760776</v>
      </c>
      <c r="AD44" s="5" t="n">
        <f aca="false">'Hardware COGS'!AD17</f>
        <v>0.295270169864711</v>
      </c>
      <c r="AE44" s="5" t="n">
        <f aca="false">'Hardware COGS'!AE17</f>
        <v>0.318019538427491</v>
      </c>
      <c r="AG44" s="5" t="n">
        <f aca="false">'Hardware COGS'!AG17</f>
        <v>0</v>
      </c>
      <c r="AH44" s="5" t="n">
        <f aca="false">'Hardware COGS'!AH17</f>
        <v>0.0870548288726403</v>
      </c>
      <c r="AI44" s="5" t="n">
        <f aca="false">'Hardware COGS'!AI17</f>
        <v>0.212907639792515</v>
      </c>
      <c r="AJ44" s="5" t="n">
        <f aca="false">'Hardware COGS'!AJ17</f>
        <v>0.252848009760776</v>
      </c>
      <c r="AK44" s="5" t="n">
        <f aca="false">'Hardware COGS'!AK17</f>
        <v>0.295270169864711</v>
      </c>
      <c r="AL44" s="5" t="n">
        <f aca="false">'Hardware COGS'!AL17</f>
        <v>0.318019538427491</v>
      </c>
    </row>
    <row r="45" customFormat="false" ht="15" hidden="false" customHeight="false" outlineLevel="0" collapsed="false">
      <c r="A45" s="0" t="s">
        <v>7</v>
      </c>
      <c r="B45" s="2" t="s">
        <v>151</v>
      </c>
      <c r="C45" s="4" t="n">
        <f aca="false">'Pricing &amp; Mix'!C42</f>
        <v>0</v>
      </c>
      <c r="D45" s="4" t="n">
        <f aca="false">'Pricing &amp; Mix'!D42</f>
        <v>0</v>
      </c>
      <c r="E45" s="4" t="n">
        <f aca="false">'Pricing &amp; Mix'!E42</f>
        <v>0</v>
      </c>
      <c r="F45" s="4" t="n">
        <f aca="false">'Pricing &amp; Mix'!F42</f>
        <v>0</v>
      </c>
      <c r="G45" s="4" t="n">
        <f aca="false">'Pricing &amp; Mix'!G42</f>
        <v>0</v>
      </c>
      <c r="H45" s="4" t="n">
        <f aca="false">'Pricing &amp; Mix'!H42</f>
        <v>0</v>
      </c>
      <c r="I45" s="4" t="n">
        <f aca="false">'Pricing &amp; Mix'!I42</f>
        <v>0</v>
      </c>
      <c r="J45" s="4" t="n">
        <f aca="false">'Pricing &amp; Mix'!J42</f>
        <v>0</v>
      </c>
      <c r="K45" s="4" t="n">
        <f aca="false">'Pricing &amp; Mix'!K42</f>
        <v>0</v>
      </c>
      <c r="L45" s="4" t="n">
        <f aca="false">'Pricing &amp; Mix'!L42</f>
        <v>0</v>
      </c>
      <c r="M45" s="4" t="n">
        <f aca="false">'Pricing &amp; Mix'!M42</f>
        <v>0</v>
      </c>
      <c r="N45" s="4" t="n">
        <f aca="false">'Pricing &amp; Mix'!N42</f>
        <v>0</v>
      </c>
      <c r="O45" s="4" t="n">
        <f aca="false">'Pricing &amp; Mix'!O42</f>
        <v>2125</v>
      </c>
      <c r="P45" s="4" t="n">
        <f aca="false">'Pricing &amp; Mix'!P42</f>
        <v>1572.5</v>
      </c>
      <c r="Q45" s="4" t="n">
        <f aca="false">'Pricing &amp; Mix'!Q42</f>
        <v>1802.5</v>
      </c>
      <c r="R45" s="4" t="n">
        <f aca="false">'Pricing &amp; Mix'!R42</f>
        <v>1725</v>
      </c>
      <c r="S45" s="4" t="n">
        <f aca="false">'Pricing &amp; Mix'!S42</f>
        <v>2025</v>
      </c>
      <c r="T45" s="4" t="n">
        <f aca="false">'Pricing &amp; Mix'!T42</f>
        <v>2050</v>
      </c>
      <c r="U45" s="4" t="n">
        <f aca="false">'Pricing &amp; Mix'!U42</f>
        <v>2450</v>
      </c>
      <c r="V45" s="4" t="n">
        <f aca="false">'Pricing &amp; Mix'!V42</f>
        <v>2850</v>
      </c>
      <c r="W45" s="4" t="n">
        <f aca="false">'Pricing &amp; Mix'!W42</f>
        <v>3350</v>
      </c>
      <c r="X45" s="4" t="n">
        <f aca="false">'Pricing &amp; Mix'!X42</f>
        <v>3450</v>
      </c>
      <c r="Y45" s="4" t="n">
        <f aca="false">'Pricing &amp; Mix'!Y42</f>
        <v>3250</v>
      </c>
      <c r="Z45" s="4" t="n">
        <f aca="false">'Pricing &amp; Mix'!Z42</f>
        <v>3650</v>
      </c>
      <c r="AA45" s="4" t="n">
        <f aca="false">'Pricing &amp; Mix'!AA42</f>
        <v>5250</v>
      </c>
      <c r="AB45" s="4" t="n">
        <f aca="false">'Pricing &amp; Mix'!AB42</f>
        <v>7400</v>
      </c>
      <c r="AC45" s="4" t="n">
        <f aca="false">'Pricing &amp; Mix'!AC42</f>
        <v>120000</v>
      </c>
      <c r="AD45" s="4" t="n">
        <f aca="false">'Pricing &amp; Mix'!AD42</f>
        <v>250000</v>
      </c>
      <c r="AE45" s="4" t="n">
        <f aca="false">'Pricing &amp; Mix'!AE42</f>
        <v>400000</v>
      </c>
      <c r="AG45" s="4" t="n">
        <f aca="false">SUMIF($C$3:$AE$3,AG$3,$C45:$AE45)</f>
        <v>0</v>
      </c>
      <c r="AH45" s="4" t="n">
        <f aca="false">SUMIF($C$3:$AE$3,AH$3,$C45:$AE45)</f>
        <v>3697.5</v>
      </c>
      <c r="AI45" s="4" t="n">
        <f aca="false">SUMIF($C$3:$AE$3,AI$3,$C45:$AE45)</f>
        <v>39252.5</v>
      </c>
      <c r="AJ45" s="4" t="n">
        <f aca="false">SUMIF($C$3:$AE$3,AJ$3,$C45:$AE45)</f>
        <v>120000</v>
      </c>
      <c r="AK45" s="4" t="n">
        <f aca="false">SUMIF($C$3:$AE$3,AK$3,$C45:$AE45)</f>
        <v>250000</v>
      </c>
      <c r="AL45" s="4" t="n">
        <f aca="false">SUMIF($C$3:$AE$3,AL$3,$C45:$AE45)</f>
        <v>400000</v>
      </c>
    </row>
    <row r="46" customFormat="false" ht="15" hidden="false" customHeight="false" outlineLevel="0" collapsed="false">
      <c r="A46" s="0" t="s">
        <v>24</v>
      </c>
      <c r="B46" s="2" t="s">
        <v>471</v>
      </c>
      <c r="C46" s="4" t="n">
        <f aca="false">'Subscription Cohorts'!C19</f>
        <v>0</v>
      </c>
      <c r="D46" s="4" t="n">
        <f aca="false">'Subscription Cohorts'!D19</f>
        <v>0</v>
      </c>
      <c r="E46" s="4" t="n">
        <f aca="false">'Subscription Cohorts'!E19</f>
        <v>0</v>
      </c>
      <c r="F46" s="4" t="n">
        <f aca="false">'Subscription Cohorts'!F19</f>
        <v>0</v>
      </c>
      <c r="G46" s="4" t="n">
        <f aca="false">'Subscription Cohorts'!G19</f>
        <v>0</v>
      </c>
      <c r="H46" s="4" t="n">
        <f aca="false">'Subscription Cohorts'!H19</f>
        <v>0</v>
      </c>
      <c r="I46" s="4" t="n">
        <f aca="false">'Subscription Cohorts'!I19</f>
        <v>0</v>
      </c>
      <c r="J46" s="4" t="n">
        <f aca="false">'Subscription Cohorts'!J19</f>
        <v>0</v>
      </c>
      <c r="K46" s="4" t="n">
        <f aca="false">'Subscription Cohorts'!K19</f>
        <v>0</v>
      </c>
      <c r="L46" s="4" t="n">
        <f aca="false">'Subscription Cohorts'!L19</f>
        <v>0</v>
      </c>
      <c r="M46" s="4" t="n">
        <f aca="false">'Subscription Cohorts'!M19</f>
        <v>0</v>
      </c>
      <c r="N46" s="4" t="n">
        <f aca="false">'Subscription Cohorts'!N19</f>
        <v>0</v>
      </c>
      <c r="O46" s="4" t="n">
        <f aca="false">'Subscription Cohorts'!O19</f>
        <v>0</v>
      </c>
      <c r="P46" s="4" t="n">
        <f aca="false">'Subscription Cohorts'!P19</f>
        <v>0</v>
      </c>
      <c r="Q46" s="4" t="n">
        <f aca="false">'Subscription Cohorts'!Q19</f>
        <v>0</v>
      </c>
      <c r="R46" s="4" t="n">
        <f aca="false">'Subscription Cohorts'!R19</f>
        <v>715</v>
      </c>
      <c r="S46" s="4" t="n">
        <f aca="false">'Subscription Cohorts'!S19</f>
        <v>1201.2</v>
      </c>
      <c r="T46" s="4" t="n">
        <f aca="false">'Subscription Cohorts'!T19</f>
        <v>1735.528</v>
      </c>
      <c r="U46" s="4" t="n">
        <f aca="false">'Subscription Cohorts'!U19</f>
        <v>2291.78632</v>
      </c>
      <c r="V46" s="4" t="n">
        <f aca="false">'Subscription Cohorts'!V19</f>
        <v>2915.5891408</v>
      </c>
      <c r="W46" s="4" t="n">
        <f aca="false">'Subscription Cohorts'!W19</f>
        <v>3496.078792352</v>
      </c>
      <c r="X46" s="4" t="n">
        <f aca="false">'Subscription Cohorts'!X19</f>
        <v>4189.13906481088</v>
      </c>
      <c r="Y46" s="4" t="n">
        <f aca="false">'Subscription Cohorts'!Y19</f>
        <v>4988.01572092223</v>
      </c>
      <c r="Z46" s="4" t="n">
        <f aca="false">'Subscription Cohorts'!Z19</f>
        <v>5923.20977766689</v>
      </c>
      <c r="AA46" s="4" t="n">
        <f aca="false">'Subscription Cohorts'!AA19</f>
        <v>6839.14219100688</v>
      </c>
      <c r="AB46" s="4" t="n">
        <f aca="false">'Subscription Cohorts'!AB19</f>
        <v>7626.41865954647</v>
      </c>
      <c r="AC46" s="4" t="n">
        <f aca="false">'Subscription Cohorts'!AC19</f>
        <v>32142.0864474646</v>
      </c>
      <c r="AD46" s="4" t="n">
        <f aca="false">'Subscription Cohorts'!AD19</f>
        <v>73636.4214397964</v>
      </c>
      <c r="AE46" s="4" t="n">
        <f aca="false">'Subscription Cohorts'!AE19</f>
        <v>132277.318104977</v>
      </c>
      <c r="AG46" s="4" t="n">
        <f aca="false">D46</f>
        <v>0</v>
      </c>
      <c r="AH46" s="4" t="n">
        <f aca="false">P46</f>
        <v>0</v>
      </c>
      <c r="AI46" s="4" t="n">
        <f aca="false">AB46</f>
        <v>7626.41865954647</v>
      </c>
      <c r="AJ46" s="4" t="n">
        <f aca="false">AC46</f>
        <v>32142.0864474646</v>
      </c>
      <c r="AK46" s="4" t="n">
        <f aca="false">AD46</f>
        <v>73636.4214397964</v>
      </c>
      <c r="AL46" s="4" t="n">
        <f aca="false">AE46</f>
        <v>132277.318104977</v>
      </c>
    </row>
    <row r="47" customFormat="false" ht="15" hidden="false" customHeight="false" outlineLevel="0" collapsed="false">
      <c r="A47" s="0" t="s">
        <v>25</v>
      </c>
      <c r="B47" s="2"/>
      <c r="C47" s="4" t="n">
        <f aca="false">'Subscription Cohorts'!C24</f>
        <v>0</v>
      </c>
      <c r="D47" s="4" t="n">
        <f aca="false">'Subscription Cohorts'!D24</f>
        <v>0</v>
      </c>
      <c r="E47" s="4" t="n">
        <f aca="false">'Subscription Cohorts'!E24</f>
        <v>0</v>
      </c>
      <c r="F47" s="4" t="n">
        <f aca="false">'Subscription Cohorts'!F24</f>
        <v>0</v>
      </c>
      <c r="G47" s="4" t="n">
        <f aca="false">'Subscription Cohorts'!G24</f>
        <v>0</v>
      </c>
      <c r="H47" s="4" t="n">
        <f aca="false">'Subscription Cohorts'!H24</f>
        <v>0</v>
      </c>
      <c r="I47" s="4" t="n">
        <f aca="false">'Subscription Cohorts'!I24</f>
        <v>0</v>
      </c>
      <c r="J47" s="4" t="n">
        <f aca="false">'Subscription Cohorts'!J24</f>
        <v>0</v>
      </c>
      <c r="K47" s="4" t="n">
        <f aca="false">'Subscription Cohorts'!K24</f>
        <v>0</v>
      </c>
      <c r="L47" s="4" t="n">
        <f aca="false">'Subscription Cohorts'!L24</f>
        <v>0</v>
      </c>
      <c r="M47" s="4" t="n">
        <f aca="false">'Subscription Cohorts'!M24</f>
        <v>0</v>
      </c>
      <c r="N47" s="4" t="n">
        <f aca="false">'Subscription Cohorts'!N24</f>
        <v>0</v>
      </c>
      <c r="O47" s="4" t="n">
        <f aca="false">'Subscription Cohorts'!O24</f>
        <v>0</v>
      </c>
      <c r="P47" s="4" t="n">
        <f aca="false">'Subscription Cohorts'!P24</f>
        <v>0</v>
      </c>
      <c r="Q47" s="4" t="n">
        <f aca="false">'Subscription Cohorts'!Q24</f>
        <v>0</v>
      </c>
      <c r="R47" s="4" t="n">
        <f aca="false">'Subscription Cohorts'!R24</f>
        <v>73714.212</v>
      </c>
      <c r="S47" s="4" t="n">
        <f aca="false">'Subscription Cohorts'!S24</f>
        <v>123839.87616</v>
      </c>
      <c r="T47" s="4" t="n">
        <f aca="false">'Subscription Cohorts'!T24</f>
        <v>178927.3831104</v>
      </c>
      <c r="U47" s="4" t="n">
        <f aca="false">'Subscription Cohorts'!U24</f>
        <v>236275.835875776</v>
      </c>
      <c r="V47" s="4" t="n">
        <f aca="false">'Subscription Cohorts'!V24</f>
        <v>300587.910531229</v>
      </c>
      <c r="W47" s="4" t="n">
        <f aca="false">'Subscription Cohorts'!W24</f>
        <v>360434.536039356</v>
      </c>
      <c r="X47" s="4" t="n">
        <f aca="false">'Subscription Cohorts'!X24</f>
        <v>431886.832336994</v>
      </c>
      <c r="Y47" s="4" t="n">
        <f aca="false">'Subscription Cohorts'!Y24</f>
        <v>514248.459176775</v>
      </c>
      <c r="Z47" s="4" t="n">
        <f aca="false">'Subscription Cohorts'!Z24</f>
        <v>610663.973806168</v>
      </c>
      <c r="AA47" s="4" t="n">
        <f aca="false">'Subscription Cohorts'!AA24</f>
        <v>705093.674637798</v>
      </c>
      <c r="AB47" s="4" t="n">
        <f aca="false">'Subscription Cohorts'!AB24</f>
        <v>786259.35925953</v>
      </c>
      <c r="AC47" s="4" t="n">
        <f aca="false">'Subscription Cohorts'!AC24</f>
        <v>3313746.25805697</v>
      </c>
      <c r="AD47" s="4" t="n">
        <f aca="false">'Subscription Cohorts'!AD24</f>
        <v>7591679.41389441</v>
      </c>
      <c r="AE47" s="4" t="n">
        <f aca="false">'Subscription Cohorts'!AE24</f>
        <v>13637368.2092051</v>
      </c>
      <c r="AG47" s="4" t="n">
        <f aca="false">D47</f>
        <v>0</v>
      </c>
      <c r="AH47" s="4" t="n">
        <f aca="false">P47</f>
        <v>0</v>
      </c>
      <c r="AI47" s="4" t="n">
        <f aca="false">AB47</f>
        <v>786259.35925953</v>
      </c>
      <c r="AJ47" s="4" t="n">
        <f aca="false">AC47</f>
        <v>3313746.25805697</v>
      </c>
      <c r="AK47" s="4" t="n">
        <f aca="false">AD47</f>
        <v>7591679.41389441</v>
      </c>
      <c r="AL47" s="4" t="n">
        <f aca="false">AE47</f>
        <v>13637368.2092051</v>
      </c>
    </row>
    <row r="48" customFormat="false" ht="15" hidden="false" customHeight="false" outlineLevel="0" collapsed="false">
      <c r="A48" s="0" t="s">
        <v>27</v>
      </c>
      <c r="B48" s="2"/>
      <c r="C48" s="4" t="n">
        <f aca="false">'Headcount Plan'!C104</f>
        <v>2</v>
      </c>
      <c r="D48" s="4" t="n">
        <f aca="false">'Headcount Plan'!D104</f>
        <v>3</v>
      </c>
      <c r="E48" s="4" t="n">
        <f aca="false">'Headcount Plan'!E104</f>
        <v>5</v>
      </c>
      <c r="F48" s="4" t="n">
        <f aca="false">'Headcount Plan'!F104</f>
        <v>6</v>
      </c>
      <c r="G48" s="4" t="n">
        <f aca="false">'Headcount Plan'!G104</f>
        <v>7</v>
      </c>
      <c r="H48" s="4" t="n">
        <f aca="false">'Headcount Plan'!H104</f>
        <v>7</v>
      </c>
      <c r="I48" s="4" t="n">
        <f aca="false">'Headcount Plan'!I104</f>
        <v>7</v>
      </c>
      <c r="J48" s="4" t="n">
        <f aca="false">'Headcount Plan'!J104</f>
        <v>7</v>
      </c>
      <c r="K48" s="4" t="n">
        <f aca="false">'Headcount Plan'!K104</f>
        <v>7</v>
      </c>
      <c r="L48" s="4" t="n">
        <f aca="false">'Headcount Plan'!L104</f>
        <v>9</v>
      </c>
      <c r="M48" s="4" t="n">
        <f aca="false">'Headcount Plan'!M104</f>
        <v>11</v>
      </c>
      <c r="N48" s="4" t="n">
        <f aca="false">'Headcount Plan'!N104</f>
        <v>13</v>
      </c>
      <c r="O48" s="4" t="n">
        <f aca="false">'Headcount Plan'!O104</f>
        <v>14</v>
      </c>
      <c r="P48" s="4" t="n">
        <f aca="false">'Headcount Plan'!P104</f>
        <v>14</v>
      </c>
      <c r="Q48" s="4" t="n">
        <f aca="false">'Headcount Plan'!Q104</f>
        <v>16</v>
      </c>
      <c r="R48" s="4" t="n">
        <f aca="false">'Headcount Plan'!R104</f>
        <v>18</v>
      </c>
      <c r="S48" s="4" t="n">
        <f aca="false">'Headcount Plan'!S104</f>
        <v>21</v>
      </c>
      <c r="T48" s="4" t="n">
        <f aca="false">'Headcount Plan'!T104</f>
        <v>23</v>
      </c>
      <c r="U48" s="4" t="n">
        <f aca="false">'Headcount Plan'!U104</f>
        <v>23</v>
      </c>
      <c r="V48" s="4" t="n">
        <f aca="false">'Headcount Plan'!V104</f>
        <v>25</v>
      </c>
      <c r="W48" s="4" t="n">
        <f aca="false">'Headcount Plan'!W104</f>
        <v>25</v>
      </c>
      <c r="X48" s="4" t="n">
        <f aca="false">'Headcount Plan'!X104</f>
        <v>25</v>
      </c>
      <c r="Y48" s="4" t="n">
        <f aca="false">'Headcount Plan'!Y104</f>
        <v>26</v>
      </c>
      <c r="Z48" s="4" t="n">
        <f aca="false">'Headcount Plan'!Z104</f>
        <v>26</v>
      </c>
      <c r="AA48" s="4" t="n">
        <f aca="false">'Headcount Plan'!AA104</f>
        <v>30</v>
      </c>
      <c r="AB48" s="4" t="n">
        <f aca="false">'Headcount Plan'!AB104</f>
        <v>30</v>
      </c>
      <c r="AC48" s="4" t="n">
        <f aca="false">'Headcount Plan'!AC104</f>
        <v>61</v>
      </c>
      <c r="AD48" s="4" t="n">
        <f aca="false">'Headcount Plan'!AD104</f>
        <v>92</v>
      </c>
      <c r="AE48" s="4" t="n">
        <f aca="false">'Headcount Plan'!AE104</f>
        <v>121</v>
      </c>
      <c r="AG48" s="4" t="n">
        <f aca="false">D48</f>
        <v>3</v>
      </c>
      <c r="AH48" s="4" t="n">
        <f aca="false">P48</f>
        <v>14</v>
      </c>
      <c r="AI48" s="4" t="n">
        <f aca="false">AB48</f>
        <v>30</v>
      </c>
      <c r="AJ48" s="4" t="n">
        <f aca="false">AC48</f>
        <v>61</v>
      </c>
      <c r="AK48" s="4" t="n">
        <f aca="false">AD48</f>
        <v>92</v>
      </c>
      <c r="AL48" s="4" t="n">
        <f aca="false">AE48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669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9" customFormat="false" ht="15" hidden="false" customHeight="false" outlineLevel="0" collapsed="false">
      <c r="A9" s="8" t="s">
        <v>670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5" hidden="false" customHeight="false" outlineLevel="0" collapsed="false">
      <c r="A10" s="0" t="s">
        <v>20</v>
      </c>
      <c r="B10" s="2"/>
      <c r="C10" s="4" t="n">
        <f aca="false">'P&amp;L'!C40</f>
        <v>-76000</v>
      </c>
      <c r="D10" s="4" t="n">
        <f aca="false">'P&amp;L'!D40</f>
        <v>-118513.333333333</v>
      </c>
      <c r="E10" s="4" t="n">
        <f aca="false">'P&amp;L'!E40</f>
        <v>-160629.830555556</v>
      </c>
      <c r="F10" s="4" t="n">
        <f aca="false">'P&amp;L'!F40</f>
        <v>-200994.167561343</v>
      </c>
      <c r="G10" s="4" t="n">
        <f aca="false">'P&amp;L'!G40</f>
        <v>-169392.900550063</v>
      </c>
      <c r="H10" s="4" t="n">
        <f aca="false">'P&amp;L'!H40</f>
        <v>-171886.963176668</v>
      </c>
      <c r="I10" s="4" t="n">
        <f aca="false">'P&amp;L'!I40</f>
        <v>-182388.300152599</v>
      </c>
      <c r="J10" s="4" t="n">
        <f aca="false">'P&amp;L'!J40</f>
        <v>-196769.518201958</v>
      </c>
      <c r="K10" s="4" t="n">
        <f aca="false">'P&amp;L'!K40</f>
        <v>-254312.488717003</v>
      </c>
      <c r="L10" s="4" t="n">
        <f aca="false">'P&amp;L'!L40</f>
        <v>-299673.935559094</v>
      </c>
      <c r="M10" s="4" t="n">
        <f aca="false">'P&amp;L'!M40</f>
        <v>-698504.511111593</v>
      </c>
      <c r="N10" s="4" t="n">
        <f aca="false">'P&amp;L'!N40</f>
        <v>-609820.501938232</v>
      </c>
      <c r="O10" s="4" t="n">
        <f aca="false">'P&amp;L'!O40</f>
        <v>-595226.972529434</v>
      </c>
      <c r="P10" s="4" t="n">
        <f aca="false">'P&amp;L'!P40</f>
        <v>-562795.396606101</v>
      </c>
      <c r="Q10" s="4" t="n">
        <f aca="false">'P&amp;L'!Q40</f>
        <v>-388779.688584005</v>
      </c>
      <c r="R10" s="4" t="n">
        <f aca="false">'P&amp;L'!R40</f>
        <v>-374151.110229423</v>
      </c>
      <c r="S10" s="4" t="n">
        <f aca="false">'P&amp;L'!S40</f>
        <v>-395569.870340702</v>
      </c>
      <c r="T10" s="4" t="n">
        <f aca="false">'P&amp;L'!T40</f>
        <v>-400290.060721002</v>
      </c>
      <c r="U10" s="4" t="n">
        <f aca="false">'P&amp;L'!U40</f>
        <v>-426233.614474673</v>
      </c>
      <c r="V10" s="4" t="n">
        <f aca="false">'P&amp;L'!V40</f>
        <v>-420386.357035492</v>
      </c>
      <c r="W10" s="4" t="n">
        <f aca="false">'P&amp;L'!W40</f>
        <v>-397679.863764935</v>
      </c>
      <c r="X10" s="4" t="n">
        <f aca="false">'P&amp;L'!X40</f>
        <v>-394310.014572987</v>
      </c>
      <c r="Y10" s="4" t="n">
        <f aca="false">'P&amp;L'!Y40</f>
        <v>-401112.598416953</v>
      </c>
      <c r="Z10" s="4" t="n">
        <f aca="false">'P&amp;L'!Z40</f>
        <v>-318440.917305674</v>
      </c>
      <c r="AA10" s="4" t="n">
        <f aca="false">'P&amp;L'!AA40</f>
        <v>-336995.860819451</v>
      </c>
      <c r="AB10" s="4" t="n">
        <f aca="false">'P&amp;L'!AB40</f>
        <v>-315952.087984414</v>
      </c>
      <c r="AC10" s="4" t="n">
        <f aca="false">'P&amp;L'!AC40</f>
        <v>-7748020.62546673</v>
      </c>
      <c r="AD10" s="4" t="n">
        <f aca="false">'P&amp;L'!AD40</f>
        <v>-6678268.66859613</v>
      </c>
      <c r="AE10" s="4" t="n">
        <f aca="false">'P&amp;L'!AE40</f>
        <v>-192459.665706394</v>
      </c>
      <c r="AG10" s="4" t="n">
        <f aca="false">SUMIF($C$3:$AE$3,AG$3,$C10:$AE10)</f>
        <v>-194513.333333333</v>
      </c>
      <c r="AH10" s="4" t="n">
        <f aca="false">SUMIF($C$3:$AE$3,AH$3,$C10:$AE10)</f>
        <v>-4102395.48665964</v>
      </c>
      <c r="AI10" s="4" t="n">
        <f aca="false">SUMIF($C$3:$AE$3,AI$3,$C10:$AE10)</f>
        <v>-4569902.04424971</v>
      </c>
      <c r="AJ10" s="4" t="n">
        <f aca="false">SUMIF($C$3:$AE$3,AJ$3,$C10:$AE10)</f>
        <v>-7748020.62546673</v>
      </c>
      <c r="AK10" s="4" t="n">
        <f aca="false">SUMIF($C$3:$AE$3,AK$3,$C10:$AE10)</f>
        <v>-6678268.66859613</v>
      </c>
      <c r="AL10" s="4" t="n">
        <f aca="false">SUMIF($C$3:$AE$3,AL$3,$C10:$AE10)</f>
        <v>-192459.665706394</v>
      </c>
    </row>
    <row r="11" customFormat="false" ht="15" hidden="false" customHeight="false" outlineLevel="0" collapsed="false">
      <c r="A11" s="0" t="s">
        <v>671</v>
      </c>
      <c r="B11" s="2"/>
      <c r="C11" s="4" t="n">
        <f aca="false">'Working Capital'!C27</f>
        <v>0</v>
      </c>
      <c r="D11" s="4" t="n">
        <f aca="false">'Working Capital'!D27</f>
        <v>0</v>
      </c>
      <c r="E11" s="4" t="n">
        <f aca="false">'Working Capital'!E27</f>
        <v>0</v>
      </c>
      <c r="F11" s="4" t="n">
        <f aca="false">'Working Capital'!F27</f>
        <v>0</v>
      </c>
      <c r="G11" s="4" t="n">
        <f aca="false">'Working Capital'!G27</f>
        <v>0</v>
      </c>
      <c r="H11" s="4" t="n">
        <f aca="false">'Working Capital'!H27</f>
        <v>0</v>
      </c>
      <c r="I11" s="4" t="n">
        <f aca="false">'Working Capital'!I27</f>
        <v>0</v>
      </c>
      <c r="J11" s="4" t="n">
        <f aca="false">'Working Capital'!J27</f>
        <v>0</v>
      </c>
      <c r="K11" s="4" t="n">
        <f aca="false">'Working Capital'!K27</f>
        <v>0</v>
      </c>
      <c r="L11" s="4" t="n">
        <f aca="false">'Working Capital'!L27</f>
        <v>5000</v>
      </c>
      <c r="M11" s="4" t="n">
        <f aca="false">'Working Capital'!M27</f>
        <v>10138.8888888889</v>
      </c>
      <c r="N11" s="4" t="n">
        <f aca="false">'Working Capital'!N27</f>
        <v>10138.8888888889</v>
      </c>
      <c r="O11" s="4" t="n">
        <f aca="false">'Working Capital'!O27</f>
        <v>19305.5555555556</v>
      </c>
      <c r="P11" s="4" t="n">
        <f aca="false">'Working Capital'!P27</f>
        <v>19305.5555555556</v>
      </c>
      <c r="Q11" s="4" t="n">
        <f aca="false">'Working Capital'!Q27</f>
        <v>19305.5555555556</v>
      </c>
      <c r="R11" s="4" t="n">
        <f aca="false">'Working Capital'!R27</f>
        <v>19305.5555555556</v>
      </c>
      <c r="S11" s="4" t="n">
        <f aca="false">'Working Capital'!S27</f>
        <v>19305.5555555556</v>
      </c>
      <c r="T11" s="4" t="n">
        <f aca="false">'Working Capital'!T27</f>
        <v>19305.5555555556</v>
      </c>
      <c r="U11" s="4" t="n">
        <f aca="false">'Working Capital'!U27</f>
        <v>19437.5</v>
      </c>
      <c r="V11" s="4" t="n">
        <f aca="false">'Working Capital'!V27</f>
        <v>19570.7638888889</v>
      </c>
      <c r="W11" s="4" t="n">
        <f aca="false">'Working Capital'!W27</f>
        <v>19705.3472222222</v>
      </c>
      <c r="X11" s="4" t="n">
        <f aca="false">'Working Capital'!X27</f>
        <v>19841.25</v>
      </c>
      <c r="Y11" s="4" t="n">
        <f aca="false">'Working Capital'!Y27</f>
        <v>19978.4722222222</v>
      </c>
      <c r="Z11" s="4" t="n">
        <f aca="false">'Working Capital'!Z27</f>
        <v>20117.0138888889</v>
      </c>
      <c r="AA11" s="4" t="n">
        <f aca="false">'Working Capital'!AA27</f>
        <v>20388.8194444444</v>
      </c>
      <c r="AB11" s="4" t="n">
        <f aca="false">'Working Capital'!AB27</f>
        <v>20663.2638888889</v>
      </c>
      <c r="AC11" s="4" t="n">
        <f aca="false">'Working Capital'!AC27</f>
        <v>400979.166666667</v>
      </c>
      <c r="AD11" s="4" t="n">
        <f aca="false">'Working Capital'!AD27</f>
        <v>598332.5</v>
      </c>
      <c r="AE11" s="4" t="n">
        <f aca="false">'Working Capital'!AE27</f>
        <v>914832.083333333</v>
      </c>
      <c r="AG11" s="4" t="n">
        <f aca="false">SUMIF($C$3:$AE$3,AG$3,$C11:$AE11)</f>
        <v>0</v>
      </c>
      <c r="AH11" s="4" t="n">
        <f aca="false">SUMIF($C$3:$AE$3,AH$3,$C11:$AE11)</f>
        <v>63888.8888888889</v>
      </c>
      <c r="AI11" s="4" t="n">
        <f aca="false">SUMIF($C$3:$AE$3,AI$3,$C11:$AE11)</f>
        <v>236924.652777778</v>
      </c>
      <c r="AJ11" s="4" t="n">
        <f aca="false">SUMIF($C$3:$AE$3,AJ$3,$C11:$AE11)</f>
        <v>400979.166666667</v>
      </c>
      <c r="AK11" s="4" t="n">
        <f aca="false">SUMIF($C$3:$AE$3,AK$3,$C11:$AE11)</f>
        <v>598332.5</v>
      </c>
      <c r="AL11" s="4" t="n">
        <f aca="false">SUMIF($C$3:$AE$3,AL$3,$C11:$AE11)</f>
        <v>914832.083333333</v>
      </c>
    </row>
    <row r="12" customFormat="false" ht="15" hidden="false" customHeight="false" outlineLevel="0" collapsed="false">
      <c r="A12" s="0" t="s">
        <v>672</v>
      </c>
      <c r="B12" s="2"/>
      <c r="C12" s="4" t="n">
        <f aca="false">0-'Working Capital'!C15</f>
        <v>0</v>
      </c>
      <c r="D12" s="4" t="n">
        <f aca="false">'Working Capital'!C15-'Working Capital'!D15</f>
        <v>0</v>
      </c>
      <c r="E12" s="4" t="n">
        <f aca="false">'Working Capital'!D15-'Working Capital'!E15</f>
        <v>0</v>
      </c>
      <c r="F12" s="4" t="n">
        <f aca="false">'Working Capital'!E15-'Working Capital'!F15</f>
        <v>0</v>
      </c>
      <c r="G12" s="4" t="n">
        <f aca="false">'Working Capital'!F15-'Working Capital'!G15</f>
        <v>0</v>
      </c>
      <c r="H12" s="4" t="n">
        <f aca="false">'Working Capital'!G15-'Working Capital'!H15</f>
        <v>0</v>
      </c>
      <c r="I12" s="4" t="n">
        <f aca="false">'Working Capital'!H15-'Working Capital'!I15</f>
        <v>0</v>
      </c>
      <c r="J12" s="4" t="n">
        <f aca="false">'Working Capital'!I15-'Working Capital'!J15</f>
        <v>0</v>
      </c>
      <c r="K12" s="4" t="n">
        <f aca="false">'Working Capital'!J15-'Working Capital'!K15</f>
        <v>0</v>
      </c>
      <c r="L12" s="4" t="n">
        <f aca="false">'Working Capital'!K15-'Working Capital'!L15</f>
        <v>0</v>
      </c>
      <c r="M12" s="4" t="n">
        <f aca="false">'Working Capital'!L15-'Working Capital'!M15</f>
        <v>0</v>
      </c>
      <c r="N12" s="4" t="n">
        <f aca="false">'Working Capital'!M15-'Working Capital'!N15</f>
        <v>0</v>
      </c>
      <c r="O12" s="4" t="n">
        <f aca="false">'Working Capital'!N15-'Working Capital'!O15</f>
        <v>0</v>
      </c>
      <c r="P12" s="4" t="n">
        <f aca="false">'Working Capital'!O15-'Working Capital'!P15</f>
        <v>0</v>
      </c>
      <c r="Q12" s="4" t="n">
        <f aca="false">'Working Capital'!P15-'Working Capital'!Q15</f>
        <v>-24496.2</v>
      </c>
      <c r="R12" s="4" t="n">
        <f aca="false">'Working Capital'!Q15-'Working Capital'!R15</f>
        <v>-1959.696</v>
      </c>
      <c r="S12" s="4" t="n">
        <f aca="false">'Working Capital'!R15-'Working Capital'!S15</f>
        <v>-5879.088</v>
      </c>
      <c r="T12" s="4" t="n">
        <f aca="false">'Working Capital'!S15-'Working Capital'!T15</f>
        <v>-18271.152</v>
      </c>
      <c r="U12" s="4" t="n">
        <f aca="false">'Working Capital'!T15-'Working Capital'!U15</f>
        <v>-9874.36799999997</v>
      </c>
      <c r="V12" s="4" t="n">
        <f aca="false">'Working Capital'!U15-'Working Capital'!V15</f>
        <v>-9874.36800000002</v>
      </c>
      <c r="W12" s="4" t="n">
        <f aca="false">'Working Capital'!V15-'Working Capital'!W15</f>
        <v>-136389.708</v>
      </c>
      <c r="X12" s="4" t="n">
        <f aca="false">'Working Capital'!W15-'Working Capital'!X15</f>
        <v>-6171.48000000001</v>
      </c>
      <c r="Y12" s="4" t="n">
        <f aca="false">'Working Capital'!X15-'Working Capital'!Y15</f>
        <v>12342.96</v>
      </c>
      <c r="Z12" s="4" t="n">
        <f aca="false">'Working Capital'!Y15-'Working Capital'!Z15</f>
        <v>-24685.92</v>
      </c>
      <c r="AA12" s="4" t="n">
        <f aca="false">'Working Capital'!Z15-'Working Capital'!AA15</f>
        <v>-98743.68</v>
      </c>
      <c r="AB12" s="4" t="n">
        <f aca="false">'Working Capital'!AA15-'Working Capital'!AB15</f>
        <v>-132686.82</v>
      </c>
      <c r="AC12" s="4" t="n">
        <f aca="false">'Working Capital'!AB15-'Working Capital'!AC15</f>
        <v>-273743.181369863</v>
      </c>
      <c r="AD12" s="4" t="n">
        <f aca="false">'Working Capital'!AC15-'Working Capital'!AD15</f>
        <v>-1044924.55890411</v>
      </c>
      <c r="AE12" s="4" t="n">
        <f aca="false">'Working Capital'!AD15-'Working Capital'!AE15</f>
        <v>-1065214.35616438</v>
      </c>
      <c r="AG12" s="4" t="n">
        <f aca="false">SUMIF($C$3:$AE$3,AG$3,$C12:$AE12)</f>
        <v>0</v>
      </c>
      <c r="AH12" s="4" t="n">
        <f aca="false">SUMIF($C$3:$AE$3,AH$3,$C12:$AE12)</f>
        <v>0</v>
      </c>
      <c r="AI12" s="4" t="n">
        <f aca="false">SUMIF($C$3:$AE$3,AI$3,$C12:$AE12)</f>
        <v>-456689.52</v>
      </c>
      <c r="AJ12" s="4" t="n">
        <f aca="false">SUMIF($C$3:$AE$3,AJ$3,$C12:$AE12)</f>
        <v>-273743.181369863</v>
      </c>
      <c r="AK12" s="4" t="n">
        <f aca="false">SUMIF($C$3:$AE$3,AK$3,$C12:$AE12)</f>
        <v>-1044924.55890411</v>
      </c>
      <c r="AL12" s="4" t="n">
        <f aca="false">SUMIF($C$3:$AE$3,AL$3,$C12:$AE12)</f>
        <v>-1065214.35616438</v>
      </c>
    </row>
    <row r="13" customFormat="false" ht="15" hidden="false" customHeight="false" outlineLevel="0" collapsed="false">
      <c r="A13" s="0" t="s">
        <v>673</v>
      </c>
      <c r="B13" s="2"/>
      <c r="C13" s="4" t="n">
        <f aca="false">0-'Working Capital'!C12</f>
        <v>0</v>
      </c>
      <c r="D13" s="4" t="n">
        <f aca="false">'Working Capital'!C12-'Working Capital'!D12</f>
        <v>0</v>
      </c>
      <c r="E13" s="4" t="n">
        <f aca="false">'Working Capital'!D12-'Working Capital'!E12</f>
        <v>0</v>
      </c>
      <c r="F13" s="4" t="n">
        <f aca="false">'Working Capital'!E12-'Working Capital'!F12</f>
        <v>0</v>
      </c>
      <c r="G13" s="4" t="n">
        <f aca="false">'Working Capital'!F12-'Working Capital'!G12</f>
        <v>0</v>
      </c>
      <c r="H13" s="4" t="n">
        <f aca="false">'Working Capital'!G12-'Working Capital'!H12</f>
        <v>0</v>
      </c>
      <c r="I13" s="4" t="n">
        <f aca="false">'Working Capital'!H12-'Working Capital'!I12</f>
        <v>0</v>
      </c>
      <c r="J13" s="4" t="n">
        <f aca="false">'Working Capital'!I12-'Working Capital'!J12</f>
        <v>0</v>
      </c>
      <c r="K13" s="4" t="n">
        <f aca="false">'Working Capital'!J12-'Working Capital'!K12</f>
        <v>0</v>
      </c>
      <c r="L13" s="4" t="n">
        <f aca="false">'Working Capital'!K12-'Working Capital'!L12</f>
        <v>-89292.20625</v>
      </c>
      <c r="M13" s="4" t="n">
        <f aca="false">'Working Capital'!L12-'Working Capital'!M12</f>
        <v>-66076.232625</v>
      </c>
      <c r="N13" s="4" t="n">
        <f aca="false">'Working Capital'!M12-'Working Capital'!N12</f>
        <v>-284052.993375</v>
      </c>
      <c r="O13" s="4" t="n">
        <f aca="false">'Working Capital'!N12-'Working Capital'!O12</f>
        <v>51068.5335450001</v>
      </c>
      <c r="P13" s="4" t="n">
        <f aca="false">'Working Capital'!O12-'Working Capital'!P12</f>
        <v>-61381.279945</v>
      </c>
      <c r="Q13" s="4" t="n">
        <f aca="false">'Working Capital'!P12-'Working Capital'!Q12</f>
        <v>-65737.3417699999</v>
      </c>
      <c r="R13" s="4" t="n">
        <f aca="false">'Working Capital'!Q12-'Working Capital'!R12</f>
        <v>-59498.18898</v>
      </c>
      <c r="S13" s="4" t="n">
        <f aca="false">'Working Capital'!R12-'Working Capital'!S12</f>
        <v>-31691.4365999999</v>
      </c>
      <c r="T13" s="4" t="n">
        <f aca="false">'Working Capital'!S12-'Working Capital'!T12</f>
        <v>-103290.7267125</v>
      </c>
      <c r="U13" s="4" t="n">
        <f aca="false">'Working Capital'!T12-'Working Capital'!U12</f>
        <v>-88040.8654874999</v>
      </c>
      <c r="V13" s="4" t="n">
        <f aca="false">'Working Capital'!U12-'Working Capital'!V12</f>
        <v>-50666.2056000001</v>
      </c>
      <c r="W13" s="4" t="n">
        <f aca="false">'Working Capital'!V12-'Working Capital'!W12</f>
        <v>-25333.1028</v>
      </c>
      <c r="X13" s="4" t="n">
        <f aca="false">'Working Capital'!W12-'Working Capital'!X12</f>
        <v>-63332.7569999999</v>
      </c>
      <c r="Y13" s="4" t="n">
        <f aca="false">'Working Capital'!X12-'Working Capital'!Y12</f>
        <v>-241456.1360625</v>
      </c>
      <c r="Z13" s="4" t="n">
        <f aca="false">'Working Capital'!Y12-'Working Capital'!Z12</f>
        <v>-448954.2478125</v>
      </c>
      <c r="AA13" s="4" t="n">
        <f aca="false">'Working Capital'!Z12-'Working Capital'!AA12</f>
        <v>-433912.718025</v>
      </c>
      <c r="AB13" s="4" t="n">
        <f aca="false">'Working Capital'!AA12-'Working Capital'!AB12</f>
        <v>-311663.8305</v>
      </c>
      <c r="AC13" s="4" t="n">
        <f aca="false">'Working Capital'!AB12-'Working Capital'!AC12</f>
        <v>-552689.034410959</v>
      </c>
      <c r="AD13" s="4" t="n">
        <f aca="false">'Working Capital'!AC12-'Working Capital'!AD12</f>
        <v>-2690386.47616438</v>
      </c>
      <c r="AE13" s="4" t="n">
        <f aca="false">'Working Capital'!AD12-'Working Capital'!AE12</f>
        <v>-3041068.21643836</v>
      </c>
      <c r="AG13" s="4" t="n">
        <f aca="false">SUMIF($C$3:$AE$3,AG$3,$C13:$AE13)</f>
        <v>0</v>
      </c>
      <c r="AH13" s="4" t="n">
        <f aca="false">SUMIF($C$3:$AE$3,AH$3,$C13:$AE13)</f>
        <v>-449734.17865</v>
      </c>
      <c r="AI13" s="4" t="n">
        <f aca="false">SUMIF($C$3:$AE$3,AI$3,$C13:$AE13)</f>
        <v>-1923577.55735</v>
      </c>
      <c r="AJ13" s="4" t="n">
        <f aca="false">SUMIF($C$3:$AE$3,AJ$3,$C13:$AE13)</f>
        <v>-552689.034410959</v>
      </c>
      <c r="AK13" s="4" t="n">
        <f aca="false">SUMIF($C$3:$AE$3,AK$3,$C13:$AE13)</f>
        <v>-2690386.47616438</v>
      </c>
      <c r="AL13" s="4" t="n">
        <f aca="false">SUMIF($C$3:$AE$3,AL$3,$C13:$AE13)</f>
        <v>-3041068.21643836</v>
      </c>
    </row>
    <row r="14" customFormat="false" ht="15" hidden="false" customHeight="false" outlineLevel="0" collapsed="false">
      <c r="A14" s="0" t="s">
        <v>674</v>
      </c>
      <c r="B14" s="2"/>
      <c r="C14" s="4" t="n">
        <f aca="false">'Working Capital'!C20-0</f>
        <v>0</v>
      </c>
      <c r="D14" s="4" t="n">
        <f aca="false">'Working Capital'!D20-'Working Capital'!C20</f>
        <v>0</v>
      </c>
      <c r="E14" s="4" t="n">
        <f aca="false">'Working Capital'!E20-'Working Capital'!D20</f>
        <v>0</v>
      </c>
      <c r="F14" s="4" t="n">
        <f aca="false">'Working Capital'!F20-'Working Capital'!E20</f>
        <v>0</v>
      </c>
      <c r="G14" s="4" t="n">
        <f aca="false">'Working Capital'!G20-'Working Capital'!F20</f>
        <v>0</v>
      </c>
      <c r="H14" s="4" t="n">
        <f aca="false">'Working Capital'!H20-'Working Capital'!G20</f>
        <v>0</v>
      </c>
      <c r="I14" s="4" t="n">
        <f aca="false">'Working Capital'!I20-'Working Capital'!H20</f>
        <v>0</v>
      </c>
      <c r="J14" s="4" t="n">
        <f aca="false">'Working Capital'!J20-'Working Capital'!I20</f>
        <v>851920</v>
      </c>
      <c r="K14" s="4" t="n">
        <f aca="false">'Working Capital'!K20-'Working Capital'!J20</f>
        <v>53245</v>
      </c>
      <c r="L14" s="4" t="n">
        <f aca="false">'Working Capital'!L20-'Working Capital'!K20</f>
        <v>53245</v>
      </c>
      <c r="M14" s="4" t="n">
        <f aca="false">'Working Capital'!M20-'Working Capital'!L20</f>
        <v>53245</v>
      </c>
      <c r="N14" s="4" t="n">
        <f aca="false">'Working Capital'!N20-'Working Capital'!M20</f>
        <v>53245.0000000001</v>
      </c>
      <c r="O14" s="4" t="n">
        <f aca="false">'Working Capital'!O20-'Working Capital'!N20</f>
        <v>-362425</v>
      </c>
      <c r="P14" s="4" t="n">
        <f aca="false">'Working Capital'!P20-'Working Capital'!O20</f>
        <v>-268194.5</v>
      </c>
      <c r="Q14" s="4" t="n">
        <f aca="false">'Working Capital'!Q20-'Working Capital'!P20</f>
        <v>-94230.5</v>
      </c>
      <c r="R14" s="4" t="n">
        <f aca="false">'Working Capital'!R20-'Working Capital'!Q20</f>
        <v>-170025</v>
      </c>
      <c r="S14" s="4" t="n">
        <f aca="false">'Working Capital'!S20-'Working Capital'!R20</f>
        <v>-170025</v>
      </c>
      <c r="T14" s="4" t="n">
        <f aca="false">'Working Capital'!T20-'Working Capital'!S20</f>
        <v>0</v>
      </c>
      <c r="U14" s="4" t="n">
        <f aca="false">'Working Capital'!U20-'Working Capital'!T20</f>
        <v>0</v>
      </c>
      <c r="V14" s="4" t="n">
        <f aca="false">'Working Capital'!V20-'Working Capital'!U20</f>
        <v>0</v>
      </c>
      <c r="W14" s="4" t="n">
        <f aca="false">'Working Capital'!W20-'Working Capital'!V20</f>
        <v>0</v>
      </c>
      <c r="X14" s="4" t="n">
        <f aca="false">'Working Capital'!X20-'Working Capital'!W20</f>
        <v>0</v>
      </c>
      <c r="Y14" s="4" t="n">
        <f aca="false">'Working Capital'!Y20-'Working Capital'!X20</f>
        <v>0</v>
      </c>
      <c r="Z14" s="4" t="n">
        <f aca="false">'Working Capital'!Z20-'Working Capital'!Y20</f>
        <v>0</v>
      </c>
      <c r="AA14" s="4" t="n">
        <f aca="false">'Working Capital'!AA20-'Working Capital'!Z20</f>
        <v>0</v>
      </c>
      <c r="AB14" s="4" t="n">
        <f aca="false">'Working Capital'!AB20-'Working Capital'!AA20</f>
        <v>0</v>
      </c>
      <c r="AC14" s="4" t="n">
        <f aca="false">'Working Capital'!AC20-'Working Capital'!AB20</f>
        <v>0</v>
      </c>
      <c r="AD14" s="4" t="n">
        <f aca="false">'Working Capital'!AD20-'Working Capital'!AC20</f>
        <v>0</v>
      </c>
      <c r="AE14" s="4" t="n">
        <f aca="false">'Working Capital'!AE20-'Working Capital'!AD20</f>
        <v>0</v>
      </c>
      <c r="AG14" s="4" t="n">
        <f aca="false">SUMIF($C$3:$AE$3,AG$3,$C14:$AE14)</f>
        <v>0</v>
      </c>
      <c r="AH14" s="4" t="n">
        <f aca="false">SUMIF($C$3:$AE$3,AH$3,$C14:$AE14)</f>
        <v>434280.5</v>
      </c>
      <c r="AI14" s="4" t="n">
        <f aca="false">SUMIF($C$3:$AE$3,AI$3,$C14:$AE14)</f>
        <v>-434280.5</v>
      </c>
      <c r="AJ14" s="4" t="n">
        <f aca="false">SUMIF($C$3:$AE$3,AJ$3,$C14:$AE14)</f>
        <v>0</v>
      </c>
      <c r="AK14" s="4" t="n">
        <f aca="false">SUMIF($C$3:$AE$3,AK$3,$C14:$AE14)</f>
        <v>0</v>
      </c>
      <c r="AL14" s="4" t="n">
        <f aca="false">SUMIF($C$3:$AE$3,AL$3,$C14:$AE14)</f>
        <v>0</v>
      </c>
    </row>
    <row r="15" customFormat="false" ht="15" hidden="false" customHeight="false" outlineLevel="0" collapsed="false">
      <c r="A15" s="13" t="s">
        <v>675</v>
      </c>
      <c r="B15" s="2"/>
      <c r="C15" s="29" t="n">
        <f aca="false">SUM(C10:C14)</f>
        <v>-76000</v>
      </c>
      <c r="D15" s="29" t="n">
        <f aca="false">SUM(D10:D14)</f>
        <v>-118513.333333333</v>
      </c>
      <c r="E15" s="29" t="n">
        <f aca="false">SUM(E10:E14)</f>
        <v>-160629.830555556</v>
      </c>
      <c r="F15" s="29" t="n">
        <f aca="false">SUM(F10:F14)</f>
        <v>-200994.167561343</v>
      </c>
      <c r="G15" s="29" t="n">
        <f aca="false">SUM(G10:G14)</f>
        <v>-169392.900550063</v>
      </c>
      <c r="H15" s="29" t="n">
        <f aca="false">SUM(H10:H14)</f>
        <v>-171886.963176668</v>
      </c>
      <c r="I15" s="29" t="n">
        <f aca="false">SUM(I10:I14)</f>
        <v>-182388.300152599</v>
      </c>
      <c r="J15" s="29" t="n">
        <f aca="false">SUM(J10:J14)</f>
        <v>655150.481798043</v>
      </c>
      <c r="K15" s="29" t="n">
        <f aca="false">SUM(K10:K14)</f>
        <v>-201067.488717003</v>
      </c>
      <c r="L15" s="29" t="n">
        <f aca="false">SUM(L10:L14)</f>
        <v>-330721.141809094</v>
      </c>
      <c r="M15" s="29" t="n">
        <f aca="false">SUM(M10:M14)</f>
        <v>-701196.854847704</v>
      </c>
      <c r="N15" s="29" t="n">
        <f aca="false">SUM(N10:N14)</f>
        <v>-830489.606424343</v>
      </c>
      <c r="O15" s="29" t="n">
        <f aca="false">SUM(O10:O14)</f>
        <v>-887277.883428878</v>
      </c>
      <c r="P15" s="29" t="n">
        <f aca="false">SUM(P10:P14)</f>
        <v>-873065.620995546</v>
      </c>
      <c r="Q15" s="29" t="n">
        <f aca="false">SUM(Q10:Q14)</f>
        <v>-553938.17479845</v>
      </c>
      <c r="R15" s="29" t="n">
        <f aca="false">SUM(R10:R14)</f>
        <v>-586328.439653868</v>
      </c>
      <c r="S15" s="29" t="n">
        <f aca="false">SUM(S10:S14)</f>
        <v>-583859.839385146</v>
      </c>
      <c r="T15" s="29" t="n">
        <f aca="false">SUM(T10:T14)</f>
        <v>-502546.383877947</v>
      </c>
      <c r="U15" s="29" t="n">
        <f aca="false">SUM(U10:U14)</f>
        <v>-504711.347962172</v>
      </c>
      <c r="V15" s="29" t="n">
        <f aca="false">SUM(V10:V14)</f>
        <v>-461356.166746603</v>
      </c>
      <c r="W15" s="29" t="n">
        <f aca="false">SUM(W10:W14)</f>
        <v>-539697.327342713</v>
      </c>
      <c r="X15" s="29" t="n">
        <f aca="false">SUM(X10:X14)</f>
        <v>-443973.001572987</v>
      </c>
      <c r="Y15" s="29" t="n">
        <f aca="false">SUM(Y10:Y14)</f>
        <v>-610247.30225723</v>
      </c>
      <c r="Z15" s="29" t="n">
        <f aca="false">SUM(Z10:Z14)</f>
        <v>-771964.071229285</v>
      </c>
      <c r="AA15" s="29" t="n">
        <f aca="false">SUM(AA10:AA14)</f>
        <v>-849263.439400007</v>
      </c>
      <c r="AB15" s="29" t="n">
        <f aca="false">SUM(AB10:AB14)</f>
        <v>-739639.474595525</v>
      </c>
      <c r="AC15" s="29" t="n">
        <f aca="false">SUM(AC10:AC14)</f>
        <v>-8173473.67458089</v>
      </c>
      <c r="AD15" s="29" t="n">
        <f aca="false">SUM(AD10:AD14)</f>
        <v>-9815247.20366462</v>
      </c>
      <c r="AE15" s="29" t="n">
        <f aca="false">SUM(AE10:AE14)</f>
        <v>-3383910.1549758</v>
      </c>
      <c r="AG15" s="29" t="n">
        <f aca="false">SUMIF($C$3:$AE$3,AG$3,$C15:$AE15)</f>
        <v>-194513.333333333</v>
      </c>
      <c r="AH15" s="29" t="n">
        <f aca="false">SUMIF($C$3:$AE$3,AH$3,$C15:$AE15)</f>
        <v>-4053960.27642076</v>
      </c>
      <c r="AI15" s="29" t="n">
        <f aca="false">SUMIF($C$3:$AE$3,AI$3,$C15:$AE15)</f>
        <v>-7147524.96882193</v>
      </c>
      <c r="AJ15" s="29" t="n">
        <f aca="false">SUMIF($C$3:$AE$3,AJ$3,$C15:$AE15)</f>
        <v>-8173473.67458089</v>
      </c>
      <c r="AK15" s="29" t="n">
        <f aca="false">SUMIF($C$3:$AE$3,AK$3,$C15:$AE15)</f>
        <v>-9815247.20366462</v>
      </c>
      <c r="AL15" s="29" t="n">
        <f aca="false">SUMIF($C$3:$AE$3,AL$3,$C15:$AE15)</f>
        <v>-3383910.1549758</v>
      </c>
    </row>
    <row r="17" customFormat="false" ht="15" hidden="false" customHeight="false" outlineLevel="0" collapsed="false">
      <c r="A17" s="8" t="s">
        <v>676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customFormat="false" ht="15" hidden="false" customHeight="false" outlineLevel="0" collapsed="false">
      <c r="A18" s="0" t="s">
        <v>677</v>
      </c>
      <c r="B18" s="2"/>
      <c r="C18" s="4" t="n">
        <f aca="false">-'Working Capital'!C26</f>
        <v>-0</v>
      </c>
      <c r="D18" s="4" t="n">
        <f aca="false">-'Working Capital'!D26</f>
        <v>-0</v>
      </c>
      <c r="E18" s="4" t="n">
        <f aca="false">-'Working Capital'!E26</f>
        <v>-0</v>
      </c>
      <c r="F18" s="4" t="n">
        <f aca="false">-'Working Capital'!F26</f>
        <v>-0</v>
      </c>
      <c r="G18" s="4" t="n">
        <f aca="false">-'Working Capital'!G26</f>
        <v>-0</v>
      </c>
      <c r="H18" s="4" t="n">
        <f aca="false">-'Working Capital'!H26</f>
        <v>-0</v>
      </c>
      <c r="I18" s="4" t="n">
        <f aca="false">-'Working Capital'!I26</f>
        <v>-0</v>
      </c>
      <c r="J18" s="4" t="n">
        <f aca="false">-'Working Capital'!J26</f>
        <v>-0</v>
      </c>
      <c r="K18" s="4" t="n">
        <f aca="false">-'Working Capital'!K26</f>
        <v>-180000</v>
      </c>
      <c r="L18" s="4" t="n">
        <f aca="false">-'Working Capital'!L26</f>
        <v>-185000</v>
      </c>
      <c r="M18" s="4" t="n">
        <f aca="false">-'Working Capital'!M26</f>
        <v>-0</v>
      </c>
      <c r="N18" s="4" t="n">
        <f aca="false">-'Working Capital'!N26</f>
        <v>-330000</v>
      </c>
      <c r="O18" s="4" t="n">
        <f aca="false">-'Working Capital'!O26</f>
        <v>-0</v>
      </c>
      <c r="P18" s="4" t="n">
        <f aca="false">-'Working Capital'!P26</f>
        <v>-0</v>
      </c>
      <c r="Q18" s="4" t="n">
        <f aca="false">-'Working Capital'!Q26</f>
        <v>-0</v>
      </c>
      <c r="R18" s="4" t="n">
        <f aca="false">-'Working Capital'!R26</f>
        <v>-0</v>
      </c>
      <c r="S18" s="4" t="n">
        <f aca="false">-'Working Capital'!S26</f>
        <v>-0</v>
      </c>
      <c r="T18" s="4" t="n">
        <f aca="false">-'Working Capital'!T26</f>
        <v>-4750</v>
      </c>
      <c r="U18" s="4" t="n">
        <f aca="false">-'Working Capital'!U26</f>
        <v>-4797.5</v>
      </c>
      <c r="V18" s="4" t="n">
        <f aca="false">-'Working Capital'!V26</f>
        <v>-4845</v>
      </c>
      <c r="W18" s="4" t="n">
        <f aca="false">-'Working Capital'!W26</f>
        <v>-4892.5</v>
      </c>
      <c r="X18" s="4" t="n">
        <f aca="false">-'Working Capital'!X26</f>
        <v>-4940</v>
      </c>
      <c r="Y18" s="4" t="n">
        <f aca="false">-'Working Capital'!Y26</f>
        <v>-4987.5</v>
      </c>
      <c r="Z18" s="4" t="n">
        <f aca="false">-'Working Capital'!Z26</f>
        <v>-9785</v>
      </c>
      <c r="AA18" s="4" t="n">
        <f aca="false">-'Working Capital'!AA26</f>
        <v>-9880</v>
      </c>
      <c r="AB18" s="4" t="n">
        <f aca="false">-'Working Capital'!AB26</f>
        <v>-109975</v>
      </c>
      <c r="AC18" s="4" t="n">
        <f aca="false">-'Working Capital'!AC26</f>
        <v>-698170</v>
      </c>
      <c r="AD18" s="4" t="n">
        <f aca="false">-'Working Capital'!AD26</f>
        <v>-1180950</v>
      </c>
      <c r="AE18" s="4" t="n">
        <f aca="false">-'Working Capital'!AE26</f>
        <v>-1571900</v>
      </c>
      <c r="AG18" s="4" t="n">
        <f aca="false">SUMIF($C$3:$AE$3,AG$3,$C18:$AE18)</f>
        <v>0</v>
      </c>
      <c r="AH18" s="4" t="n">
        <f aca="false">SUMIF($C$3:$AE$3,AH$3,$C18:$AE18)</f>
        <v>-695000</v>
      </c>
      <c r="AI18" s="4" t="n">
        <f aca="false">SUMIF($C$3:$AE$3,AI$3,$C18:$AE18)</f>
        <v>-158852.5</v>
      </c>
      <c r="AJ18" s="4" t="n">
        <f aca="false">SUMIF($C$3:$AE$3,AJ$3,$C18:$AE18)</f>
        <v>-698170</v>
      </c>
      <c r="AK18" s="4" t="n">
        <f aca="false">SUMIF($C$3:$AE$3,AK$3,$C18:$AE18)</f>
        <v>-1180950</v>
      </c>
      <c r="AL18" s="4" t="n">
        <f aca="false">SUMIF($C$3:$AE$3,AL$3,$C18:$AE18)</f>
        <v>-1571900</v>
      </c>
    </row>
    <row r="19" customFormat="false" ht="15" hidden="false" customHeight="false" outlineLevel="0" collapsed="false">
      <c r="A19" s="13" t="s">
        <v>678</v>
      </c>
      <c r="B19" s="2"/>
      <c r="C19" s="29" t="n">
        <f aca="false">'Cash Flow'!C18</f>
        <v>-0</v>
      </c>
      <c r="D19" s="29" t="n">
        <f aca="false">'Cash Flow'!D18</f>
        <v>-0</v>
      </c>
      <c r="E19" s="29" t="n">
        <f aca="false">'Cash Flow'!E18</f>
        <v>-0</v>
      </c>
      <c r="F19" s="29" t="n">
        <f aca="false">'Cash Flow'!F18</f>
        <v>-0</v>
      </c>
      <c r="G19" s="29" t="n">
        <f aca="false">'Cash Flow'!G18</f>
        <v>-0</v>
      </c>
      <c r="H19" s="29" t="n">
        <f aca="false">'Cash Flow'!H18</f>
        <v>-0</v>
      </c>
      <c r="I19" s="29" t="n">
        <f aca="false">'Cash Flow'!I18</f>
        <v>-0</v>
      </c>
      <c r="J19" s="29" t="n">
        <f aca="false">'Cash Flow'!J18</f>
        <v>-0</v>
      </c>
      <c r="K19" s="29" t="n">
        <f aca="false">'Cash Flow'!K18</f>
        <v>-180000</v>
      </c>
      <c r="L19" s="29" t="n">
        <f aca="false">'Cash Flow'!L18</f>
        <v>-185000</v>
      </c>
      <c r="M19" s="29" t="n">
        <f aca="false">'Cash Flow'!M18</f>
        <v>-0</v>
      </c>
      <c r="N19" s="29" t="n">
        <f aca="false">'Cash Flow'!N18</f>
        <v>-330000</v>
      </c>
      <c r="O19" s="29" t="n">
        <f aca="false">'Cash Flow'!O18</f>
        <v>-0</v>
      </c>
      <c r="P19" s="29" t="n">
        <f aca="false">'Cash Flow'!P18</f>
        <v>-0</v>
      </c>
      <c r="Q19" s="29" t="n">
        <f aca="false">'Cash Flow'!Q18</f>
        <v>-0</v>
      </c>
      <c r="R19" s="29" t="n">
        <f aca="false">'Cash Flow'!R18</f>
        <v>-0</v>
      </c>
      <c r="S19" s="29" t="n">
        <f aca="false">'Cash Flow'!S18</f>
        <v>-0</v>
      </c>
      <c r="T19" s="29" t="n">
        <f aca="false">'Cash Flow'!T18</f>
        <v>-4750</v>
      </c>
      <c r="U19" s="29" t="n">
        <f aca="false">'Cash Flow'!U18</f>
        <v>-4797.5</v>
      </c>
      <c r="V19" s="29" t="n">
        <f aca="false">'Cash Flow'!V18</f>
        <v>-4845</v>
      </c>
      <c r="W19" s="29" t="n">
        <f aca="false">'Cash Flow'!W18</f>
        <v>-4892.5</v>
      </c>
      <c r="X19" s="29" t="n">
        <f aca="false">'Cash Flow'!X18</f>
        <v>-4940</v>
      </c>
      <c r="Y19" s="29" t="n">
        <f aca="false">'Cash Flow'!Y18</f>
        <v>-4987.5</v>
      </c>
      <c r="Z19" s="29" t="n">
        <f aca="false">'Cash Flow'!Z18</f>
        <v>-9785</v>
      </c>
      <c r="AA19" s="29" t="n">
        <f aca="false">'Cash Flow'!AA18</f>
        <v>-9880</v>
      </c>
      <c r="AB19" s="29" t="n">
        <f aca="false">'Cash Flow'!AB18</f>
        <v>-109975</v>
      </c>
      <c r="AC19" s="29" t="n">
        <f aca="false">'Cash Flow'!AC18</f>
        <v>-698170</v>
      </c>
      <c r="AD19" s="29" t="n">
        <f aca="false">'Cash Flow'!AD18</f>
        <v>-1180950</v>
      </c>
      <c r="AE19" s="29" t="n">
        <f aca="false">'Cash Flow'!AE18</f>
        <v>-1571900</v>
      </c>
      <c r="AG19" s="29" t="n">
        <f aca="false">SUMIF($C$3:$AE$3,AG$3,$C19:$AE19)</f>
        <v>0</v>
      </c>
      <c r="AH19" s="29" t="n">
        <f aca="false">SUMIF($C$3:$AE$3,AH$3,$C19:$AE19)</f>
        <v>-695000</v>
      </c>
      <c r="AI19" s="29" t="n">
        <f aca="false">SUMIF($C$3:$AE$3,AI$3,$C19:$AE19)</f>
        <v>-158852.5</v>
      </c>
      <c r="AJ19" s="29" t="n">
        <f aca="false">SUMIF($C$3:$AE$3,AJ$3,$C19:$AE19)</f>
        <v>-698170</v>
      </c>
      <c r="AK19" s="29" t="n">
        <f aca="false">SUMIF($C$3:$AE$3,AK$3,$C19:$AE19)</f>
        <v>-1180950</v>
      </c>
      <c r="AL19" s="29" t="n">
        <f aca="false">SUMIF($C$3:$AE$3,AL$3,$C19:$AE19)</f>
        <v>-1571900</v>
      </c>
    </row>
    <row r="21" customFormat="false" ht="15" hidden="false" customHeight="false" outlineLevel="0" collapsed="false">
      <c r="A21" s="8" t="s">
        <v>679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customFormat="false" ht="15" hidden="false" customHeight="false" outlineLevel="0" collapsed="false">
      <c r="A22" s="0" t="s">
        <v>680</v>
      </c>
      <c r="B22" s="2"/>
      <c r="C22" s="4" t="n">
        <f aca="false">SUMIF('Funding &amp; Runway'!$C$4:$C$8,Timeline!C6,'Funding &amp; Runway'!$D$4:$D$8)</f>
        <v>1500000</v>
      </c>
      <c r="D22" s="4" t="n">
        <f aca="false">SUMIF('Funding &amp; Runway'!$C$4:$C$8,Timeline!D6,'Funding &amp; Runway'!$D$4:$D$8)</f>
        <v>0</v>
      </c>
      <c r="E22" s="4" t="n">
        <f aca="false">SUMIF('Funding &amp; Runway'!$C$4:$C$8,Timeline!E6,'Funding &amp; Runway'!$D$4:$D$8)</f>
        <v>0</v>
      </c>
      <c r="F22" s="4" t="n">
        <f aca="false">SUMIF('Funding &amp; Runway'!$C$4:$C$8,Timeline!F6,'Funding &amp; Runway'!$D$4:$D$8)</f>
        <v>0</v>
      </c>
      <c r="G22" s="4" t="n">
        <f aca="false">SUMIF('Funding &amp; Runway'!$C$4:$C$8,Timeline!G6,'Funding &amp; Runway'!$D$4:$D$8)</f>
        <v>0</v>
      </c>
      <c r="H22" s="4" t="n">
        <f aca="false">SUMIF('Funding &amp; Runway'!$C$4:$C$8,Timeline!H6,'Funding &amp; Runway'!$D$4:$D$8)</f>
        <v>0</v>
      </c>
      <c r="I22" s="4" t="n">
        <f aca="false">SUMIF('Funding &amp; Runway'!$C$4:$C$8,Timeline!I6,'Funding &amp; Runway'!$D$4:$D$8)</f>
        <v>0</v>
      </c>
      <c r="J22" s="4" t="n">
        <f aca="false">SUMIF('Funding &amp; Runway'!$C$4:$C$8,Timeline!J6,'Funding &amp; Runway'!$D$4:$D$8)</f>
        <v>0</v>
      </c>
      <c r="K22" s="4" t="n">
        <f aca="false">SUMIF('Funding &amp; Runway'!$C$4:$C$8,Timeline!K6,'Funding &amp; Runway'!$D$4:$D$8)</f>
        <v>0</v>
      </c>
      <c r="L22" s="4" t="n">
        <f aca="false">SUMIF('Funding &amp; Runway'!$C$4:$C$8,Timeline!L6,'Funding &amp; Runway'!$D$4:$D$8)</f>
        <v>6000000</v>
      </c>
      <c r="M22" s="4" t="n">
        <f aca="false">SUMIF('Funding &amp; Runway'!$C$4:$C$8,Timeline!M6,'Funding &amp; Runway'!$D$4:$D$8)</f>
        <v>0</v>
      </c>
      <c r="N22" s="4" t="n">
        <f aca="false">SUMIF('Funding &amp; Runway'!$C$4:$C$8,Timeline!N6,'Funding &amp; Runway'!$D$4:$D$8)</f>
        <v>0</v>
      </c>
      <c r="O22" s="4" t="n">
        <f aca="false">SUMIF('Funding &amp; Runway'!$C$4:$C$8,Timeline!O6,'Funding &amp; Runway'!$D$4:$D$8)</f>
        <v>0</v>
      </c>
      <c r="P22" s="4" t="n">
        <f aca="false">SUMIF('Funding &amp; Runway'!$C$4:$C$8,Timeline!P6,'Funding &amp; Runway'!$D$4:$D$8)</f>
        <v>0</v>
      </c>
      <c r="Q22" s="4" t="n">
        <f aca="false">SUMIF('Funding &amp; Runway'!$C$4:$C$8,Timeline!Q6,'Funding &amp; Runway'!$D$4:$D$8)</f>
        <v>0</v>
      </c>
      <c r="R22" s="4" t="n">
        <f aca="false">SUMIF('Funding &amp; Runway'!$C$4:$C$8,Timeline!R6,'Funding &amp; Runway'!$D$4:$D$8)</f>
        <v>0</v>
      </c>
      <c r="S22" s="4" t="n">
        <f aca="false">SUMIF('Funding &amp; Runway'!$C$4:$C$8,Timeline!S6,'Funding &amp; Runway'!$D$4:$D$8)</f>
        <v>3000000</v>
      </c>
      <c r="T22" s="4" t="n">
        <f aca="false">SUMIF('Funding &amp; Runway'!$C$4:$C$8,Timeline!T6,'Funding &amp; Runway'!$D$4:$D$8)</f>
        <v>0</v>
      </c>
      <c r="U22" s="4" t="n">
        <f aca="false">SUMIF('Funding &amp; Runway'!$C$4:$C$8,Timeline!U6,'Funding &amp; Runway'!$D$4:$D$8)</f>
        <v>0</v>
      </c>
      <c r="V22" s="4" t="n">
        <f aca="false">SUMIF('Funding &amp; Runway'!$C$4:$C$8,Timeline!V6,'Funding &amp; Runway'!$D$4:$D$8)</f>
        <v>0</v>
      </c>
      <c r="W22" s="4" t="n">
        <f aca="false">SUMIF('Funding &amp; Runway'!$C$4:$C$8,Timeline!W6,'Funding &amp; Runway'!$D$4:$D$8)</f>
        <v>0</v>
      </c>
      <c r="X22" s="4" t="n">
        <f aca="false">SUMIF('Funding &amp; Runway'!$C$4:$C$8,Timeline!X6,'Funding &amp; Runway'!$D$4:$D$8)</f>
        <v>0</v>
      </c>
      <c r="Y22" s="4" t="n">
        <f aca="false">SUMIF('Funding &amp; Runway'!$C$4:$C$8,Timeline!Y6,'Funding &amp; Runway'!$D$4:$D$8)</f>
        <v>25000000</v>
      </c>
      <c r="Z22" s="4" t="n">
        <f aca="false">SUMIF('Funding &amp; Runway'!$C$4:$C$8,Timeline!Z6,'Funding &amp; Runway'!$D$4:$D$8)</f>
        <v>0</v>
      </c>
      <c r="AA22" s="4" t="n">
        <f aca="false">SUMIF('Funding &amp; Runway'!$C$4:$C$8,Timeline!AA6,'Funding &amp; Runway'!$D$4:$D$8)</f>
        <v>0</v>
      </c>
      <c r="AB22" s="4" t="n">
        <f aca="false">SUMIF('Funding &amp; Runway'!$C$4:$C$8,Timeline!AB6,'Funding &amp; Runway'!$D$4:$D$8)</f>
        <v>0</v>
      </c>
      <c r="AC22" s="4" t="n">
        <f aca="false">SUMIF('Funding &amp; Runway'!$C$4:$C$8,Timeline!AC6,'Funding &amp; Runway'!$D$4:$D$8)</f>
        <v>0</v>
      </c>
      <c r="AD22" s="4" t="n">
        <f aca="false">SUMIF('Funding &amp; Runway'!$C$4:$C$8,Timeline!AD6,'Funding &amp; Runway'!$D$4:$D$8)</f>
        <v>35000000</v>
      </c>
      <c r="AE22" s="4" t="n">
        <f aca="false">SUMIF('Funding &amp; Runway'!$C$4:$C$8,Timeline!AE6,'Funding &amp; Runway'!$D$4:$D$8)</f>
        <v>0</v>
      </c>
      <c r="AG22" s="4" t="n">
        <f aca="false">SUMIF($C$3:$AE$3,AG$3,$C22:$AE22)</f>
        <v>1500000</v>
      </c>
      <c r="AH22" s="4" t="n">
        <f aca="false">SUMIF($C$3:$AE$3,AH$3,$C22:$AE22)</f>
        <v>6000000</v>
      </c>
      <c r="AI22" s="4" t="n">
        <f aca="false">SUMIF($C$3:$AE$3,AI$3,$C22:$AE22)</f>
        <v>28000000</v>
      </c>
      <c r="AJ22" s="4" t="n">
        <f aca="false">SUMIF($C$3:$AE$3,AJ$3,$C22:$AE22)</f>
        <v>0</v>
      </c>
      <c r="AK22" s="4" t="n">
        <f aca="false">SUMIF($C$3:$AE$3,AK$3,$C22:$AE22)</f>
        <v>35000000</v>
      </c>
      <c r="AL22" s="4" t="n">
        <f aca="false">SUMIF($C$3:$AE$3,AL$3,$C22:$AE22)</f>
        <v>0</v>
      </c>
    </row>
    <row r="23" customFormat="false" ht="15" hidden="false" customHeight="false" outlineLevel="0" collapsed="false">
      <c r="A23" s="13" t="s">
        <v>681</v>
      </c>
      <c r="B23" s="2"/>
      <c r="C23" s="29" t="n">
        <f aca="false">'Cash Flow'!C22</f>
        <v>1500000</v>
      </c>
      <c r="D23" s="29" t="n">
        <f aca="false">'Cash Flow'!D22</f>
        <v>0</v>
      </c>
      <c r="E23" s="29" t="n">
        <f aca="false">'Cash Flow'!E22</f>
        <v>0</v>
      </c>
      <c r="F23" s="29" t="n">
        <f aca="false">'Cash Flow'!F22</f>
        <v>0</v>
      </c>
      <c r="G23" s="29" t="n">
        <f aca="false">'Cash Flow'!G22</f>
        <v>0</v>
      </c>
      <c r="H23" s="29" t="n">
        <f aca="false">'Cash Flow'!H22</f>
        <v>0</v>
      </c>
      <c r="I23" s="29" t="n">
        <f aca="false">'Cash Flow'!I22</f>
        <v>0</v>
      </c>
      <c r="J23" s="29" t="n">
        <f aca="false">'Cash Flow'!J22</f>
        <v>0</v>
      </c>
      <c r="K23" s="29" t="n">
        <f aca="false">'Cash Flow'!K22</f>
        <v>0</v>
      </c>
      <c r="L23" s="29" t="n">
        <f aca="false">'Cash Flow'!L22</f>
        <v>6000000</v>
      </c>
      <c r="M23" s="29" t="n">
        <f aca="false">'Cash Flow'!M22</f>
        <v>0</v>
      </c>
      <c r="N23" s="29" t="n">
        <f aca="false">'Cash Flow'!N22</f>
        <v>0</v>
      </c>
      <c r="O23" s="29" t="n">
        <f aca="false">'Cash Flow'!O22</f>
        <v>0</v>
      </c>
      <c r="P23" s="29" t="n">
        <f aca="false">'Cash Flow'!P22</f>
        <v>0</v>
      </c>
      <c r="Q23" s="29" t="n">
        <f aca="false">'Cash Flow'!Q22</f>
        <v>0</v>
      </c>
      <c r="R23" s="29" t="n">
        <f aca="false">'Cash Flow'!R22</f>
        <v>0</v>
      </c>
      <c r="S23" s="29" t="n">
        <f aca="false">'Cash Flow'!S22</f>
        <v>3000000</v>
      </c>
      <c r="T23" s="29" t="n">
        <f aca="false">'Cash Flow'!T22</f>
        <v>0</v>
      </c>
      <c r="U23" s="29" t="n">
        <f aca="false">'Cash Flow'!U22</f>
        <v>0</v>
      </c>
      <c r="V23" s="29" t="n">
        <f aca="false">'Cash Flow'!V22</f>
        <v>0</v>
      </c>
      <c r="W23" s="29" t="n">
        <f aca="false">'Cash Flow'!W22</f>
        <v>0</v>
      </c>
      <c r="X23" s="29" t="n">
        <f aca="false">'Cash Flow'!X22</f>
        <v>0</v>
      </c>
      <c r="Y23" s="29" t="n">
        <f aca="false">'Cash Flow'!Y22</f>
        <v>25000000</v>
      </c>
      <c r="Z23" s="29" t="n">
        <f aca="false">'Cash Flow'!Z22</f>
        <v>0</v>
      </c>
      <c r="AA23" s="29" t="n">
        <f aca="false">'Cash Flow'!AA22</f>
        <v>0</v>
      </c>
      <c r="AB23" s="29" t="n">
        <f aca="false">'Cash Flow'!AB22</f>
        <v>0</v>
      </c>
      <c r="AC23" s="29" t="n">
        <f aca="false">'Cash Flow'!AC22</f>
        <v>0</v>
      </c>
      <c r="AD23" s="29" t="n">
        <f aca="false">'Cash Flow'!AD22</f>
        <v>35000000</v>
      </c>
      <c r="AE23" s="29" t="n">
        <f aca="false">'Cash Flow'!AE22</f>
        <v>0</v>
      </c>
      <c r="AG23" s="29" t="n">
        <f aca="false">SUMIF($C$3:$AE$3,AG$3,$C23:$AE23)</f>
        <v>1500000</v>
      </c>
      <c r="AH23" s="29" t="n">
        <f aca="false">SUMIF($C$3:$AE$3,AH$3,$C23:$AE23)</f>
        <v>6000000</v>
      </c>
      <c r="AI23" s="29" t="n">
        <f aca="false">SUMIF($C$3:$AE$3,AI$3,$C23:$AE23)</f>
        <v>28000000</v>
      </c>
      <c r="AJ23" s="29" t="n">
        <f aca="false">SUMIF($C$3:$AE$3,AJ$3,$C23:$AE23)</f>
        <v>0</v>
      </c>
      <c r="AK23" s="29" t="n">
        <f aca="false">SUMIF($C$3:$AE$3,AK$3,$C23:$AE23)</f>
        <v>35000000</v>
      </c>
      <c r="AL23" s="29" t="n">
        <f aca="false">SUMIF($C$3:$AE$3,AL$3,$C23:$AE23)</f>
        <v>0</v>
      </c>
    </row>
    <row r="25" customFormat="false" ht="15" hidden="false" customHeight="false" outlineLevel="0" collapsed="false">
      <c r="A25" s="8" t="s">
        <v>682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customFormat="false" ht="15" hidden="false" customHeight="false" outlineLevel="0" collapsed="false">
      <c r="A26" s="13" t="s">
        <v>683</v>
      </c>
      <c r="B26" s="2"/>
      <c r="C26" s="29" t="n">
        <f aca="false">'Cash Flow'!C15+'Cash Flow'!C19+'Cash Flow'!C23</f>
        <v>1424000</v>
      </c>
      <c r="D26" s="29" t="n">
        <f aca="false">'Cash Flow'!D15+'Cash Flow'!D19+'Cash Flow'!D23</f>
        <v>-118513.333333333</v>
      </c>
      <c r="E26" s="29" t="n">
        <f aca="false">'Cash Flow'!E15+'Cash Flow'!E19+'Cash Flow'!E23</f>
        <v>-160629.830555556</v>
      </c>
      <c r="F26" s="29" t="n">
        <f aca="false">'Cash Flow'!F15+'Cash Flow'!F19+'Cash Flow'!F23</f>
        <v>-200994.167561343</v>
      </c>
      <c r="G26" s="29" t="n">
        <f aca="false">'Cash Flow'!G15+'Cash Flow'!G19+'Cash Flow'!G23</f>
        <v>-169392.900550063</v>
      </c>
      <c r="H26" s="29" t="n">
        <f aca="false">'Cash Flow'!H15+'Cash Flow'!H19+'Cash Flow'!H23</f>
        <v>-171886.963176668</v>
      </c>
      <c r="I26" s="29" t="n">
        <f aca="false">'Cash Flow'!I15+'Cash Flow'!I19+'Cash Flow'!I23</f>
        <v>-182388.300152599</v>
      </c>
      <c r="J26" s="29" t="n">
        <f aca="false">'Cash Flow'!J15+'Cash Flow'!J19+'Cash Flow'!J23</f>
        <v>655150.481798043</v>
      </c>
      <c r="K26" s="29" t="n">
        <f aca="false">'Cash Flow'!K15+'Cash Flow'!K19+'Cash Flow'!K23</f>
        <v>-381067.488717003</v>
      </c>
      <c r="L26" s="29" t="n">
        <f aca="false">'Cash Flow'!L15+'Cash Flow'!L19+'Cash Flow'!L23</f>
        <v>5484278.85819091</v>
      </c>
      <c r="M26" s="29" t="n">
        <f aca="false">'Cash Flow'!M15+'Cash Flow'!M19+'Cash Flow'!M23</f>
        <v>-701196.854847704</v>
      </c>
      <c r="N26" s="29" t="n">
        <f aca="false">'Cash Flow'!N15+'Cash Flow'!N19+'Cash Flow'!N23</f>
        <v>-1160489.60642434</v>
      </c>
      <c r="O26" s="29" t="n">
        <f aca="false">'Cash Flow'!O15+'Cash Flow'!O19+'Cash Flow'!O23</f>
        <v>-887277.883428878</v>
      </c>
      <c r="P26" s="29" t="n">
        <f aca="false">'Cash Flow'!P15+'Cash Flow'!P19+'Cash Flow'!P23</f>
        <v>-873065.620995546</v>
      </c>
      <c r="Q26" s="29" t="n">
        <f aca="false">'Cash Flow'!Q15+'Cash Flow'!Q19+'Cash Flow'!Q23</f>
        <v>-553938.17479845</v>
      </c>
      <c r="R26" s="29" t="n">
        <f aca="false">'Cash Flow'!R15+'Cash Flow'!R19+'Cash Flow'!R23</f>
        <v>-586328.439653868</v>
      </c>
      <c r="S26" s="29" t="n">
        <f aca="false">'Cash Flow'!S15+'Cash Flow'!S19+'Cash Flow'!S23</f>
        <v>2416140.16061485</v>
      </c>
      <c r="T26" s="29" t="n">
        <f aca="false">'Cash Flow'!T15+'Cash Flow'!T19+'Cash Flow'!T23</f>
        <v>-507296.383877947</v>
      </c>
      <c r="U26" s="29" t="n">
        <f aca="false">'Cash Flow'!U15+'Cash Flow'!U19+'Cash Flow'!U23</f>
        <v>-509508.847962172</v>
      </c>
      <c r="V26" s="29" t="n">
        <f aca="false">'Cash Flow'!V15+'Cash Flow'!V19+'Cash Flow'!V23</f>
        <v>-466201.166746603</v>
      </c>
      <c r="W26" s="29" t="n">
        <f aca="false">'Cash Flow'!W15+'Cash Flow'!W19+'Cash Flow'!W23</f>
        <v>-544589.827342713</v>
      </c>
      <c r="X26" s="29" t="n">
        <f aca="false">'Cash Flow'!X15+'Cash Flow'!X19+'Cash Flow'!X23</f>
        <v>-448913.001572987</v>
      </c>
      <c r="Y26" s="29" t="n">
        <f aca="false">'Cash Flow'!Y15+'Cash Flow'!Y19+'Cash Flow'!Y23</f>
        <v>24384765.1977428</v>
      </c>
      <c r="Z26" s="29" t="n">
        <f aca="false">'Cash Flow'!Z15+'Cash Flow'!Z19+'Cash Flow'!Z23</f>
        <v>-781749.071229285</v>
      </c>
      <c r="AA26" s="29" t="n">
        <f aca="false">'Cash Flow'!AA15+'Cash Flow'!AA19+'Cash Flow'!AA23</f>
        <v>-859143.439400007</v>
      </c>
      <c r="AB26" s="29" t="n">
        <f aca="false">'Cash Flow'!AB15+'Cash Flow'!AB19+'Cash Flow'!AB23</f>
        <v>-849614.474595525</v>
      </c>
      <c r="AC26" s="29" t="n">
        <f aca="false">'Cash Flow'!AC15+'Cash Flow'!AC19+'Cash Flow'!AC23</f>
        <v>-8871643.67458089</v>
      </c>
      <c r="AD26" s="29" t="n">
        <f aca="false">'Cash Flow'!AD15+'Cash Flow'!AD19+'Cash Flow'!AD23</f>
        <v>24003802.7963354</v>
      </c>
      <c r="AE26" s="29" t="n">
        <f aca="false">'Cash Flow'!AE15+'Cash Flow'!AE19+'Cash Flow'!AE23</f>
        <v>-4955810.1549758</v>
      </c>
      <c r="AG26" s="29" t="n">
        <f aca="false">SUMIF($C$3:$AE$3,AG$3,$C26:$AE26)</f>
        <v>1305486.66666667</v>
      </c>
      <c r="AH26" s="29" t="n">
        <f aca="false">SUMIF($C$3:$AE$3,AH$3,$C26:$AE26)</f>
        <v>1251039.72357925</v>
      </c>
      <c r="AI26" s="29" t="n">
        <f aca="false">SUMIF($C$3:$AE$3,AI$3,$C26:$AE26)</f>
        <v>20693622.5311781</v>
      </c>
      <c r="AJ26" s="29" t="n">
        <f aca="false">SUMIF($C$3:$AE$3,AJ$3,$C26:$AE26)</f>
        <v>-8871643.67458089</v>
      </c>
      <c r="AK26" s="29" t="n">
        <f aca="false">SUMIF($C$3:$AE$3,AK$3,$C26:$AE26)</f>
        <v>24003802.7963354</v>
      </c>
      <c r="AL26" s="29" t="n">
        <f aca="false">SUMIF($C$3:$AE$3,AL$3,$C26:$AE26)</f>
        <v>-4955810.1549758</v>
      </c>
    </row>
    <row r="27" customFormat="false" ht="15" hidden="false" customHeight="false" outlineLevel="0" collapsed="false">
      <c r="A27" s="0" t="s">
        <v>684</v>
      </c>
      <c r="B27" s="2"/>
      <c r="C27" s="4" t="n">
        <f aca="false">opening_cash</f>
        <v>0</v>
      </c>
      <c r="D27" s="4" t="n">
        <f aca="false">C28</f>
        <v>1424000</v>
      </c>
      <c r="E27" s="4" t="n">
        <f aca="false">D28</f>
        <v>1305486.66666667</v>
      </c>
      <c r="F27" s="4" t="n">
        <f aca="false">E28</f>
        <v>1144856.83611111</v>
      </c>
      <c r="G27" s="4" t="n">
        <f aca="false">F28</f>
        <v>943862.668549769</v>
      </c>
      <c r="H27" s="4" t="n">
        <f aca="false">G28</f>
        <v>774469.767999705</v>
      </c>
      <c r="I27" s="4" t="n">
        <f aca="false">H28</f>
        <v>602582.804823038</v>
      </c>
      <c r="J27" s="4" t="n">
        <f aca="false">I28</f>
        <v>420194.504670439</v>
      </c>
      <c r="K27" s="4" t="n">
        <f aca="false">J28</f>
        <v>1075344.98646848</v>
      </c>
      <c r="L27" s="4" t="n">
        <f aca="false">K28</f>
        <v>694277.497751478</v>
      </c>
      <c r="M27" s="4" t="n">
        <f aca="false">L28</f>
        <v>6178556.35594238</v>
      </c>
      <c r="N27" s="4" t="n">
        <f aca="false">M28</f>
        <v>5477359.50109468</v>
      </c>
      <c r="O27" s="4" t="n">
        <f aca="false">N28</f>
        <v>4316869.89467034</v>
      </c>
      <c r="P27" s="4" t="n">
        <f aca="false">O28</f>
        <v>3429592.01124146</v>
      </c>
      <c r="Q27" s="4" t="n">
        <f aca="false">P28</f>
        <v>2556526.39024591</v>
      </c>
      <c r="R27" s="4" t="n">
        <f aca="false">Q28</f>
        <v>2002588.21544746</v>
      </c>
      <c r="S27" s="4" t="n">
        <f aca="false">R28</f>
        <v>1416259.77579359</v>
      </c>
      <c r="T27" s="4" t="n">
        <f aca="false">S28</f>
        <v>3832399.93640845</v>
      </c>
      <c r="U27" s="4" t="n">
        <f aca="false">T28</f>
        <v>3325103.5525305</v>
      </c>
      <c r="V27" s="4" t="n">
        <f aca="false">U28</f>
        <v>2815594.70456833</v>
      </c>
      <c r="W27" s="4" t="n">
        <f aca="false">V28</f>
        <v>2349393.53782173</v>
      </c>
      <c r="X27" s="4" t="n">
        <f aca="false">W28</f>
        <v>1804803.71047901</v>
      </c>
      <c r="Y27" s="4" t="n">
        <f aca="false">X28</f>
        <v>1355890.70890603</v>
      </c>
      <c r="Z27" s="4" t="n">
        <f aca="false">Y28</f>
        <v>25740655.9066488</v>
      </c>
      <c r="AA27" s="4" t="n">
        <f aca="false">Z28</f>
        <v>24958906.8354195</v>
      </c>
      <c r="AB27" s="4" t="n">
        <f aca="false">AA28</f>
        <v>24099763.3960195</v>
      </c>
      <c r="AC27" s="4" t="n">
        <f aca="false">AB28</f>
        <v>23250148.921424</v>
      </c>
      <c r="AD27" s="4" t="n">
        <f aca="false">AC28</f>
        <v>14378505.2468431</v>
      </c>
      <c r="AE27" s="4" t="n">
        <f aca="false">AD28</f>
        <v>38382308.0431785</v>
      </c>
      <c r="AG27" s="4" t="n">
        <f aca="false">C27</f>
        <v>0</v>
      </c>
      <c r="AH27" s="4" t="n">
        <f aca="false">E27</f>
        <v>1305486.66666667</v>
      </c>
      <c r="AI27" s="4" t="n">
        <f aca="false">Q27</f>
        <v>2556526.39024591</v>
      </c>
      <c r="AJ27" s="4" t="n">
        <f aca="false">AC27</f>
        <v>23250148.921424</v>
      </c>
      <c r="AK27" s="4" t="n">
        <f aca="false">AD27</f>
        <v>14378505.2468431</v>
      </c>
      <c r="AL27" s="4" t="n">
        <f aca="false">AE27</f>
        <v>38382308.0431785</v>
      </c>
    </row>
    <row r="28" customFormat="false" ht="15" hidden="false" customHeight="false" outlineLevel="0" collapsed="false">
      <c r="A28" s="13" t="s">
        <v>685</v>
      </c>
      <c r="B28" s="2"/>
      <c r="C28" s="29" t="n">
        <f aca="false">'Cash Flow'!C27+'Cash Flow'!C26</f>
        <v>1424000</v>
      </c>
      <c r="D28" s="29" t="n">
        <f aca="false">'Cash Flow'!D27+'Cash Flow'!D26</f>
        <v>1305486.66666667</v>
      </c>
      <c r="E28" s="29" t="n">
        <f aca="false">'Cash Flow'!E27+'Cash Flow'!E26</f>
        <v>1144856.83611111</v>
      </c>
      <c r="F28" s="29" t="n">
        <f aca="false">'Cash Flow'!F27+'Cash Flow'!F26</f>
        <v>943862.668549769</v>
      </c>
      <c r="G28" s="29" t="n">
        <f aca="false">'Cash Flow'!G27+'Cash Flow'!G26</f>
        <v>774469.767999705</v>
      </c>
      <c r="H28" s="29" t="n">
        <f aca="false">'Cash Flow'!H27+'Cash Flow'!H26</f>
        <v>602582.804823038</v>
      </c>
      <c r="I28" s="29" t="n">
        <f aca="false">'Cash Flow'!I27+'Cash Flow'!I26</f>
        <v>420194.504670439</v>
      </c>
      <c r="J28" s="29" t="n">
        <f aca="false">'Cash Flow'!J27+'Cash Flow'!J26</f>
        <v>1075344.98646848</v>
      </c>
      <c r="K28" s="29" t="n">
        <f aca="false">'Cash Flow'!K27+'Cash Flow'!K26</f>
        <v>694277.497751478</v>
      </c>
      <c r="L28" s="29" t="n">
        <f aca="false">'Cash Flow'!L27+'Cash Flow'!L26</f>
        <v>6178556.35594238</v>
      </c>
      <c r="M28" s="29" t="n">
        <f aca="false">'Cash Flow'!M27+'Cash Flow'!M26</f>
        <v>5477359.50109468</v>
      </c>
      <c r="N28" s="29" t="n">
        <f aca="false">'Cash Flow'!N27+'Cash Flow'!N26</f>
        <v>4316869.89467034</v>
      </c>
      <c r="O28" s="29" t="n">
        <f aca="false">'Cash Flow'!O27+'Cash Flow'!O26</f>
        <v>3429592.01124146</v>
      </c>
      <c r="P28" s="29" t="n">
        <f aca="false">'Cash Flow'!P27+'Cash Flow'!P26</f>
        <v>2556526.39024591</v>
      </c>
      <c r="Q28" s="29" t="n">
        <f aca="false">'Cash Flow'!Q27+'Cash Flow'!Q26</f>
        <v>2002588.21544746</v>
      </c>
      <c r="R28" s="29" t="n">
        <f aca="false">'Cash Flow'!R27+'Cash Flow'!R26</f>
        <v>1416259.77579359</v>
      </c>
      <c r="S28" s="29" t="n">
        <f aca="false">'Cash Flow'!S27+'Cash Flow'!S26</f>
        <v>3832399.93640845</v>
      </c>
      <c r="T28" s="29" t="n">
        <f aca="false">'Cash Flow'!T27+'Cash Flow'!T26</f>
        <v>3325103.5525305</v>
      </c>
      <c r="U28" s="29" t="n">
        <f aca="false">'Cash Flow'!U27+'Cash Flow'!U26</f>
        <v>2815594.70456833</v>
      </c>
      <c r="V28" s="29" t="n">
        <f aca="false">'Cash Flow'!V27+'Cash Flow'!V26</f>
        <v>2349393.53782173</v>
      </c>
      <c r="W28" s="29" t="n">
        <f aca="false">'Cash Flow'!W27+'Cash Flow'!W26</f>
        <v>1804803.71047901</v>
      </c>
      <c r="X28" s="29" t="n">
        <f aca="false">'Cash Flow'!X27+'Cash Flow'!X26</f>
        <v>1355890.70890603</v>
      </c>
      <c r="Y28" s="29" t="n">
        <f aca="false">'Cash Flow'!Y27+'Cash Flow'!Y26</f>
        <v>25740655.9066488</v>
      </c>
      <c r="Z28" s="29" t="n">
        <f aca="false">'Cash Flow'!Z27+'Cash Flow'!Z26</f>
        <v>24958906.8354195</v>
      </c>
      <c r="AA28" s="29" t="n">
        <f aca="false">'Cash Flow'!AA27+'Cash Flow'!AA26</f>
        <v>24099763.3960195</v>
      </c>
      <c r="AB28" s="29" t="n">
        <f aca="false">'Cash Flow'!AB27+'Cash Flow'!AB26</f>
        <v>23250148.921424</v>
      </c>
      <c r="AC28" s="29" t="n">
        <f aca="false">'Cash Flow'!AC27+'Cash Flow'!AC26</f>
        <v>14378505.2468431</v>
      </c>
      <c r="AD28" s="29" t="n">
        <f aca="false">'Cash Flow'!AD27+'Cash Flow'!AD26</f>
        <v>38382308.0431785</v>
      </c>
      <c r="AE28" s="29" t="n">
        <f aca="false">'Cash Flow'!AE27+'Cash Flow'!AE26</f>
        <v>33426497.8882027</v>
      </c>
      <c r="AG28" s="29" t="n">
        <f aca="false">D28</f>
        <v>1305486.66666667</v>
      </c>
      <c r="AH28" s="29" t="n">
        <f aca="false">P28</f>
        <v>2556526.39024591</v>
      </c>
      <c r="AI28" s="29" t="n">
        <f aca="false">AB28</f>
        <v>23250148.921424</v>
      </c>
      <c r="AJ28" s="29" t="n">
        <f aca="false">AC28</f>
        <v>14378505.2468431</v>
      </c>
      <c r="AK28" s="29" t="n">
        <f aca="false">AD28</f>
        <v>38382308.0431785</v>
      </c>
      <c r="AL28" s="29" t="n">
        <f aca="false">AE28</f>
        <v>33426497.8882027</v>
      </c>
    </row>
    <row r="29" customFormat="false" ht="15" hidden="false" customHeight="false" outlineLevel="0" collapsed="false">
      <c r="A29" s="0" t="s">
        <v>686</v>
      </c>
      <c r="B29" s="2"/>
      <c r="C29" s="4" t="n">
        <f aca="false">-('Cash Flow'!C15+'Cash Flow'!C19)</f>
        <v>76000</v>
      </c>
      <c r="D29" s="4" t="n">
        <f aca="false">-('Cash Flow'!D15+'Cash Flow'!D19)</f>
        <v>118513.333333333</v>
      </c>
      <c r="E29" s="4" t="n">
        <f aca="false">-('Cash Flow'!E15+'Cash Flow'!E19)</f>
        <v>160629.830555556</v>
      </c>
      <c r="F29" s="4" t="n">
        <f aca="false">-('Cash Flow'!F15+'Cash Flow'!F19)</f>
        <v>200994.167561343</v>
      </c>
      <c r="G29" s="4" t="n">
        <f aca="false">-('Cash Flow'!G15+'Cash Flow'!G19)</f>
        <v>169392.900550063</v>
      </c>
      <c r="H29" s="4" t="n">
        <f aca="false">-('Cash Flow'!H15+'Cash Flow'!H19)</f>
        <v>171886.963176668</v>
      </c>
      <c r="I29" s="4" t="n">
        <f aca="false">-('Cash Flow'!I15+'Cash Flow'!I19)</f>
        <v>182388.300152599</v>
      </c>
      <c r="J29" s="4" t="n">
        <f aca="false">-('Cash Flow'!J15+'Cash Flow'!J19)</f>
        <v>-655150.481798043</v>
      </c>
      <c r="K29" s="4" t="n">
        <f aca="false">-('Cash Flow'!K15+'Cash Flow'!K19)</f>
        <v>381067.488717003</v>
      </c>
      <c r="L29" s="4" t="n">
        <f aca="false">-('Cash Flow'!L15+'Cash Flow'!L19)</f>
        <v>515721.141809094</v>
      </c>
      <c r="M29" s="4" t="n">
        <f aca="false">-('Cash Flow'!M15+'Cash Flow'!M19)</f>
        <v>701196.854847704</v>
      </c>
      <c r="N29" s="4" t="n">
        <f aca="false">-('Cash Flow'!N15+'Cash Flow'!N19)</f>
        <v>1160489.60642434</v>
      </c>
      <c r="O29" s="4" t="n">
        <f aca="false">-('Cash Flow'!O15+'Cash Flow'!O19)</f>
        <v>887277.883428878</v>
      </c>
      <c r="P29" s="4" t="n">
        <f aca="false">-('Cash Flow'!P15+'Cash Flow'!P19)</f>
        <v>873065.620995546</v>
      </c>
      <c r="Q29" s="4" t="n">
        <f aca="false">-('Cash Flow'!Q15+'Cash Flow'!Q19)</f>
        <v>553938.17479845</v>
      </c>
      <c r="R29" s="4" t="n">
        <f aca="false">-('Cash Flow'!R15+'Cash Flow'!R19)</f>
        <v>586328.439653868</v>
      </c>
      <c r="S29" s="4" t="n">
        <f aca="false">-('Cash Flow'!S15+'Cash Flow'!S19)</f>
        <v>583859.839385146</v>
      </c>
      <c r="T29" s="4" t="n">
        <f aca="false">-('Cash Flow'!T15+'Cash Flow'!T19)</f>
        <v>507296.383877947</v>
      </c>
      <c r="U29" s="4" t="n">
        <f aca="false">-('Cash Flow'!U15+'Cash Flow'!U19)</f>
        <v>509508.847962172</v>
      </c>
      <c r="V29" s="4" t="n">
        <f aca="false">-('Cash Flow'!V15+'Cash Flow'!V19)</f>
        <v>466201.166746603</v>
      </c>
      <c r="W29" s="4" t="n">
        <f aca="false">-('Cash Flow'!W15+'Cash Flow'!W19)</f>
        <v>544589.827342713</v>
      </c>
      <c r="X29" s="4" t="n">
        <f aca="false">-('Cash Flow'!X15+'Cash Flow'!X19)</f>
        <v>448913.001572987</v>
      </c>
      <c r="Y29" s="4" t="n">
        <f aca="false">-('Cash Flow'!Y15+'Cash Flow'!Y19)</f>
        <v>615234.80225723</v>
      </c>
      <c r="Z29" s="4" t="n">
        <f aca="false">-('Cash Flow'!Z15+'Cash Flow'!Z19)</f>
        <v>781749.071229285</v>
      </c>
      <c r="AA29" s="4" t="n">
        <f aca="false">-('Cash Flow'!AA15+'Cash Flow'!AA19)</f>
        <v>859143.439400007</v>
      </c>
      <c r="AB29" s="4" t="n">
        <f aca="false">-('Cash Flow'!AB15+'Cash Flow'!AB19)</f>
        <v>849614.474595525</v>
      </c>
      <c r="AC29" s="4" t="n">
        <f aca="false">-('Cash Flow'!AC15+'Cash Flow'!AC19)</f>
        <v>8871643.67458089</v>
      </c>
      <c r="AD29" s="4" t="n">
        <f aca="false">-('Cash Flow'!AD15+'Cash Flow'!AD19)</f>
        <v>10996197.2036646</v>
      </c>
      <c r="AE29" s="4" t="n">
        <f aca="false">-('Cash Flow'!AE15+'Cash Flow'!AE19)</f>
        <v>4955810.1549758</v>
      </c>
      <c r="AG29" s="4" t="n">
        <f aca="false">SUMIF($C$3:$AE$3,AG$3,$C29:$AE29)</f>
        <v>194513.333333333</v>
      </c>
      <c r="AH29" s="4" t="n">
        <f aca="false">SUMIF($C$3:$AE$3,AH$3,$C29:$AE29)</f>
        <v>4748960.27642075</v>
      </c>
      <c r="AI29" s="4" t="n">
        <f aca="false">SUMIF($C$3:$AE$3,AI$3,$C29:$AE29)</f>
        <v>7306377.46882193</v>
      </c>
      <c r="AJ29" s="4" t="n">
        <f aca="false">SUMIF($C$3:$AE$3,AJ$3,$C29:$AE29)</f>
        <v>8871643.67458089</v>
      </c>
      <c r="AK29" s="4" t="n">
        <f aca="false">SUMIF($C$3:$AE$3,AK$3,$C29:$AE29)</f>
        <v>10996197.2036646</v>
      </c>
      <c r="AL29" s="4" t="n">
        <f aca="false">SUMIF($C$3:$AE$3,AL$3,$C29:$AE29)</f>
        <v>4955810.1549758</v>
      </c>
    </row>
    <row r="30" customFormat="false" ht="15" hidden="false" customHeight="false" outlineLevel="0" collapsed="false">
      <c r="A30" s="0" t="s">
        <v>687</v>
      </c>
      <c r="B30" s="2"/>
      <c r="C30" s="4" t="n">
        <f aca="false">SUM($C15:C15)+SUM($C19:C19)</f>
        <v>-76000</v>
      </c>
      <c r="D30" s="4" t="n">
        <f aca="false">SUM($C15:D15)+SUM($C19:D19)</f>
        <v>-194513.333333333</v>
      </c>
      <c r="E30" s="4" t="n">
        <f aca="false">SUM($C15:E15)+SUM($C19:E19)</f>
        <v>-355143.163888889</v>
      </c>
      <c r="F30" s="4" t="n">
        <f aca="false">SUM($C15:F15)+SUM($C19:F19)</f>
        <v>-556137.331450232</v>
      </c>
      <c r="G30" s="4" t="n">
        <f aca="false">SUM($C15:G15)+SUM($C19:G19)</f>
        <v>-725530.232000295</v>
      </c>
      <c r="H30" s="4" t="n">
        <f aca="false">SUM($C15:H15)+SUM($C19:H19)</f>
        <v>-897417.195176962</v>
      </c>
      <c r="I30" s="4" t="n">
        <f aca="false">SUM($C15:I15)+SUM($C19:I19)</f>
        <v>-1079805.49532956</v>
      </c>
      <c r="J30" s="4" t="n">
        <f aca="false">SUM($C15:J15)+SUM($C19:J19)</f>
        <v>-424655.013531519</v>
      </c>
      <c r="K30" s="4" t="n">
        <f aca="false">SUM($C15:K15)+SUM($C19:K19)</f>
        <v>-805722.502248522</v>
      </c>
      <c r="L30" s="4" t="n">
        <f aca="false">SUM($C15:L15)+SUM($C19:L19)</f>
        <v>-1321443.64405762</v>
      </c>
      <c r="M30" s="4" t="n">
        <f aca="false">SUM($C15:M15)+SUM($C19:M19)</f>
        <v>-2022640.49890532</v>
      </c>
      <c r="N30" s="4" t="n">
        <f aca="false">SUM($C15:N15)+SUM($C19:N19)</f>
        <v>-3183130.10532966</v>
      </c>
      <c r="O30" s="4" t="n">
        <f aca="false">SUM($C15:O15)+SUM($C19:O19)</f>
        <v>-4070407.98875854</v>
      </c>
      <c r="P30" s="4" t="n">
        <f aca="false">SUM($C15:P15)+SUM($C19:P19)</f>
        <v>-4943473.60975409</v>
      </c>
      <c r="Q30" s="4" t="n">
        <f aca="false">SUM($C15:Q15)+SUM($C19:Q19)</f>
        <v>-5497411.78455254</v>
      </c>
      <c r="R30" s="4" t="n">
        <f aca="false">SUM($C15:R15)+SUM($C19:R19)</f>
        <v>-6083740.22420641</v>
      </c>
      <c r="S30" s="4" t="n">
        <f aca="false">SUM($C15:S15)+SUM($C19:S19)</f>
        <v>-6667600.06359155</v>
      </c>
      <c r="T30" s="4" t="n">
        <f aca="false">SUM($C15:T15)+SUM($C19:T19)</f>
        <v>-7174896.4474695</v>
      </c>
      <c r="U30" s="4" t="n">
        <f aca="false">SUM($C15:U15)+SUM($C19:U19)</f>
        <v>-7684405.29543167</v>
      </c>
      <c r="V30" s="4" t="n">
        <f aca="false">SUM($C15:V15)+SUM($C19:V19)</f>
        <v>-8150606.46217827</v>
      </c>
      <c r="W30" s="4" t="n">
        <f aca="false">SUM($C15:W15)+SUM($C19:W19)</f>
        <v>-8695196.28952099</v>
      </c>
      <c r="X30" s="4" t="n">
        <f aca="false">SUM($C15:X15)+SUM($C19:X19)</f>
        <v>-9144109.29109397</v>
      </c>
      <c r="Y30" s="4" t="n">
        <f aca="false">SUM($C15:Y15)+SUM($C19:Y19)</f>
        <v>-9759344.0933512</v>
      </c>
      <c r="Z30" s="4" t="n">
        <f aca="false">SUM($C15:Z15)+SUM($C19:Z19)</f>
        <v>-10541093.1645805</v>
      </c>
      <c r="AA30" s="4" t="n">
        <f aca="false">SUM($C15:AA15)+SUM($C19:AA19)</f>
        <v>-11400236.6039805</v>
      </c>
      <c r="AB30" s="4" t="n">
        <f aca="false">SUM($C15:AB15)+SUM($C19:AB19)</f>
        <v>-12249851.078576</v>
      </c>
      <c r="AC30" s="4" t="n">
        <f aca="false">SUM($C15:AC15)+SUM($C19:AC19)</f>
        <v>-21121494.7531569</v>
      </c>
      <c r="AD30" s="4" t="n">
        <f aca="false">SUM($C15:AD15)+SUM($C19:AD19)</f>
        <v>-32117691.9568215</v>
      </c>
      <c r="AE30" s="4" t="n">
        <f aca="false">SUM($C15:AE15)+SUM($C19:AE19)</f>
        <v>-37073502.1117973</v>
      </c>
      <c r="AG30" s="4" t="n">
        <f aca="false">D30</f>
        <v>-194513.333333333</v>
      </c>
      <c r="AH30" s="4" t="n">
        <f aca="false">P30</f>
        <v>-4943473.60975409</v>
      </c>
      <c r="AI30" s="4" t="n">
        <f aca="false">AB30</f>
        <v>-12249851.078576</v>
      </c>
      <c r="AJ30" s="4" t="n">
        <f aca="false">AC30</f>
        <v>-21121494.7531569</v>
      </c>
      <c r="AK30" s="4" t="n">
        <f aca="false">AD30</f>
        <v>-32117691.9568215</v>
      </c>
      <c r="AL30" s="4" t="n">
        <f aca="false">AE30</f>
        <v>-37073502.1117973</v>
      </c>
    </row>
    <row r="31" customFormat="false" ht="15" hidden="false" customHeight="false" outlineLevel="0" collapsed="false">
      <c r="A31" s="0" t="s">
        <v>688</v>
      </c>
      <c r="B31" s="2"/>
      <c r="C31" s="4" t="n">
        <f aca="false">COUNTIF($C29:C29,"&lt;0")</f>
        <v>0</v>
      </c>
      <c r="D31" s="4" t="n">
        <f aca="false">COUNTIF($C29:D29,"&lt;0")</f>
        <v>0</v>
      </c>
      <c r="E31" s="4" t="n">
        <f aca="false">COUNTIF($C29:E29,"&lt;0")</f>
        <v>0</v>
      </c>
      <c r="F31" s="4" t="n">
        <f aca="false">COUNTIF($C29:F29,"&lt;0")</f>
        <v>0</v>
      </c>
      <c r="G31" s="4" t="n">
        <f aca="false">COUNTIF($C29:G29,"&lt;0")</f>
        <v>0</v>
      </c>
      <c r="H31" s="4" t="n">
        <f aca="false">COUNTIF($C29:H29,"&lt;0")</f>
        <v>0</v>
      </c>
      <c r="I31" s="4" t="n">
        <f aca="false">COUNTIF($C29:I29,"&lt;0")</f>
        <v>0</v>
      </c>
      <c r="J31" s="4" t="n">
        <f aca="false">COUNTIF($C29:J29,"&lt;0")</f>
        <v>1</v>
      </c>
      <c r="K31" s="4" t="n">
        <f aca="false">COUNTIF($C29:K29,"&lt;0")</f>
        <v>1</v>
      </c>
      <c r="L31" s="4" t="n">
        <f aca="false">COUNTIF($C29:L29,"&lt;0")</f>
        <v>1</v>
      </c>
      <c r="M31" s="4" t="n">
        <f aca="false">COUNTIF($C29:M29,"&lt;0")</f>
        <v>1</v>
      </c>
      <c r="N31" s="4" t="n">
        <f aca="false">COUNTIF($C29:N29,"&lt;0")</f>
        <v>1</v>
      </c>
      <c r="O31" s="4" t="n">
        <f aca="false">COUNTIF($C29:O29,"&lt;0")</f>
        <v>1</v>
      </c>
      <c r="P31" s="4" t="n">
        <f aca="false">COUNTIF($C29:P29,"&lt;0")</f>
        <v>1</v>
      </c>
      <c r="Q31" s="4" t="n">
        <f aca="false">COUNTIF($C29:Q29,"&lt;0")</f>
        <v>1</v>
      </c>
      <c r="R31" s="4" t="n">
        <f aca="false">COUNTIF($C29:R29,"&lt;0")</f>
        <v>1</v>
      </c>
      <c r="S31" s="4" t="n">
        <f aca="false">COUNTIF($C29:S29,"&lt;0")</f>
        <v>1</v>
      </c>
      <c r="T31" s="4" t="n">
        <f aca="false">COUNTIF($C29:T29,"&lt;0")</f>
        <v>1</v>
      </c>
      <c r="U31" s="4" t="n">
        <f aca="false">COUNTIF($C29:U29,"&lt;0")</f>
        <v>1</v>
      </c>
      <c r="V31" s="4" t="n">
        <f aca="false">COUNTIF($C29:V29,"&lt;0")</f>
        <v>1</v>
      </c>
      <c r="W31" s="4" t="n">
        <f aca="false">COUNTIF($C29:W29,"&lt;0")</f>
        <v>1</v>
      </c>
      <c r="X31" s="4" t="n">
        <f aca="false">COUNTIF($C29:X29,"&lt;0")</f>
        <v>1</v>
      </c>
      <c r="Y31" s="4" t="n">
        <f aca="false">COUNTIF($C29:Y29,"&lt;0")</f>
        <v>1</v>
      </c>
      <c r="Z31" s="4" t="n">
        <f aca="false">COUNTIF($C29:Z29,"&lt;0")</f>
        <v>1</v>
      </c>
      <c r="AA31" s="4" t="n">
        <f aca="false">COUNTIF($C29:AA29,"&lt;0")</f>
        <v>1</v>
      </c>
      <c r="AB31" s="4" t="n">
        <f aca="false">COUNTIF($C29:AB29,"&lt;0")</f>
        <v>1</v>
      </c>
      <c r="AC31" s="4" t="n">
        <f aca="false">COUNTIF($C29:AC29,"&lt;0")</f>
        <v>1</v>
      </c>
      <c r="AD31" s="4" t="n">
        <f aca="false">COUNTIF($C29:AD29,"&lt;0")</f>
        <v>1</v>
      </c>
      <c r="AE31" s="4" t="n">
        <f aca="false">COUNTIF($C29:AE29,"&lt;0")</f>
        <v>1</v>
      </c>
      <c r="AG31" s="4" t="n">
        <f aca="false">IF(AG29&lt;0,1,0)</f>
        <v>0</v>
      </c>
      <c r="AH31" s="4" t="n">
        <f aca="false">IF(AG29&lt;0,1,0)+IF(AH29&lt;0,1,0)</f>
        <v>0</v>
      </c>
      <c r="AI31" s="4" t="n">
        <f aca="false">IF(AG29&lt;0,1,0)+IF(AH29&lt;0,1,0)+IF(AI29&lt;0,1,0)</f>
        <v>0</v>
      </c>
      <c r="AJ31" s="4" t="n">
        <f aca="false">IF(AG29&lt;0,1,0)+IF(AH29&lt;0,1,0)+IF(AI29&lt;0,1,0)+IF(AJ29&lt;0,1,0)</f>
        <v>0</v>
      </c>
      <c r="AK31" s="4" t="n">
        <f aca="false">IF(AG29&lt;0,1,0)+IF(AH29&lt;0,1,0)+IF(AI29&lt;0,1,0)+IF(AJ29&lt;0,1,0)+IF(AK29&lt;0,1,0)</f>
        <v>0</v>
      </c>
      <c r="AL31" s="4" t="n">
        <f aca="false">IF(AG29&lt;0,1,0)+IF(AH29&lt;0,1,0)+IF(AI29&lt;0,1,0)+IF(AJ29&lt;0,1,0)+IF(AK29&lt;0,1,0)+IF(AL29&lt;0,1,0)</f>
        <v>0</v>
      </c>
    </row>
    <row r="32" customFormat="false" ht="15" hidden="false" customHeight="false" outlineLevel="0" collapsed="false">
      <c r="A32" s="0" t="s">
        <v>689</v>
      </c>
      <c r="B32" s="2"/>
      <c r="C32" s="4" t="n">
        <f aca="false">'Cash Flow'!C29/Timeline!C4</f>
        <v>76000</v>
      </c>
      <c r="D32" s="4" t="n">
        <f aca="false">'Cash Flow'!D29/Timeline!D4</f>
        <v>118513.333333333</v>
      </c>
      <c r="E32" s="4" t="n">
        <f aca="false">'Cash Flow'!E29/Timeline!E4</f>
        <v>160629.830555556</v>
      </c>
      <c r="F32" s="4" t="n">
        <f aca="false">'Cash Flow'!F29/Timeline!F4</f>
        <v>200994.167561343</v>
      </c>
      <c r="G32" s="4" t="n">
        <f aca="false">'Cash Flow'!G29/Timeline!G4</f>
        <v>169392.900550063</v>
      </c>
      <c r="H32" s="4" t="n">
        <f aca="false">'Cash Flow'!H29/Timeline!H4</f>
        <v>171886.963176668</v>
      </c>
      <c r="I32" s="4" t="n">
        <f aca="false">'Cash Flow'!I29/Timeline!I4</f>
        <v>182388.300152599</v>
      </c>
      <c r="J32" s="4" t="n">
        <f aca="false">'Cash Flow'!J29/Timeline!J4</f>
        <v>-655150.481798043</v>
      </c>
      <c r="K32" s="4" t="n">
        <f aca="false">'Cash Flow'!K29/Timeline!K4</f>
        <v>381067.488717003</v>
      </c>
      <c r="L32" s="4" t="n">
        <f aca="false">'Cash Flow'!L29/Timeline!L4</f>
        <v>515721.141809094</v>
      </c>
      <c r="M32" s="4" t="n">
        <f aca="false">'Cash Flow'!M29/Timeline!M4</f>
        <v>701196.854847704</v>
      </c>
      <c r="N32" s="4" t="n">
        <f aca="false">'Cash Flow'!N29/Timeline!N4</f>
        <v>1160489.60642434</v>
      </c>
      <c r="O32" s="4" t="n">
        <f aca="false">'Cash Flow'!O29/Timeline!O4</f>
        <v>887277.883428878</v>
      </c>
      <c r="P32" s="4" t="n">
        <f aca="false">'Cash Flow'!P29/Timeline!P4</f>
        <v>873065.620995546</v>
      </c>
      <c r="Q32" s="4" t="n">
        <f aca="false">'Cash Flow'!Q29/Timeline!Q4</f>
        <v>553938.17479845</v>
      </c>
      <c r="R32" s="4" t="n">
        <f aca="false">'Cash Flow'!R29/Timeline!R4</f>
        <v>586328.439653868</v>
      </c>
      <c r="S32" s="4" t="n">
        <f aca="false">'Cash Flow'!S29/Timeline!S4</f>
        <v>583859.839385146</v>
      </c>
      <c r="T32" s="4" t="n">
        <f aca="false">'Cash Flow'!T29/Timeline!T4</f>
        <v>507296.383877947</v>
      </c>
      <c r="U32" s="4" t="n">
        <f aca="false">'Cash Flow'!U29/Timeline!U4</f>
        <v>509508.847962172</v>
      </c>
      <c r="V32" s="4" t="n">
        <f aca="false">'Cash Flow'!V29/Timeline!V4</f>
        <v>466201.166746603</v>
      </c>
      <c r="W32" s="4" t="n">
        <f aca="false">'Cash Flow'!W29/Timeline!W4</f>
        <v>544589.827342713</v>
      </c>
      <c r="X32" s="4" t="n">
        <f aca="false">'Cash Flow'!X29/Timeline!X4</f>
        <v>448913.001572987</v>
      </c>
      <c r="Y32" s="4" t="n">
        <f aca="false">'Cash Flow'!Y29/Timeline!Y4</f>
        <v>615234.80225723</v>
      </c>
      <c r="Z32" s="4" t="n">
        <f aca="false">'Cash Flow'!Z29/Timeline!Z4</f>
        <v>781749.071229285</v>
      </c>
      <c r="AA32" s="4" t="n">
        <f aca="false">'Cash Flow'!AA29/Timeline!AA4</f>
        <v>859143.439400007</v>
      </c>
      <c r="AB32" s="4" t="n">
        <f aca="false">'Cash Flow'!AB29/Timeline!AB4</f>
        <v>849614.474595525</v>
      </c>
      <c r="AC32" s="4" t="n">
        <f aca="false">'Cash Flow'!AC29/Timeline!AC4</f>
        <v>739303.639548408</v>
      </c>
      <c r="AD32" s="4" t="n">
        <f aca="false">'Cash Flow'!AD29/Timeline!AD4</f>
        <v>916349.766972052</v>
      </c>
      <c r="AE32" s="4" t="n">
        <f aca="false">'Cash Flow'!AE29/Timeline!AE4</f>
        <v>412984.179581317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  <col collapsed="false" customWidth="true" hidden="false" outlineLevel="0" max="32" min="32" style="0" width="3"/>
    <col collapsed="false" customWidth="true" hidden="false" outlineLevel="0" max="38" min="33" style="0" width="13"/>
  </cols>
  <sheetData>
    <row r="1" customFormat="false" ht="17.35" hidden="false" customHeight="false" outlineLevel="0" collapsed="false">
      <c r="A1" s="6" t="s">
        <v>690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  <c r="AG2" s="26" t="s">
        <v>386</v>
      </c>
      <c r="AH2" s="26" t="s">
        <v>2</v>
      </c>
      <c r="AI2" s="26" t="s">
        <v>3</v>
      </c>
      <c r="AJ2" s="26" t="s">
        <v>4</v>
      </c>
      <c r="AK2" s="26" t="s">
        <v>5</v>
      </c>
      <c r="AL2" s="26" t="s">
        <v>6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  <c r="AG3" s="0" t="n">
        <v>2026</v>
      </c>
      <c r="AH3" s="0" t="n">
        <v>2027</v>
      </c>
      <c r="AI3" s="0" t="n">
        <v>2028</v>
      </c>
      <c r="AJ3" s="0" t="n">
        <v>2029</v>
      </c>
      <c r="AK3" s="0" t="n">
        <v>2030</v>
      </c>
      <c r="AL3" s="0" t="n"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8" customFormat="false" ht="15" hidden="false" customHeight="false" outlineLevel="0" collapsed="false">
      <c r="A8" s="0" t="s">
        <v>682</v>
      </c>
      <c r="B8" s="2"/>
      <c r="C8" s="4" t="n">
        <f aca="false">'Cash Flow'!C28</f>
        <v>1424000</v>
      </c>
      <c r="D8" s="4" t="n">
        <f aca="false">'Cash Flow'!D28</f>
        <v>1305486.66666667</v>
      </c>
      <c r="E8" s="4" t="n">
        <f aca="false">'Cash Flow'!E28</f>
        <v>1144856.83611111</v>
      </c>
      <c r="F8" s="4" t="n">
        <f aca="false">'Cash Flow'!F28</f>
        <v>943862.668549769</v>
      </c>
      <c r="G8" s="4" t="n">
        <f aca="false">'Cash Flow'!G28</f>
        <v>774469.767999705</v>
      </c>
      <c r="H8" s="4" t="n">
        <f aca="false">'Cash Flow'!H28</f>
        <v>602582.804823038</v>
      </c>
      <c r="I8" s="4" t="n">
        <f aca="false">'Cash Flow'!I28</f>
        <v>420194.504670439</v>
      </c>
      <c r="J8" s="4" t="n">
        <f aca="false">'Cash Flow'!J28</f>
        <v>1075344.98646848</v>
      </c>
      <c r="K8" s="4" t="n">
        <f aca="false">'Cash Flow'!K28</f>
        <v>694277.497751478</v>
      </c>
      <c r="L8" s="4" t="n">
        <f aca="false">'Cash Flow'!L28</f>
        <v>6178556.35594238</v>
      </c>
      <c r="M8" s="4" t="n">
        <f aca="false">'Cash Flow'!M28</f>
        <v>5477359.50109468</v>
      </c>
      <c r="N8" s="4" t="n">
        <f aca="false">'Cash Flow'!N28</f>
        <v>4316869.89467034</v>
      </c>
      <c r="O8" s="4" t="n">
        <f aca="false">'Cash Flow'!O28</f>
        <v>3429592.01124146</v>
      </c>
      <c r="P8" s="4" t="n">
        <f aca="false">'Cash Flow'!P28</f>
        <v>2556526.39024591</v>
      </c>
      <c r="Q8" s="4" t="n">
        <f aca="false">'Cash Flow'!Q28</f>
        <v>2002588.21544746</v>
      </c>
      <c r="R8" s="4" t="n">
        <f aca="false">'Cash Flow'!R28</f>
        <v>1416259.77579359</v>
      </c>
      <c r="S8" s="4" t="n">
        <f aca="false">'Cash Flow'!S28</f>
        <v>3832399.93640845</v>
      </c>
      <c r="T8" s="4" t="n">
        <f aca="false">'Cash Flow'!T28</f>
        <v>3325103.5525305</v>
      </c>
      <c r="U8" s="4" t="n">
        <f aca="false">'Cash Flow'!U28</f>
        <v>2815594.70456833</v>
      </c>
      <c r="V8" s="4" t="n">
        <f aca="false">'Cash Flow'!V28</f>
        <v>2349393.53782173</v>
      </c>
      <c r="W8" s="4" t="n">
        <f aca="false">'Cash Flow'!W28</f>
        <v>1804803.71047901</v>
      </c>
      <c r="X8" s="4" t="n">
        <f aca="false">'Cash Flow'!X28</f>
        <v>1355890.70890603</v>
      </c>
      <c r="Y8" s="4" t="n">
        <f aca="false">'Cash Flow'!Y28</f>
        <v>25740655.9066488</v>
      </c>
      <c r="Z8" s="4" t="n">
        <f aca="false">'Cash Flow'!Z28</f>
        <v>24958906.8354195</v>
      </c>
      <c r="AA8" s="4" t="n">
        <f aca="false">'Cash Flow'!AA28</f>
        <v>24099763.3960195</v>
      </c>
      <c r="AB8" s="4" t="n">
        <f aca="false">'Cash Flow'!AB28</f>
        <v>23250148.921424</v>
      </c>
      <c r="AC8" s="4" t="n">
        <f aca="false">'Cash Flow'!AC28</f>
        <v>14378505.2468431</v>
      </c>
      <c r="AD8" s="4" t="n">
        <f aca="false">'Cash Flow'!AD28</f>
        <v>38382308.0431785</v>
      </c>
      <c r="AE8" s="4" t="n">
        <f aca="false">'Cash Flow'!AE28</f>
        <v>33426497.8882027</v>
      </c>
      <c r="AG8" s="4" t="n">
        <f aca="false">D8</f>
        <v>1305486.66666667</v>
      </c>
      <c r="AH8" s="4" t="n">
        <f aca="false">P8</f>
        <v>2556526.39024591</v>
      </c>
      <c r="AI8" s="4" t="n">
        <f aca="false">AB8</f>
        <v>23250148.921424</v>
      </c>
      <c r="AJ8" s="4" t="n">
        <f aca="false">AC8</f>
        <v>14378505.2468431</v>
      </c>
      <c r="AK8" s="4" t="n">
        <f aca="false">AD8</f>
        <v>38382308.0431785</v>
      </c>
      <c r="AL8" s="4" t="n">
        <f aca="false">AE8</f>
        <v>33426497.8882027</v>
      </c>
    </row>
    <row r="9" customFormat="false" ht="15" hidden="false" customHeight="false" outlineLevel="0" collapsed="false">
      <c r="A9" s="0" t="s">
        <v>691</v>
      </c>
      <c r="B9" s="2"/>
      <c r="C9" s="4" t="n">
        <f aca="false">'Working Capital'!C15</f>
        <v>0</v>
      </c>
      <c r="D9" s="4" t="n">
        <f aca="false">'Working Capital'!D15</f>
        <v>0</v>
      </c>
      <c r="E9" s="4" t="n">
        <f aca="false">'Working Capital'!E15</f>
        <v>0</v>
      </c>
      <c r="F9" s="4" t="n">
        <f aca="false">'Working Capital'!F15</f>
        <v>0</v>
      </c>
      <c r="G9" s="4" t="n">
        <f aca="false">'Working Capital'!G15</f>
        <v>0</v>
      </c>
      <c r="H9" s="4" t="n">
        <f aca="false">'Working Capital'!H15</f>
        <v>0</v>
      </c>
      <c r="I9" s="4" t="n">
        <f aca="false">'Working Capital'!I15</f>
        <v>0</v>
      </c>
      <c r="J9" s="4" t="n">
        <f aca="false">'Working Capital'!J15</f>
        <v>0</v>
      </c>
      <c r="K9" s="4" t="n">
        <f aca="false">'Working Capital'!K15</f>
        <v>0</v>
      </c>
      <c r="L9" s="4" t="n">
        <f aca="false">'Working Capital'!L15</f>
        <v>0</v>
      </c>
      <c r="M9" s="4" t="n">
        <f aca="false">'Working Capital'!M15</f>
        <v>0</v>
      </c>
      <c r="N9" s="4" t="n">
        <f aca="false">'Working Capital'!N15</f>
        <v>0</v>
      </c>
      <c r="O9" s="4" t="n">
        <f aca="false">'Working Capital'!O15</f>
        <v>0</v>
      </c>
      <c r="P9" s="4" t="n">
        <f aca="false">'Working Capital'!P15</f>
        <v>0</v>
      </c>
      <c r="Q9" s="4" t="n">
        <f aca="false">'Working Capital'!Q15</f>
        <v>24496.2</v>
      </c>
      <c r="R9" s="4" t="n">
        <f aca="false">'Working Capital'!R15</f>
        <v>26455.896</v>
      </c>
      <c r="S9" s="4" t="n">
        <f aca="false">'Working Capital'!S15</f>
        <v>32334.984</v>
      </c>
      <c r="T9" s="4" t="n">
        <f aca="false">'Working Capital'!T15</f>
        <v>50606.136</v>
      </c>
      <c r="U9" s="4" t="n">
        <f aca="false">'Working Capital'!U15</f>
        <v>60480.504</v>
      </c>
      <c r="V9" s="4" t="n">
        <f aca="false">'Working Capital'!V15</f>
        <v>70354.872</v>
      </c>
      <c r="W9" s="4" t="n">
        <f aca="false">'Working Capital'!W15</f>
        <v>206744.58</v>
      </c>
      <c r="X9" s="4" t="n">
        <f aca="false">'Working Capital'!X15</f>
        <v>212916.06</v>
      </c>
      <c r="Y9" s="4" t="n">
        <f aca="false">'Working Capital'!Y15</f>
        <v>200573.1</v>
      </c>
      <c r="Z9" s="4" t="n">
        <f aca="false">'Working Capital'!Z15</f>
        <v>225259.02</v>
      </c>
      <c r="AA9" s="4" t="n">
        <f aca="false">'Working Capital'!AA15</f>
        <v>324002.7</v>
      </c>
      <c r="AB9" s="4" t="n">
        <f aca="false">'Working Capital'!AB15</f>
        <v>456689.52</v>
      </c>
      <c r="AC9" s="4" t="n">
        <f aca="false">'Working Capital'!AC15</f>
        <v>730432.701369863</v>
      </c>
      <c r="AD9" s="4" t="n">
        <f aca="false">'Working Capital'!AD15</f>
        <v>1775357.26027397</v>
      </c>
      <c r="AE9" s="4" t="n">
        <f aca="false">'Working Capital'!AE15</f>
        <v>2840571.61643836</v>
      </c>
      <c r="AG9" s="4" t="n">
        <f aca="false">D9</f>
        <v>0</v>
      </c>
      <c r="AH9" s="4" t="n">
        <f aca="false">P9</f>
        <v>0</v>
      </c>
      <c r="AI9" s="4" t="n">
        <f aca="false">AB9</f>
        <v>456689.52</v>
      </c>
      <c r="AJ9" s="4" t="n">
        <f aca="false">AC9</f>
        <v>730432.701369863</v>
      </c>
      <c r="AK9" s="4" t="n">
        <f aca="false">AD9</f>
        <v>1775357.26027397</v>
      </c>
      <c r="AL9" s="4" t="n">
        <f aca="false">AE9</f>
        <v>2840571.61643836</v>
      </c>
    </row>
    <row r="10" customFormat="false" ht="15" hidden="false" customHeight="false" outlineLevel="0" collapsed="false">
      <c r="A10" s="0" t="s">
        <v>692</v>
      </c>
      <c r="B10" s="2"/>
      <c r="C10" s="4" t="n">
        <f aca="false">'Working Capital'!C12</f>
        <v>0</v>
      </c>
      <c r="D10" s="4" t="n">
        <f aca="false">'Working Capital'!D12</f>
        <v>0</v>
      </c>
      <c r="E10" s="4" t="n">
        <f aca="false">'Working Capital'!E12</f>
        <v>0</v>
      </c>
      <c r="F10" s="4" t="n">
        <f aca="false">'Working Capital'!F12</f>
        <v>0</v>
      </c>
      <c r="G10" s="4" t="n">
        <f aca="false">'Working Capital'!G12</f>
        <v>0</v>
      </c>
      <c r="H10" s="4" t="n">
        <f aca="false">'Working Capital'!H12</f>
        <v>0</v>
      </c>
      <c r="I10" s="4" t="n">
        <f aca="false">'Working Capital'!I12</f>
        <v>0</v>
      </c>
      <c r="J10" s="4" t="n">
        <f aca="false">'Working Capital'!J12</f>
        <v>0</v>
      </c>
      <c r="K10" s="4" t="n">
        <f aca="false">'Working Capital'!K12</f>
        <v>0</v>
      </c>
      <c r="L10" s="4" t="n">
        <f aca="false">'Working Capital'!L12</f>
        <v>89292.20625</v>
      </c>
      <c r="M10" s="4" t="n">
        <f aca="false">'Working Capital'!M12</f>
        <v>155368.438875</v>
      </c>
      <c r="N10" s="4" t="n">
        <f aca="false">'Working Capital'!N12</f>
        <v>439421.43225</v>
      </c>
      <c r="O10" s="4" t="n">
        <f aca="false">'Working Capital'!O12</f>
        <v>388352.898705</v>
      </c>
      <c r="P10" s="4" t="n">
        <f aca="false">'Working Capital'!P12</f>
        <v>449734.17865</v>
      </c>
      <c r="Q10" s="4" t="n">
        <f aca="false">'Working Capital'!Q12</f>
        <v>515471.52042</v>
      </c>
      <c r="R10" s="4" t="n">
        <f aca="false">'Working Capital'!R12</f>
        <v>574969.7094</v>
      </c>
      <c r="S10" s="4" t="n">
        <f aca="false">'Working Capital'!S12</f>
        <v>606661.146</v>
      </c>
      <c r="T10" s="4" t="n">
        <f aca="false">'Working Capital'!T12</f>
        <v>709951.8727125</v>
      </c>
      <c r="U10" s="4" t="n">
        <f aca="false">'Working Capital'!U12</f>
        <v>797992.7382</v>
      </c>
      <c r="V10" s="4" t="n">
        <f aca="false">'Working Capital'!V12</f>
        <v>848658.9438</v>
      </c>
      <c r="W10" s="4" t="n">
        <f aca="false">'Working Capital'!W12</f>
        <v>873992.0466</v>
      </c>
      <c r="X10" s="4" t="n">
        <f aca="false">'Working Capital'!X12</f>
        <v>937324.8036</v>
      </c>
      <c r="Y10" s="4" t="n">
        <f aca="false">'Working Capital'!Y12</f>
        <v>1178780.9396625</v>
      </c>
      <c r="Z10" s="4" t="n">
        <f aca="false">'Working Capital'!Z12</f>
        <v>1627735.187475</v>
      </c>
      <c r="AA10" s="4" t="n">
        <f aca="false">'Working Capital'!AA12</f>
        <v>2061647.9055</v>
      </c>
      <c r="AB10" s="4" t="n">
        <f aca="false">'Working Capital'!AB12</f>
        <v>2373311.736</v>
      </c>
      <c r="AC10" s="4" t="n">
        <f aca="false">'Working Capital'!AC12</f>
        <v>2926000.77041096</v>
      </c>
      <c r="AD10" s="4" t="n">
        <f aca="false">'Working Capital'!AD12</f>
        <v>5616387.24657534</v>
      </c>
      <c r="AE10" s="4" t="n">
        <f aca="false">'Working Capital'!AE12</f>
        <v>8657455.4630137</v>
      </c>
      <c r="AG10" s="4" t="n">
        <f aca="false">D10</f>
        <v>0</v>
      </c>
      <c r="AH10" s="4" t="n">
        <f aca="false">P10</f>
        <v>449734.17865</v>
      </c>
      <c r="AI10" s="4" t="n">
        <f aca="false">AB10</f>
        <v>2373311.736</v>
      </c>
      <c r="AJ10" s="4" t="n">
        <f aca="false">AC10</f>
        <v>2926000.77041096</v>
      </c>
      <c r="AK10" s="4" t="n">
        <f aca="false">AD10</f>
        <v>5616387.24657534</v>
      </c>
      <c r="AL10" s="4" t="n">
        <f aca="false">AE10</f>
        <v>8657455.4630137</v>
      </c>
    </row>
    <row r="11" customFormat="false" ht="15" hidden="false" customHeight="false" outlineLevel="0" collapsed="false">
      <c r="A11" s="0" t="s">
        <v>693</v>
      </c>
      <c r="B11" s="2"/>
      <c r="C11" s="4" t="n">
        <f aca="false">'Working Capital'!C28</f>
        <v>0</v>
      </c>
      <c r="D11" s="4" t="n">
        <f aca="false">'Working Capital'!D28</f>
        <v>0</v>
      </c>
      <c r="E11" s="4" t="n">
        <f aca="false">'Working Capital'!E28</f>
        <v>0</v>
      </c>
      <c r="F11" s="4" t="n">
        <f aca="false">'Working Capital'!F28</f>
        <v>0</v>
      </c>
      <c r="G11" s="4" t="n">
        <f aca="false">'Working Capital'!G28</f>
        <v>0</v>
      </c>
      <c r="H11" s="4" t="n">
        <f aca="false">'Working Capital'!H28</f>
        <v>0</v>
      </c>
      <c r="I11" s="4" t="n">
        <f aca="false">'Working Capital'!I28</f>
        <v>0</v>
      </c>
      <c r="J11" s="4" t="n">
        <f aca="false">'Working Capital'!J28</f>
        <v>0</v>
      </c>
      <c r="K11" s="4" t="n">
        <f aca="false">'Working Capital'!K28</f>
        <v>180000</v>
      </c>
      <c r="L11" s="4" t="n">
        <f aca="false">'Working Capital'!L28</f>
        <v>360000</v>
      </c>
      <c r="M11" s="4" t="n">
        <f aca="false">'Working Capital'!M28</f>
        <v>349861.111111111</v>
      </c>
      <c r="N11" s="4" t="n">
        <f aca="false">'Working Capital'!N28</f>
        <v>669722.222222222</v>
      </c>
      <c r="O11" s="4" t="n">
        <f aca="false">'Working Capital'!O28</f>
        <v>650416.666666667</v>
      </c>
      <c r="P11" s="4" t="n">
        <f aca="false">'Working Capital'!P28</f>
        <v>631111.111111111</v>
      </c>
      <c r="Q11" s="4" t="n">
        <f aca="false">'Working Capital'!Q28</f>
        <v>611805.555555556</v>
      </c>
      <c r="R11" s="4" t="n">
        <f aca="false">'Working Capital'!R28</f>
        <v>592500</v>
      </c>
      <c r="S11" s="4" t="n">
        <f aca="false">'Working Capital'!S28</f>
        <v>573194.444444445</v>
      </c>
      <c r="T11" s="4" t="n">
        <f aca="false">'Working Capital'!T28</f>
        <v>558638.888888889</v>
      </c>
      <c r="U11" s="4" t="n">
        <f aca="false">'Working Capital'!U28</f>
        <v>543998.888888889</v>
      </c>
      <c r="V11" s="4" t="n">
        <f aca="false">'Working Capital'!V28</f>
        <v>529273.125</v>
      </c>
      <c r="W11" s="4" t="n">
        <f aca="false">'Working Capital'!W28</f>
        <v>514460.277777778</v>
      </c>
      <c r="X11" s="4" t="n">
        <f aca="false">'Working Capital'!X28</f>
        <v>499559.027777778</v>
      </c>
      <c r="Y11" s="4" t="n">
        <f aca="false">'Working Capital'!Y28</f>
        <v>484568.055555556</v>
      </c>
      <c r="Z11" s="4" t="n">
        <f aca="false">'Working Capital'!Z28</f>
        <v>474236.041666667</v>
      </c>
      <c r="AA11" s="4" t="n">
        <f aca="false">'Working Capital'!AA28</f>
        <v>463727.222222223</v>
      </c>
      <c r="AB11" s="4" t="n">
        <f aca="false">'Working Capital'!AB28</f>
        <v>553038.958333334</v>
      </c>
      <c r="AC11" s="4" t="n">
        <f aca="false">'Working Capital'!AC28</f>
        <v>850229.791666667</v>
      </c>
      <c r="AD11" s="4" t="n">
        <f aca="false">'Working Capital'!AD28</f>
        <v>1432847.29166667</v>
      </c>
      <c r="AE11" s="4" t="n">
        <f aca="false">'Working Capital'!AE28</f>
        <v>2089915.20833333</v>
      </c>
      <c r="AG11" s="4" t="n">
        <f aca="false">D11</f>
        <v>0</v>
      </c>
      <c r="AH11" s="4" t="n">
        <f aca="false">P11</f>
        <v>631111.111111111</v>
      </c>
      <c r="AI11" s="4" t="n">
        <f aca="false">AB11</f>
        <v>553038.958333334</v>
      </c>
      <c r="AJ11" s="4" t="n">
        <f aca="false">AC11</f>
        <v>850229.791666667</v>
      </c>
      <c r="AK11" s="4" t="n">
        <f aca="false">AD11</f>
        <v>1432847.29166667</v>
      </c>
      <c r="AL11" s="4" t="n">
        <f aca="false">AE11</f>
        <v>2089915.20833333</v>
      </c>
    </row>
    <row r="12" customFormat="false" ht="15" hidden="false" customHeight="false" outlineLevel="0" collapsed="false">
      <c r="A12" s="13" t="s">
        <v>694</v>
      </c>
      <c r="B12" s="2"/>
      <c r="C12" s="29" t="n">
        <f aca="false">'Balance Sheet'!C8+'Balance Sheet'!C9+'Balance Sheet'!C10+'Balance Sheet'!C11</f>
        <v>1424000</v>
      </c>
      <c r="D12" s="29" t="n">
        <f aca="false">'Balance Sheet'!D8+'Balance Sheet'!D9+'Balance Sheet'!D10+'Balance Sheet'!D11</f>
        <v>1305486.66666667</v>
      </c>
      <c r="E12" s="29" t="n">
        <f aca="false">'Balance Sheet'!E8+'Balance Sheet'!E9+'Balance Sheet'!E10+'Balance Sheet'!E11</f>
        <v>1144856.83611111</v>
      </c>
      <c r="F12" s="29" t="n">
        <f aca="false">'Balance Sheet'!F8+'Balance Sheet'!F9+'Balance Sheet'!F10+'Balance Sheet'!F11</f>
        <v>943862.668549769</v>
      </c>
      <c r="G12" s="29" t="n">
        <f aca="false">'Balance Sheet'!G8+'Balance Sheet'!G9+'Balance Sheet'!G10+'Balance Sheet'!G11</f>
        <v>774469.767999705</v>
      </c>
      <c r="H12" s="29" t="n">
        <f aca="false">'Balance Sheet'!H8+'Balance Sheet'!H9+'Balance Sheet'!H10+'Balance Sheet'!H11</f>
        <v>602582.804823038</v>
      </c>
      <c r="I12" s="29" t="n">
        <f aca="false">'Balance Sheet'!I8+'Balance Sheet'!I9+'Balance Sheet'!I10+'Balance Sheet'!I11</f>
        <v>420194.504670439</v>
      </c>
      <c r="J12" s="29" t="n">
        <f aca="false">'Balance Sheet'!J8+'Balance Sheet'!J9+'Balance Sheet'!J10+'Balance Sheet'!J11</f>
        <v>1075344.98646848</v>
      </c>
      <c r="K12" s="29" t="n">
        <f aca="false">'Balance Sheet'!K8+'Balance Sheet'!K9+'Balance Sheet'!K10+'Balance Sheet'!K11</f>
        <v>874277.497751478</v>
      </c>
      <c r="L12" s="29" t="n">
        <f aca="false">'Balance Sheet'!L8+'Balance Sheet'!L9+'Balance Sheet'!L10+'Balance Sheet'!L11</f>
        <v>6627848.56219238</v>
      </c>
      <c r="M12" s="29" t="n">
        <f aca="false">'Balance Sheet'!M8+'Balance Sheet'!M9+'Balance Sheet'!M10+'Balance Sheet'!M11</f>
        <v>5982589.05108079</v>
      </c>
      <c r="N12" s="29" t="n">
        <f aca="false">'Balance Sheet'!N8+'Balance Sheet'!N9+'Balance Sheet'!N10+'Balance Sheet'!N11</f>
        <v>5426013.54914256</v>
      </c>
      <c r="O12" s="29" t="n">
        <f aca="false">'Balance Sheet'!O8+'Balance Sheet'!O9+'Balance Sheet'!O10+'Balance Sheet'!O11</f>
        <v>4468361.57661312</v>
      </c>
      <c r="P12" s="29" t="n">
        <f aca="false">'Balance Sheet'!P8+'Balance Sheet'!P9+'Balance Sheet'!P10+'Balance Sheet'!P11</f>
        <v>3637371.68000702</v>
      </c>
      <c r="Q12" s="29" t="n">
        <f aca="false">'Balance Sheet'!Q8+'Balance Sheet'!Q9+'Balance Sheet'!Q10+'Balance Sheet'!Q11</f>
        <v>3154361.49142302</v>
      </c>
      <c r="R12" s="29" t="n">
        <f aca="false">'Balance Sheet'!R8+'Balance Sheet'!R9+'Balance Sheet'!R10+'Balance Sheet'!R11</f>
        <v>2610185.3811936</v>
      </c>
      <c r="S12" s="29" t="n">
        <f aca="false">'Balance Sheet'!S8+'Balance Sheet'!S9+'Balance Sheet'!S10+'Balance Sheet'!S11</f>
        <v>5044590.51085289</v>
      </c>
      <c r="T12" s="29" t="n">
        <f aca="false">'Balance Sheet'!T8+'Balance Sheet'!T9+'Balance Sheet'!T10+'Balance Sheet'!T11</f>
        <v>4644300.45013189</v>
      </c>
      <c r="U12" s="29" t="n">
        <f aca="false">'Balance Sheet'!U8+'Balance Sheet'!U9+'Balance Sheet'!U10+'Balance Sheet'!U11</f>
        <v>4218066.83565722</v>
      </c>
      <c r="V12" s="29" t="n">
        <f aca="false">'Balance Sheet'!V8+'Balance Sheet'!V9+'Balance Sheet'!V10+'Balance Sheet'!V11</f>
        <v>3797680.47862173</v>
      </c>
      <c r="W12" s="29" t="n">
        <f aca="false">'Balance Sheet'!W8+'Balance Sheet'!W9+'Balance Sheet'!W10+'Balance Sheet'!W11</f>
        <v>3400000.61485679</v>
      </c>
      <c r="X12" s="29" t="n">
        <f aca="false">'Balance Sheet'!X8+'Balance Sheet'!X9+'Balance Sheet'!X10+'Balance Sheet'!X11</f>
        <v>3005690.6002838</v>
      </c>
      <c r="Y12" s="29" t="n">
        <f aca="false">'Balance Sheet'!Y8+'Balance Sheet'!Y9+'Balance Sheet'!Y10+'Balance Sheet'!Y11</f>
        <v>27604578.0018669</v>
      </c>
      <c r="Z12" s="29" t="n">
        <f aca="false">'Balance Sheet'!Z8+'Balance Sheet'!Z9+'Balance Sheet'!Z10+'Balance Sheet'!Z11</f>
        <v>27286137.0845612</v>
      </c>
      <c r="AA12" s="29" t="n">
        <f aca="false">'Balance Sheet'!AA8+'Balance Sheet'!AA9+'Balance Sheet'!AA10+'Balance Sheet'!AA11</f>
        <v>26949141.2237417</v>
      </c>
      <c r="AB12" s="29" t="n">
        <f aca="false">'Balance Sheet'!AB8+'Balance Sheet'!AB9+'Balance Sheet'!AB10+'Balance Sheet'!AB11</f>
        <v>26633189.1357573</v>
      </c>
      <c r="AC12" s="29" t="n">
        <f aca="false">'Balance Sheet'!AC8+'Balance Sheet'!AC9+'Balance Sheet'!AC10+'Balance Sheet'!AC11</f>
        <v>18885168.5102906</v>
      </c>
      <c r="AD12" s="29" t="n">
        <f aca="false">'Balance Sheet'!AD8+'Balance Sheet'!AD9+'Balance Sheet'!AD10+'Balance Sheet'!AD11</f>
        <v>47206899.8416944</v>
      </c>
      <c r="AE12" s="29" t="n">
        <f aca="false">'Balance Sheet'!AE8+'Balance Sheet'!AE9+'Balance Sheet'!AE10+'Balance Sheet'!AE11</f>
        <v>47014440.1759881</v>
      </c>
      <c r="AG12" s="29" t="n">
        <f aca="false">D12</f>
        <v>1305486.66666667</v>
      </c>
      <c r="AH12" s="29" t="n">
        <f aca="false">P12</f>
        <v>3637371.68000702</v>
      </c>
      <c r="AI12" s="29" t="n">
        <f aca="false">AB12</f>
        <v>26633189.1357573</v>
      </c>
      <c r="AJ12" s="29" t="n">
        <f aca="false">AC12</f>
        <v>18885168.5102906</v>
      </c>
      <c r="AK12" s="29" t="n">
        <f aca="false">AD12</f>
        <v>47206899.8416944</v>
      </c>
      <c r="AL12" s="29" t="n">
        <f aca="false">AE12</f>
        <v>47014440.1759881</v>
      </c>
    </row>
    <row r="13" customFormat="false" ht="15" hidden="false" customHeight="false" outlineLevel="0" collapsed="false">
      <c r="A13" s="0" t="s">
        <v>695</v>
      </c>
      <c r="B13" s="2"/>
      <c r="C13" s="4" t="n">
        <f aca="false">'Working Capital'!C20</f>
        <v>0</v>
      </c>
      <c r="D13" s="4" t="n">
        <f aca="false">'Working Capital'!D20</f>
        <v>0</v>
      </c>
      <c r="E13" s="4" t="n">
        <f aca="false">'Working Capital'!E20</f>
        <v>0</v>
      </c>
      <c r="F13" s="4" t="n">
        <f aca="false">'Working Capital'!F20</f>
        <v>0</v>
      </c>
      <c r="G13" s="4" t="n">
        <f aca="false">'Working Capital'!G20</f>
        <v>0</v>
      </c>
      <c r="H13" s="4" t="n">
        <f aca="false">'Working Capital'!H20</f>
        <v>0</v>
      </c>
      <c r="I13" s="4" t="n">
        <f aca="false">'Working Capital'!I20</f>
        <v>0</v>
      </c>
      <c r="J13" s="4" t="n">
        <f aca="false">'Working Capital'!J20</f>
        <v>851920</v>
      </c>
      <c r="K13" s="4" t="n">
        <f aca="false">'Working Capital'!K20</f>
        <v>905165</v>
      </c>
      <c r="L13" s="4" t="n">
        <f aca="false">'Working Capital'!L20</f>
        <v>958410</v>
      </c>
      <c r="M13" s="4" t="n">
        <f aca="false">'Working Capital'!M20</f>
        <v>1011655</v>
      </c>
      <c r="N13" s="4" t="n">
        <f aca="false">'Working Capital'!N20</f>
        <v>1064900</v>
      </c>
      <c r="O13" s="4" t="n">
        <f aca="false">'Working Capital'!O20</f>
        <v>702475</v>
      </c>
      <c r="P13" s="4" t="n">
        <f aca="false">'Working Capital'!P20</f>
        <v>434280.5</v>
      </c>
      <c r="Q13" s="4" t="n">
        <f aca="false">'Working Capital'!Q20</f>
        <v>340050</v>
      </c>
      <c r="R13" s="4" t="n">
        <f aca="false">'Working Capital'!R20</f>
        <v>170025</v>
      </c>
      <c r="S13" s="4" t="n">
        <f aca="false">'Working Capital'!S20</f>
        <v>0</v>
      </c>
      <c r="T13" s="4" t="n">
        <f aca="false">'Working Capital'!T20</f>
        <v>0</v>
      </c>
      <c r="U13" s="4" t="n">
        <f aca="false">'Working Capital'!U20</f>
        <v>0</v>
      </c>
      <c r="V13" s="4" t="n">
        <f aca="false">'Working Capital'!V20</f>
        <v>0</v>
      </c>
      <c r="W13" s="4" t="n">
        <f aca="false">'Working Capital'!W20</f>
        <v>0</v>
      </c>
      <c r="X13" s="4" t="n">
        <f aca="false">'Working Capital'!X20</f>
        <v>0</v>
      </c>
      <c r="Y13" s="4" t="n">
        <f aca="false">'Working Capital'!Y20</f>
        <v>0</v>
      </c>
      <c r="Z13" s="4" t="n">
        <f aca="false">'Working Capital'!Z20</f>
        <v>0</v>
      </c>
      <c r="AA13" s="4" t="n">
        <f aca="false">'Working Capital'!AA20</f>
        <v>0</v>
      </c>
      <c r="AB13" s="4" t="n">
        <f aca="false">'Working Capital'!AB20</f>
        <v>0</v>
      </c>
      <c r="AC13" s="4" t="n">
        <f aca="false">'Working Capital'!AC20</f>
        <v>0</v>
      </c>
      <c r="AD13" s="4" t="n">
        <f aca="false">'Working Capital'!AD20</f>
        <v>0</v>
      </c>
      <c r="AE13" s="4" t="n">
        <f aca="false">'Working Capital'!AE20</f>
        <v>0</v>
      </c>
      <c r="AG13" s="4" t="n">
        <f aca="false">D13</f>
        <v>0</v>
      </c>
      <c r="AH13" s="4" t="n">
        <f aca="false">P13</f>
        <v>434280.5</v>
      </c>
      <c r="AI13" s="4" t="n">
        <f aca="false">AB13</f>
        <v>0</v>
      </c>
      <c r="AJ13" s="4" t="n">
        <f aca="false">AC13</f>
        <v>0</v>
      </c>
      <c r="AK13" s="4" t="n">
        <f aca="false">AD13</f>
        <v>0</v>
      </c>
      <c r="AL13" s="4" t="n">
        <f aca="false">AE13</f>
        <v>0</v>
      </c>
    </row>
    <row r="14" customFormat="false" ht="15" hidden="false" customHeight="false" outlineLevel="0" collapsed="false">
      <c r="A14" s="13" t="s">
        <v>696</v>
      </c>
      <c r="B14" s="2"/>
      <c r="C14" s="29" t="n">
        <f aca="false">'Balance Sheet'!C13</f>
        <v>0</v>
      </c>
      <c r="D14" s="29" t="n">
        <f aca="false">'Balance Sheet'!D13</f>
        <v>0</v>
      </c>
      <c r="E14" s="29" t="n">
        <f aca="false">'Balance Sheet'!E13</f>
        <v>0</v>
      </c>
      <c r="F14" s="29" t="n">
        <f aca="false">'Balance Sheet'!F13</f>
        <v>0</v>
      </c>
      <c r="G14" s="29" t="n">
        <f aca="false">'Balance Sheet'!G13</f>
        <v>0</v>
      </c>
      <c r="H14" s="29" t="n">
        <f aca="false">'Balance Sheet'!H13</f>
        <v>0</v>
      </c>
      <c r="I14" s="29" t="n">
        <f aca="false">'Balance Sheet'!I13</f>
        <v>0</v>
      </c>
      <c r="J14" s="29" t="n">
        <f aca="false">'Balance Sheet'!J13</f>
        <v>851920</v>
      </c>
      <c r="K14" s="29" t="n">
        <f aca="false">'Balance Sheet'!K13</f>
        <v>905165</v>
      </c>
      <c r="L14" s="29" t="n">
        <f aca="false">'Balance Sheet'!L13</f>
        <v>958410</v>
      </c>
      <c r="M14" s="29" t="n">
        <f aca="false">'Balance Sheet'!M13</f>
        <v>1011655</v>
      </c>
      <c r="N14" s="29" t="n">
        <f aca="false">'Balance Sheet'!N13</f>
        <v>1064900</v>
      </c>
      <c r="O14" s="29" t="n">
        <f aca="false">'Balance Sheet'!O13</f>
        <v>702475</v>
      </c>
      <c r="P14" s="29" t="n">
        <f aca="false">'Balance Sheet'!P13</f>
        <v>434280.5</v>
      </c>
      <c r="Q14" s="29" t="n">
        <f aca="false">'Balance Sheet'!Q13</f>
        <v>340050</v>
      </c>
      <c r="R14" s="29" t="n">
        <f aca="false">'Balance Sheet'!R13</f>
        <v>170025</v>
      </c>
      <c r="S14" s="29" t="n">
        <f aca="false">'Balance Sheet'!S13</f>
        <v>0</v>
      </c>
      <c r="T14" s="29" t="n">
        <f aca="false">'Balance Sheet'!T13</f>
        <v>0</v>
      </c>
      <c r="U14" s="29" t="n">
        <f aca="false">'Balance Sheet'!U13</f>
        <v>0</v>
      </c>
      <c r="V14" s="29" t="n">
        <f aca="false">'Balance Sheet'!V13</f>
        <v>0</v>
      </c>
      <c r="W14" s="29" t="n">
        <f aca="false">'Balance Sheet'!W13</f>
        <v>0</v>
      </c>
      <c r="X14" s="29" t="n">
        <f aca="false">'Balance Sheet'!X13</f>
        <v>0</v>
      </c>
      <c r="Y14" s="29" t="n">
        <f aca="false">'Balance Sheet'!Y13</f>
        <v>0</v>
      </c>
      <c r="Z14" s="29" t="n">
        <f aca="false">'Balance Sheet'!Z13</f>
        <v>0</v>
      </c>
      <c r="AA14" s="29" t="n">
        <f aca="false">'Balance Sheet'!AA13</f>
        <v>0</v>
      </c>
      <c r="AB14" s="29" t="n">
        <f aca="false">'Balance Sheet'!AB13</f>
        <v>0</v>
      </c>
      <c r="AC14" s="29" t="n">
        <f aca="false">'Balance Sheet'!AC13</f>
        <v>0</v>
      </c>
      <c r="AD14" s="29" t="n">
        <f aca="false">'Balance Sheet'!AD13</f>
        <v>0</v>
      </c>
      <c r="AE14" s="29" t="n">
        <f aca="false">'Balance Sheet'!AE13</f>
        <v>0</v>
      </c>
      <c r="AG14" s="29" t="n">
        <f aca="false">D14</f>
        <v>0</v>
      </c>
      <c r="AH14" s="29" t="n">
        <f aca="false">P14</f>
        <v>434280.5</v>
      </c>
      <c r="AI14" s="29" t="n">
        <f aca="false">AB14</f>
        <v>0</v>
      </c>
      <c r="AJ14" s="29" t="n">
        <f aca="false">AC14</f>
        <v>0</v>
      </c>
      <c r="AK14" s="29" t="n">
        <f aca="false">AD14</f>
        <v>0</v>
      </c>
      <c r="AL14" s="29" t="n">
        <f aca="false">AE14</f>
        <v>0</v>
      </c>
    </row>
    <row r="15" customFormat="false" ht="15" hidden="false" customHeight="false" outlineLevel="0" collapsed="false">
      <c r="A15" s="0" t="s">
        <v>697</v>
      </c>
      <c r="B15" s="2"/>
      <c r="C15" s="4" t="n">
        <f aca="false">opening_cash+SUM('Cash Flow'!$C22:C22)</f>
        <v>1500000</v>
      </c>
      <c r="D15" s="4" t="n">
        <f aca="false">opening_cash+SUM('Cash Flow'!$C22:D22)</f>
        <v>1500000</v>
      </c>
      <c r="E15" s="4" t="n">
        <f aca="false">opening_cash+SUM('Cash Flow'!$C22:E22)</f>
        <v>1500000</v>
      </c>
      <c r="F15" s="4" t="n">
        <f aca="false">opening_cash+SUM('Cash Flow'!$C22:F22)</f>
        <v>1500000</v>
      </c>
      <c r="G15" s="4" t="n">
        <f aca="false">opening_cash+SUM('Cash Flow'!$C22:G22)</f>
        <v>1500000</v>
      </c>
      <c r="H15" s="4" t="n">
        <f aca="false">opening_cash+SUM('Cash Flow'!$C22:H22)</f>
        <v>1500000</v>
      </c>
      <c r="I15" s="4" t="n">
        <f aca="false">opening_cash+SUM('Cash Flow'!$C22:I22)</f>
        <v>1500000</v>
      </c>
      <c r="J15" s="4" t="n">
        <f aca="false">opening_cash+SUM('Cash Flow'!$C22:J22)</f>
        <v>1500000</v>
      </c>
      <c r="K15" s="4" t="n">
        <f aca="false">opening_cash+SUM('Cash Flow'!$C22:K22)</f>
        <v>1500000</v>
      </c>
      <c r="L15" s="4" t="n">
        <f aca="false">opening_cash+SUM('Cash Flow'!$C22:L22)</f>
        <v>7500000</v>
      </c>
      <c r="M15" s="4" t="n">
        <f aca="false">opening_cash+SUM('Cash Flow'!$C22:M22)</f>
        <v>7500000</v>
      </c>
      <c r="N15" s="4" t="n">
        <f aca="false">opening_cash+SUM('Cash Flow'!$C22:N22)</f>
        <v>7500000</v>
      </c>
      <c r="O15" s="4" t="n">
        <f aca="false">opening_cash+SUM('Cash Flow'!$C22:O22)</f>
        <v>7500000</v>
      </c>
      <c r="P15" s="4" t="n">
        <f aca="false">opening_cash+SUM('Cash Flow'!$C22:P22)</f>
        <v>7500000</v>
      </c>
      <c r="Q15" s="4" t="n">
        <f aca="false">opening_cash+SUM('Cash Flow'!$C22:Q22)</f>
        <v>7500000</v>
      </c>
      <c r="R15" s="4" t="n">
        <f aca="false">opening_cash+SUM('Cash Flow'!$C22:R22)</f>
        <v>7500000</v>
      </c>
      <c r="S15" s="4" t="n">
        <f aca="false">opening_cash+SUM('Cash Flow'!$C22:S22)</f>
        <v>10500000</v>
      </c>
      <c r="T15" s="4" t="n">
        <f aca="false">opening_cash+SUM('Cash Flow'!$C22:T22)</f>
        <v>10500000</v>
      </c>
      <c r="U15" s="4" t="n">
        <f aca="false">opening_cash+SUM('Cash Flow'!$C22:U22)</f>
        <v>10500000</v>
      </c>
      <c r="V15" s="4" t="n">
        <f aca="false">opening_cash+SUM('Cash Flow'!$C22:V22)</f>
        <v>10500000</v>
      </c>
      <c r="W15" s="4" t="n">
        <f aca="false">opening_cash+SUM('Cash Flow'!$C22:W22)</f>
        <v>10500000</v>
      </c>
      <c r="X15" s="4" t="n">
        <f aca="false">opening_cash+SUM('Cash Flow'!$C22:X22)</f>
        <v>10500000</v>
      </c>
      <c r="Y15" s="4" t="n">
        <f aca="false">opening_cash+SUM('Cash Flow'!$C22:Y22)</f>
        <v>35500000</v>
      </c>
      <c r="Z15" s="4" t="n">
        <f aca="false">opening_cash+SUM('Cash Flow'!$C22:Z22)</f>
        <v>35500000</v>
      </c>
      <c r="AA15" s="4" t="n">
        <f aca="false">opening_cash+SUM('Cash Flow'!$C22:AA22)</f>
        <v>35500000</v>
      </c>
      <c r="AB15" s="4" t="n">
        <f aca="false">opening_cash+SUM('Cash Flow'!$C22:AB22)</f>
        <v>35500000</v>
      </c>
      <c r="AC15" s="4" t="n">
        <f aca="false">opening_cash+SUM('Cash Flow'!$C22:AC22)</f>
        <v>35500000</v>
      </c>
      <c r="AD15" s="4" t="n">
        <f aca="false">opening_cash+SUM('Cash Flow'!$C22:AD22)</f>
        <v>70500000</v>
      </c>
      <c r="AE15" s="4" t="n">
        <f aca="false">opening_cash+SUM('Cash Flow'!$C22:AE22)</f>
        <v>70500000</v>
      </c>
      <c r="AG15" s="4" t="n">
        <f aca="false">D15</f>
        <v>1500000</v>
      </c>
      <c r="AH15" s="4" t="n">
        <f aca="false">P15</f>
        <v>7500000</v>
      </c>
      <c r="AI15" s="4" t="n">
        <f aca="false">AB15</f>
        <v>35500000</v>
      </c>
      <c r="AJ15" s="4" t="n">
        <f aca="false">AC15</f>
        <v>35500000</v>
      </c>
      <c r="AK15" s="4" t="n">
        <f aca="false">AD15</f>
        <v>70500000</v>
      </c>
      <c r="AL15" s="4" t="n">
        <f aca="false">AE15</f>
        <v>70500000</v>
      </c>
    </row>
    <row r="16" customFormat="false" ht="15" hidden="false" customHeight="false" outlineLevel="0" collapsed="false">
      <c r="A16" s="0" t="s">
        <v>698</v>
      </c>
      <c r="B16" s="2"/>
      <c r="C16" s="4" t="n">
        <f aca="false">SUM('P&amp;L'!$C40:C40)</f>
        <v>-76000</v>
      </c>
      <c r="D16" s="4" t="n">
        <f aca="false">SUM('P&amp;L'!$C40:D40)</f>
        <v>-194513.333333333</v>
      </c>
      <c r="E16" s="4" t="n">
        <f aca="false">SUM('P&amp;L'!$C40:E40)</f>
        <v>-355143.163888889</v>
      </c>
      <c r="F16" s="4" t="n">
        <f aca="false">SUM('P&amp;L'!$C40:F40)</f>
        <v>-556137.331450232</v>
      </c>
      <c r="G16" s="4" t="n">
        <f aca="false">SUM('P&amp;L'!$C40:G40)</f>
        <v>-725530.232000295</v>
      </c>
      <c r="H16" s="4" t="n">
        <f aca="false">SUM('P&amp;L'!$C40:H40)</f>
        <v>-897417.195176962</v>
      </c>
      <c r="I16" s="4" t="n">
        <f aca="false">SUM('P&amp;L'!$C40:I40)</f>
        <v>-1079805.49532956</v>
      </c>
      <c r="J16" s="4" t="n">
        <f aca="false">SUM('P&amp;L'!$C40:J40)</f>
        <v>-1276575.01353152</v>
      </c>
      <c r="K16" s="4" t="n">
        <f aca="false">SUM('P&amp;L'!$C40:K40)</f>
        <v>-1530887.50224852</v>
      </c>
      <c r="L16" s="4" t="n">
        <f aca="false">SUM('P&amp;L'!$C40:L40)</f>
        <v>-1830561.43780762</v>
      </c>
      <c r="M16" s="4" t="n">
        <f aca="false">SUM('P&amp;L'!$C40:M40)</f>
        <v>-2529065.94891921</v>
      </c>
      <c r="N16" s="4" t="n">
        <f aca="false">SUM('P&amp;L'!$C40:N40)</f>
        <v>-3138886.45085744</v>
      </c>
      <c r="O16" s="4" t="n">
        <f aca="false">SUM('P&amp;L'!$C40:O40)</f>
        <v>-3734113.42338688</v>
      </c>
      <c r="P16" s="4" t="n">
        <f aca="false">SUM('P&amp;L'!$C40:P40)</f>
        <v>-4296908.81999298</v>
      </c>
      <c r="Q16" s="4" t="n">
        <f aca="false">SUM('P&amp;L'!$C40:Q40)</f>
        <v>-4685688.50857698</v>
      </c>
      <c r="R16" s="4" t="n">
        <f aca="false">SUM('P&amp;L'!$C40:R40)</f>
        <v>-5059839.61880641</v>
      </c>
      <c r="S16" s="4" t="n">
        <f aca="false">SUM('P&amp;L'!$C40:S40)</f>
        <v>-5455409.48914711</v>
      </c>
      <c r="T16" s="4" t="n">
        <f aca="false">SUM('P&amp;L'!$C40:T40)</f>
        <v>-5855699.54986811</v>
      </c>
      <c r="U16" s="4" t="n">
        <f aca="false">SUM('P&amp;L'!$C40:U40)</f>
        <v>-6281933.16434278</v>
      </c>
      <c r="V16" s="4" t="n">
        <f aca="false">SUM('P&amp;L'!$C40:V40)</f>
        <v>-6702319.52137828</v>
      </c>
      <c r="W16" s="4" t="n">
        <f aca="false">SUM('P&amp;L'!$C40:W40)</f>
        <v>-7099999.38514321</v>
      </c>
      <c r="X16" s="4" t="n">
        <f aca="false">SUM('P&amp;L'!$C40:X40)</f>
        <v>-7494309.3997162</v>
      </c>
      <c r="Y16" s="4" t="n">
        <f aca="false">SUM('P&amp;L'!$C40:Y40)</f>
        <v>-7895421.99813315</v>
      </c>
      <c r="Z16" s="4" t="n">
        <f aca="false">SUM('P&amp;L'!$C40:Z40)</f>
        <v>-8213862.91543882</v>
      </c>
      <c r="AA16" s="4" t="n">
        <f aca="false">SUM('P&amp;L'!$C40:AA40)</f>
        <v>-8550858.77625828</v>
      </c>
      <c r="AB16" s="4" t="n">
        <f aca="false">SUM('P&amp;L'!$C40:AB40)</f>
        <v>-8866810.86424269</v>
      </c>
      <c r="AC16" s="4" t="n">
        <f aca="false">SUM('P&amp;L'!$C40:AC40)</f>
        <v>-16614831.4897094</v>
      </c>
      <c r="AD16" s="4" t="n">
        <f aca="false">SUM('P&amp;L'!$C40:AD40)</f>
        <v>-23293100.1583056</v>
      </c>
      <c r="AE16" s="4" t="n">
        <f aca="false">SUM('P&amp;L'!$C40:AE40)</f>
        <v>-23485559.8240119</v>
      </c>
      <c r="AG16" s="4" t="n">
        <f aca="false">D16</f>
        <v>-194513.333333333</v>
      </c>
      <c r="AH16" s="4" t="n">
        <f aca="false">P16</f>
        <v>-4296908.81999298</v>
      </c>
      <c r="AI16" s="4" t="n">
        <f aca="false">AB16</f>
        <v>-8866810.86424269</v>
      </c>
      <c r="AJ16" s="4" t="n">
        <f aca="false">AC16</f>
        <v>-16614831.4897094</v>
      </c>
      <c r="AK16" s="4" t="n">
        <f aca="false">AD16</f>
        <v>-23293100.1583056</v>
      </c>
      <c r="AL16" s="4" t="n">
        <f aca="false">AE16</f>
        <v>-23485559.8240119</v>
      </c>
    </row>
    <row r="17" customFormat="false" ht="15" hidden="false" customHeight="false" outlineLevel="0" collapsed="false">
      <c r="A17" s="13" t="s">
        <v>699</v>
      </c>
      <c r="B17" s="2"/>
      <c r="C17" s="29" t="n">
        <f aca="false">'Balance Sheet'!C15+'Balance Sheet'!C16</f>
        <v>1424000</v>
      </c>
      <c r="D17" s="29" t="n">
        <f aca="false">'Balance Sheet'!D15+'Balance Sheet'!D16</f>
        <v>1305486.66666667</v>
      </c>
      <c r="E17" s="29" t="n">
        <f aca="false">'Balance Sheet'!E15+'Balance Sheet'!E16</f>
        <v>1144856.83611111</v>
      </c>
      <c r="F17" s="29" t="n">
        <f aca="false">'Balance Sheet'!F15+'Balance Sheet'!F16</f>
        <v>943862.668549769</v>
      </c>
      <c r="G17" s="29" t="n">
        <f aca="false">'Balance Sheet'!G15+'Balance Sheet'!G16</f>
        <v>774469.767999705</v>
      </c>
      <c r="H17" s="29" t="n">
        <f aca="false">'Balance Sheet'!H15+'Balance Sheet'!H16</f>
        <v>602582.804823038</v>
      </c>
      <c r="I17" s="29" t="n">
        <f aca="false">'Balance Sheet'!I15+'Balance Sheet'!I16</f>
        <v>420194.504670438</v>
      </c>
      <c r="J17" s="29" t="n">
        <f aca="false">'Balance Sheet'!J15+'Balance Sheet'!J16</f>
        <v>223424.986468481</v>
      </c>
      <c r="K17" s="29" t="n">
        <f aca="false">'Balance Sheet'!K15+'Balance Sheet'!K16</f>
        <v>-30887.5022485224</v>
      </c>
      <c r="L17" s="29" t="n">
        <f aca="false">'Balance Sheet'!L15+'Balance Sheet'!L16</f>
        <v>5669438.56219238</v>
      </c>
      <c r="M17" s="29" t="n">
        <f aca="false">'Balance Sheet'!M15+'Balance Sheet'!M16</f>
        <v>4970934.05108079</v>
      </c>
      <c r="N17" s="29" t="n">
        <f aca="false">'Balance Sheet'!N15+'Balance Sheet'!N16</f>
        <v>4361113.54914256</v>
      </c>
      <c r="O17" s="29" t="n">
        <f aca="false">'Balance Sheet'!O15+'Balance Sheet'!O16</f>
        <v>3765886.57661312</v>
      </c>
      <c r="P17" s="29" t="n">
        <f aca="false">'Balance Sheet'!P15+'Balance Sheet'!P16</f>
        <v>3203091.18000702</v>
      </c>
      <c r="Q17" s="29" t="n">
        <f aca="false">'Balance Sheet'!Q15+'Balance Sheet'!Q16</f>
        <v>2814311.49142302</v>
      </c>
      <c r="R17" s="29" t="n">
        <f aca="false">'Balance Sheet'!R15+'Balance Sheet'!R16</f>
        <v>2440160.38119359</v>
      </c>
      <c r="S17" s="29" t="n">
        <f aca="false">'Balance Sheet'!S15+'Balance Sheet'!S16</f>
        <v>5044590.51085289</v>
      </c>
      <c r="T17" s="29" t="n">
        <f aca="false">'Balance Sheet'!T15+'Balance Sheet'!T16</f>
        <v>4644300.45013189</v>
      </c>
      <c r="U17" s="29" t="n">
        <f aca="false">'Balance Sheet'!U15+'Balance Sheet'!U16</f>
        <v>4218066.83565722</v>
      </c>
      <c r="V17" s="29" t="n">
        <f aca="false">'Balance Sheet'!V15+'Balance Sheet'!V16</f>
        <v>3797680.47862173</v>
      </c>
      <c r="W17" s="29" t="n">
        <f aca="false">'Balance Sheet'!W15+'Balance Sheet'!W16</f>
        <v>3400000.61485679</v>
      </c>
      <c r="X17" s="29" t="n">
        <f aca="false">'Balance Sheet'!X15+'Balance Sheet'!X16</f>
        <v>3005690.6002838</v>
      </c>
      <c r="Y17" s="29" t="n">
        <f aca="false">'Balance Sheet'!Y15+'Balance Sheet'!Y16</f>
        <v>27604578.0018669</v>
      </c>
      <c r="Z17" s="29" t="n">
        <f aca="false">'Balance Sheet'!Z15+'Balance Sheet'!Z16</f>
        <v>27286137.0845612</v>
      </c>
      <c r="AA17" s="29" t="n">
        <f aca="false">'Balance Sheet'!AA15+'Balance Sheet'!AA16</f>
        <v>26949141.2237417</v>
      </c>
      <c r="AB17" s="29" t="n">
        <f aca="false">'Balance Sheet'!AB15+'Balance Sheet'!AB16</f>
        <v>26633189.1357573</v>
      </c>
      <c r="AC17" s="29" t="n">
        <f aca="false">'Balance Sheet'!AC15+'Balance Sheet'!AC16</f>
        <v>18885168.5102906</v>
      </c>
      <c r="AD17" s="29" t="n">
        <f aca="false">'Balance Sheet'!AD15+'Balance Sheet'!AD16</f>
        <v>47206899.8416944</v>
      </c>
      <c r="AE17" s="29" t="n">
        <f aca="false">'Balance Sheet'!AE15+'Balance Sheet'!AE16</f>
        <v>47014440.1759881</v>
      </c>
      <c r="AG17" s="29" t="n">
        <f aca="false">D17</f>
        <v>1305486.66666667</v>
      </c>
      <c r="AH17" s="29" t="n">
        <f aca="false">P17</f>
        <v>3203091.18000702</v>
      </c>
      <c r="AI17" s="29" t="n">
        <f aca="false">AB17</f>
        <v>26633189.1357573</v>
      </c>
      <c r="AJ17" s="29" t="n">
        <f aca="false">AC17</f>
        <v>18885168.5102906</v>
      </c>
      <c r="AK17" s="29" t="n">
        <f aca="false">AD17</f>
        <v>47206899.8416944</v>
      </c>
      <c r="AL17" s="29" t="n">
        <f aca="false">AE17</f>
        <v>47014440.1759881</v>
      </c>
    </row>
    <row r="18" customFormat="false" ht="15" hidden="false" customHeight="false" outlineLevel="0" collapsed="false">
      <c r="A18" s="13" t="s">
        <v>700</v>
      </c>
      <c r="B18" s="2"/>
      <c r="C18" s="29" t="n">
        <f aca="false">'Balance Sheet'!C14+'Balance Sheet'!C17</f>
        <v>1424000</v>
      </c>
      <c r="D18" s="29" t="n">
        <f aca="false">'Balance Sheet'!D14+'Balance Sheet'!D17</f>
        <v>1305486.66666667</v>
      </c>
      <c r="E18" s="29" t="n">
        <f aca="false">'Balance Sheet'!E14+'Balance Sheet'!E17</f>
        <v>1144856.83611111</v>
      </c>
      <c r="F18" s="29" t="n">
        <f aca="false">'Balance Sheet'!F14+'Balance Sheet'!F17</f>
        <v>943862.668549769</v>
      </c>
      <c r="G18" s="29" t="n">
        <f aca="false">'Balance Sheet'!G14+'Balance Sheet'!G17</f>
        <v>774469.767999705</v>
      </c>
      <c r="H18" s="29" t="n">
        <f aca="false">'Balance Sheet'!H14+'Balance Sheet'!H17</f>
        <v>602582.804823038</v>
      </c>
      <c r="I18" s="29" t="n">
        <f aca="false">'Balance Sheet'!I14+'Balance Sheet'!I17</f>
        <v>420194.504670438</v>
      </c>
      <c r="J18" s="29" t="n">
        <f aca="false">'Balance Sheet'!J14+'Balance Sheet'!J17</f>
        <v>1075344.98646848</v>
      </c>
      <c r="K18" s="29" t="n">
        <f aca="false">'Balance Sheet'!K14+'Balance Sheet'!K17</f>
        <v>874277.497751478</v>
      </c>
      <c r="L18" s="29" t="n">
        <f aca="false">'Balance Sheet'!L14+'Balance Sheet'!L17</f>
        <v>6627848.56219238</v>
      </c>
      <c r="M18" s="29" t="n">
        <f aca="false">'Balance Sheet'!M14+'Balance Sheet'!M17</f>
        <v>5982589.05108079</v>
      </c>
      <c r="N18" s="29" t="n">
        <f aca="false">'Balance Sheet'!N14+'Balance Sheet'!N17</f>
        <v>5426013.54914256</v>
      </c>
      <c r="O18" s="29" t="n">
        <f aca="false">'Balance Sheet'!O14+'Balance Sheet'!O17</f>
        <v>4468361.57661312</v>
      </c>
      <c r="P18" s="29" t="n">
        <f aca="false">'Balance Sheet'!P14+'Balance Sheet'!P17</f>
        <v>3637371.68000702</v>
      </c>
      <c r="Q18" s="29" t="n">
        <f aca="false">'Balance Sheet'!Q14+'Balance Sheet'!Q17</f>
        <v>3154361.49142302</v>
      </c>
      <c r="R18" s="29" t="n">
        <f aca="false">'Balance Sheet'!R14+'Balance Sheet'!R17</f>
        <v>2610185.38119359</v>
      </c>
      <c r="S18" s="29" t="n">
        <f aca="false">'Balance Sheet'!S14+'Balance Sheet'!S17</f>
        <v>5044590.51085289</v>
      </c>
      <c r="T18" s="29" t="n">
        <f aca="false">'Balance Sheet'!T14+'Balance Sheet'!T17</f>
        <v>4644300.45013189</v>
      </c>
      <c r="U18" s="29" t="n">
        <f aca="false">'Balance Sheet'!U14+'Balance Sheet'!U17</f>
        <v>4218066.83565722</v>
      </c>
      <c r="V18" s="29" t="n">
        <f aca="false">'Balance Sheet'!V14+'Balance Sheet'!V17</f>
        <v>3797680.47862173</v>
      </c>
      <c r="W18" s="29" t="n">
        <f aca="false">'Balance Sheet'!W14+'Balance Sheet'!W17</f>
        <v>3400000.61485679</v>
      </c>
      <c r="X18" s="29" t="n">
        <f aca="false">'Balance Sheet'!X14+'Balance Sheet'!X17</f>
        <v>3005690.6002838</v>
      </c>
      <c r="Y18" s="29" t="n">
        <f aca="false">'Balance Sheet'!Y14+'Balance Sheet'!Y17</f>
        <v>27604578.0018669</v>
      </c>
      <c r="Z18" s="29" t="n">
        <f aca="false">'Balance Sheet'!Z14+'Balance Sheet'!Z17</f>
        <v>27286137.0845612</v>
      </c>
      <c r="AA18" s="29" t="n">
        <f aca="false">'Balance Sheet'!AA14+'Balance Sheet'!AA17</f>
        <v>26949141.2237417</v>
      </c>
      <c r="AB18" s="29" t="n">
        <f aca="false">'Balance Sheet'!AB14+'Balance Sheet'!AB17</f>
        <v>26633189.1357573</v>
      </c>
      <c r="AC18" s="29" t="n">
        <f aca="false">'Balance Sheet'!AC14+'Balance Sheet'!AC17</f>
        <v>18885168.5102906</v>
      </c>
      <c r="AD18" s="29" t="n">
        <f aca="false">'Balance Sheet'!AD14+'Balance Sheet'!AD17</f>
        <v>47206899.8416944</v>
      </c>
      <c r="AE18" s="29" t="n">
        <f aca="false">'Balance Sheet'!AE14+'Balance Sheet'!AE17</f>
        <v>47014440.1759881</v>
      </c>
      <c r="AG18" s="29" t="n">
        <f aca="false">D18</f>
        <v>1305486.66666667</v>
      </c>
      <c r="AH18" s="29" t="n">
        <f aca="false">P18</f>
        <v>3637371.68000702</v>
      </c>
      <c r="AI18" s="29" t="n">
        <f aca="false">AB18</f>
        <v>26633189.1357573</v>
      </c>
      <c r="AJ18" s="29" t="n">
        <f aca="false">AC18</f>
        <v>18885168.5102906</v>
      </c>
      <c r="AK18" s="29" t="n">
        <f aca="false">AD18</f>
        <v>47206899.8416944</v>
      </c>
      <c r="AL18" s="29" t="n">
        <f aca="false">AE18</f>
        <v>47014440.1759881</v>
      </c>
    </row>
    <row r="19" customFormat="false" ht="15" hidden="false" customHeight="false" outlineLevel="0" collapsed="false">
      <c r="A19" s="0" t="s">
        <v>701</v>
      </c>
      <c r="B19" s="2"/>
      <c r="C19" s="28" t="n">
        <f aca="false">ROUND('Balance Sheet'!C12-'Balance Sheet'!C18,2)</f>
        <v>0</v>
      </c>
      <c r="D19" s="28" t="n">
        <f aca="false">ROUND('Balance Sheet'!D12-'Balance Sheet'!D18,2)</f>
        <v>0</v>
      </c>
      <c r="E19" s="28" t="n">
        <f aca="false">ROUND('Balance Sheet'!E12-'Balance Sheet'!E18,2)</f>
        <v>0</v>
      </c>
      <c r="F19" s="28" t="n">
        <f aca="false">ROUND('Balance Sheet'!F12-'Balance Sheet'!F18,2)</f>
        <v>0</v>
      </c>
      <c r="G19" s="28" t="n">
        <f aca="false">ROUND('Balance Sheet'!G12-'Balance Sheet'!G18,2)</f>
        <v>0</v>
      </c>
      <c r="H19" s="28" t="n">
        <f aca="false">ROUND('Balance Sheet'!H12-'Balance Sheet'!H18,2)</f>
        <v>0</v>
      </c>
      <c r="I19" s="28" t="n">
        <f aca="false">ROUND('Balance Sheet'!I12-'Balance Sheet'!I18,2)</f>
        <v>0</v>
      </c>
      <c r="J19" s="28" t="n">
        <f aca="false">ROUND('Balance Sheet'!J12-'Balance Sheet'!J18,2)</f>
        <v>0</v>
      </c>
      <c r="K19" s="28" t="n">
        <f aca="false">ROUND('Balance Sheet'!K12-'Balance Sheet'!K18,2)</f>
        <v>0</v>
      </c>
      <c r="L19" s="28" t="n">
        <f aca="false">ROUND('Balance Sheet'!L12-'Balance Sheet'!L18,2)</f>
        <v>0</v>
      </c>
      <c r="M19" s="28" t="n">
        <f aca="false">ROUND('Balance Sheet'!M12-'Balance Sheet'!M18,2)</f>
        <v>0</v>
      </c>
      <c r="N19" s="28" t="n">
        <f aca="false">ROUND('Balance Sheet'!N12-'Balance Sheet'!N18,2)</f>
        <v>0</v>
      </c>
      <c r="O19" s="28" t="n">
        <f aca="false">ROUND('Balance Sheet'!O12-'Balance Sheet'!O18,2)</f>
        <v>0</v>
      </c>
      <c r="P19" s="28" t="n">
        <f aca="false">ROUND('Balance Sheet'!P12-'Balance Sheet'!P18,2)</f>
        <v>0</v>
      </c>
      <c r="Q19" s="28" t="n">
        <f aca="false">ROUND('Balance Sheet'!Q12-'Balance Sheet'!Q18,2)</f>
        <v>0</v>
      </c>
      <c r="R19" s="28" t="n">
        <f aca="false">ROUND('Balance Sheet'!R12-'Balance Sheet'!R18,2)</f>
        <v>0</v>
      </c>
      <c r="S19" s="28" t="n">
        <f aca="false">ROUND('Balance Sheet'!S12-'Balance Sheet'!S18,2)</f>
        <v>0</v>
      </c>
      <c r="T19" s="28" t="n">
        <f aca="false">ROUND('Balance Sheet'!T12-'Balance Sheet'!T18,2)</f>
        <v>0</v>
      </c>
      <c r="U19" s="28" t="n">
        <f aca="false">ROUND('Balance Sheet'!U12-'Balance Sheet'!U18,2)</f>
        <v>0</v>
      </c>
      <c r="V19" s="28" t="n">
        <f aca="false">ROUND('Balance Sheet'!V12-'Balance Sheet'!V18,2)</f>
        <v>0</v>
      </c>
      <c r="W19" s="28" t="n">
        <f aca="false">ROUND('Balance Sheet'!W12-'Balance Sheet'!W18,2)</f>
        <v>0</v>
      </c>
      <c r="X19" s="28" t="n">
        <f aca="false">ROUND('Balance Sheet'!X12-'Balance Sheet'!X18,2)</f>
        <v>0</v>
      </c>
      <c r="Y19" s="28" t="n">
        <f aca="false">ROUND('Balance Sheet'!Y12-'Balance Sheet'!Y18,2)</f>
        <v>0</v>
      </c>
      <c r="Z19" s="28" t="n">
        <f aca="false">ROUND('Balance Sheet'!Z12-'Balance Sheet'!Z18,2)</f>
        <v>0</v>
      </c>
      <c r="AA19" s="28" t="n">
        <f aca="false">ROUND('Balance Sheet'!AA12-'Balance Sheet'!AA18,2)</f>
        <v>0</v>
      </c>
      <c r="AB19" s="28" t="n">
        <f aca="false">ROUND('Balance Sheet'!AB12-'Balance Sheet'!AB18,2)</f>
        <v>0</v>
      </c>
      <c r="AC19" s="28" t="n">
        <f aca="false">ROUND('Balance Sheet'!AC12-'Balance Sheet'!AC18,2)</f>
        <v>0</v>
      </c>
      <c r="AD19" s="28" t="n">
        <f aca="false">ROUND('Balance Sheet'!AD12-'Balance Sheet'!AD18,2)</f>
        <v>0</v>
      </c>
      <c r="AE19" s="28" t="n">
        <f aca="false">ROUND('Balance Sheet'!AE12-'Balance Sheet'!AE18,2)</f>
        <v>0</v>
      </c>
      <c r="AG19" s="28" t="n">
        <f aca="false">D19</f>
        <v>0</v>
      </c>
      <c r="AH19" s="28" t="n">
        <f aca="false">P19</f>
        <v>0</v>
      </c>
      <c r="AI19" s="28" t="n">
        <f aca="false">AB19</f>
        <v>0</v>
      </c>
      <c r="AJ19" s="28" t="n">
        <f aca="false">AC19</f>
        <v>0</v>
      </c>
      <c r="AK19" s="28" t="n">
        <f aca="false">AD19</f>
        <v>0</v>
      </c>
      <c r="AL19" s="28" t="n">
        <f aca="false">AE19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6" t="s">
        <v>702</v>
      </c>
    </row>
    <row r="3" customFormat="false" ht="15" hidden="false" customHeight="false" outlineLevel="0" collapsed="false">
      <c r="A3" s="3" t="s">
        <v>703</v>
      </c>
      <c r="B3" s="3" t="s">
        <v>704</v>
      </c>
      <c r="C3" s="3" t="s">
        <v>390</v>
      </c>
      <c r="D3" s="3" t="s">
        <v>705</v>
      </c>
      <c r="E3" s="3" t="s">
        <v>706</v>
      </c>
      <c r="F3" s="3" t="s">
        <v>707</v>
      </c>
      <c r="G3" s="3" t="s">
        <v>434</v>
      </c>
    </row>
    <row r="4" customFormat="false" ht="15" hidden="false" customHeight="false" outlineLevel="0" collapsed="false">
      <c r="A4" s="13" t="s">
        <v>708</v>
      </c>
      <c r="B4" s="24" t="s">
        <v>709</v>
      </c>
      <c r="C4" s="37" t="n">
        <v>202611</v>
      </c>
      <c r="D4" s="10" t="n">
        <v>1500000</v>
      </c>
      <c r="E4" s="22" t="n">
        <f aca="false">F4-D4</f>
        <v>10500000</v>
      </c>
      <c r="F4" s="10" t="n">
        <v>12000000</v>
      </c>
      <c r="G4" s="2" t="s">
        <v>710</v>
      </c>
    </row>
    <row r="5" customFormat="false" ht="15" hidden="false" customHeight="false" outlineLevel="0" collapsed="false">
      <c r="A5" s="13" t="s">
        <v>711</v>
      </c>
      <c r="B5" s="24" t="s">
        <v>712</v>
      </c>
      <c r="C5" s="37" t="n">
        <v>202708</v>
      </c>
      <c r="D5" s="10" t="n">
        <v>6000000</v>
      </c>
      <c r="E5" s="10" t="n">
        <v>22000000</v>
      </c>
      <c r="F5" s="22" t="n">
        <f aca="false">E5+D5</f>
        <v>28000000</v>
      </c>
      <c r="G5" s="2" t="s">
        <v>713</v>
      </c>
    </row>
    <row r="6" customFormat="false" ht="15" hidden="false" customHeight="false" outlineLevel="0" collapsed="false">
      <c r="A6" s="13" t="s">
        <v>714</v>
      </c>
      <c r="B6" s="24" t="s">
        <v>715</v>
      </c>
      <c r="C6" s="37" t="n">
        <v>202803</v>
      </c>
      <c r="D6" s="10" t="n">
        <v>3000000</v>
      </c>
      <c r="E6" s="10" t="n">
        <v>36000000</v>
      </c>
      <c r="F6" s="22" t="n">
        <f aca="false">E6+D6</f>
        <v>39000000</v>
      </c>
      <c r="G6" s="2" t="s">
        <v>716</v>
      </c>
    </row>
    <row r="7" customFormat="false" ht="15" hidden="false" customHeight="false" outlineLevel="0" collapsed="false">
      <c r="A7" s="13" t="s">
        <v>717</v>
      </c>
      <c r="B7" s="24" t="s">
        <v>718</v>
      </c>
      <c r="C7" s="37" t="n">
        <v>202809</v>
      </c>
      <c r="D7" s="10" t="n">
        <v>25000000</v>
      </c>
      <c r="E7" s="10" t="n">
        <v>80000000</v>
      </c>
      <c r="F7" s="22" t="n">
        <f aca="false">E7+D7</f>
        <v>105000000</v>
      </c>
      <c r="G7" s="2" t="s">
        <v>719</v>
      </c>
    </row>
    <row r="8" customFormat="false" ht="15" hidden="false" customHeight="false" outlineLevel="0" collapsed="false">
      <c r="A8" s="13" t="s">
        <v>720</v>
      </c>
      <c r="B8" s="24" t="s">
        <v>718</v>
      </c>
      <c r="C8" s="37" t="n">
        <v>2030</v>
      </c>
      <c r="D8" s="10" t="n">
        <v>35000000</v>
      </c>
      <c r="E8" s="10" t="n">
        <v>250000000</v>
      </c>
      <c r="F8" s="22" t="n">
        <f aca="false">E8+D8</f>
        <v>285000000</v>
      </c>
      <c r="G8" s="2" t="s">
        <v>721</v>
      </c>
    </row>
    <row r="11" customFormat="false" ht="17.35" hidden="false" customHeight="false" outlineLevel="0" collapsed="false">
      <c r="A11" s="6" t="s">
        <v>722</v>
      </c>
    </row>
    <row r="12" customFormat="false" ht="15" hidden="false" customHeight="false" outlineLevel="0" collapsed="false">
      <c r="A12" s="0" t="s">
        <v>30</v>
      </c>
      <c r="D12" s="7" t="n">
        <f aca="false">SUM(D4:D8)</f>
        <v>70500000</v>
      </c>
    </row>
    <row r="13" customFormat="false" ht="15" hidden="false" customHeight="false" outlineLevel="0" collapsed="false">
      <c r="A13" s="0" t="s">
        <v>31</v>
      </c>
      <c r="D13" s="7" t="n">
        <f aca="false">MIN('Cash Flow'!$C$28:$AB$28)</f>
        <v>420194.504670439</v>
      </c>
    </row>
    <row r="14" customFormat="false" ht="15" hidden="false" customHeight="false" outlineLevel="0" collapsed="false">
      <c r="A14" s="0" t="s">
        <v>32</v>
      </c>
      <c r="D14" s="13" t="str">
        <f aca="false">INDEX(Timeline!$C$2:$AB$2,MATCH(MIN('Cash Flow'!$C$28:$AB$28),'Cash Flow'!$C$28:$AB$28,0))</f>
        <v>May-27</v>
      </c>
    </row>
    <row r="15" customFormat="false" ht="15" hidden="false" customHeight="false" outlineLevel="0" collapsed="false">
      <c r="A15" s="0" t="s">
        <v>39</v>
      </c>
      <c r="D15" s="7" t="n">
        <f aca="false">MIN('Cash Flow'!$C$28:$AE$28)</f>
        <v>420194.504670439</v>
      </c>
    </row>
    <row r="16" customFormat="false" ht="15" hidden="false" customHeight="false" outlineLevel="0" collapsed="false">
      <c r="A16" s="0" t="s">
        <v>33</v>
      </c>
      <c r="D16" s="7" t="n">
        <f aca="false">MAX('Cash Flow'!$C$29:$AB$29)</f>
        <v>1160489.60642434</v>
      </c>
    </row>
    <row r="17" customFormat="false" ht="15" hidden="false" customHeight="false" outlineLevel="0" collapsed="false">
      <c r="A17" s="0" t="s">
        <v>34</v>
      </c>
      <c r="D17" s="13" t="str">
        <f aca="false">INDEX(Timeline!$C$2:$AB$2,MATCH(MAX('Cash Flow'!$C$29:$AB$29),'Cash Flow'!$C$29:$AB$29,0))</f>
        <v>Oct-27</v>
      </c>
    </row>
    <row r="18" customFormat="false" ht="15" hidden="false" customHeight="false" outlineLevel="0" collapsed="false">
      <c r="A18" s="0" t="s">
        <v>35</v>
      </c>
      <c r="D18" s="7" t="n">
        <f aca="false">MAX('Cash Flow'!$C$32:$AE$32)</f>
        <v>1160489.60642434</v>
      </c>
    </row>
    <row r="19" customFormat="false" ht="15" hidden="false" customHeight="false" outlineLevel="0" collapsed="false">
      <c r="A19" s="0" t="s">
        <v>723</v>
      </c>
      <c r="D19" s="7" t="n">
        <f aca="false">-MIN(0,MIN('Cash Flow'!$C$30:$AE$30))</f>
        <v>37073502.1117973</v>
      </c>
    </row>
    <row r="20" customFormat="false" ht="15" hidden="false" customHeight="false" outlineLevel="0" collapsed="false">
      <c r="A20" s="0" t="s">
        <v>36</v>
      </c>
      <c r="D20" s="13" t="str">
        <f aca="false">IFERROR(INDEX(Timeline!$C$2:$AB$2,MATCH(1,'P&amp;L'!$C$41:$AB$41,0)),"after Dec-28")</f>
        <v>after Dec-28</v>
      </c>
    </row>
    <row r="21" customFormat="false" ht="15" hidden="false" customHeight="false" outlineLevel="0" collapsed="false">
      <c r="A21" s="0" t="s">
        <v>37</v>
      </c>
      <c r="D21" s="13" t="str">
        <f aca="false">IFERROR(INDEX('P&amp;L'!$AG$3:$AL$3,MATCH(1,'P&amp;L'!$AG$41:$AL$41,0)),"after FY31")</f>
        <v>after FY31</v>
      </c>
    </row>
    <row r="22" customFormat="false" ht="15" hidden="false" customHeight="false" outlineLevel="0" collapsed="false">
      <c r="A22" s="0" t="s">
        <v>38</v>
      </c>
      <c r="D22" s="13" t="str">
        <f aca="false">IFERROR(INDEX('Cash Flow'!$AG$3:$AL$3,MATCH(1,'Cash Flow'!$AG$31:$AL$31,0)),"after FY31")</f>
        <v>after FY31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1" min="3" style="0" width="11.5"/>
  </cols>
  <sheetData>
    <row r="1" customFormat="false" ht="17.35" hidden="false" customHeight="false" outlineLevel="0" collapsed="false">
      <c r="A1" s="6" t="s">
        <v>724</v>
      </c>
    </row>
    <row r="2" customFormat="false" ht="15" hidden="false" customHeight="false" outlineLevel="0" collapsed="false">
      <c r="A2" s="13" t="s">
        <v>291</v>
      </c>
      <c r="C2" s="25" t="str">
        <f aca="false">Timeline!C2</f>
        <v>Nov-26</v>
      </c>
      <c r="D2" s="25" t="str">
        <f aca="false">Timeline!D2</f>
        <v>Dec-26</v>
      </c>
      <c r="E2" s="25" t="str">
        <f aca="false">Timeline!E2</f>
        <v>Jan-27</v>
      </c>
      <c r="F2" s="25" t="str">
        <f aca="false">Timeline!F2</f>
        <v>Feb-27</v>
      </c>
      <c r="G2" s="25" t="str">
        <f aca="false">Timeline!G2</f>
        <v>Mar-27</v>
      </c>
      <c r="H2" s="25" t="str">
        <f aca="false">Timeline!H2</f>
        <v>Apr-27</v>
      </c>
      <c r="I2" s="25" t="str">
        <f aca="false">Timeline!I2</f>
        <v>May-27</v>
      </c>
      <c r="J2" s="25" t="str">
        <f aca="false">Timeline!J2</f>
        <v>Jun-27</v>
      </c>
      <c r="K2" s="25" t="str">
        <f aca="false">Timeline!K2</f>
        <v>Jul-27</v>
      </c>
      <c r="L2" s="25" t="str">
        <f aca="false">Timeline!L2</f>
        <v>Aug-27</v>
      </c>
      <c r="M2" s="25" t="str">
        <f aca="false">Timeline!M2</f>
        <v>Sep-27</v>
      </c>
      <c r="N2" s="25" t="str">
        <f aca="false">Timeline!N2</f>
        <v>Oct-27</v>
      </c>
      <c r="O2" s="25" t="str">
        <f aca="false">Timeline!O2</f>
        <v>Nov-27</v>
      </c>
      <c r="P2" s="25" t="str">
        <f aca="false">Timeline!P2</f>
        <v>Dec-27</v>
      </c>
      <c r="Q2" s="25" t="str">
        <f aca="false">Timeline!Q2</f>
        <v>Jan-28</v>
      </c>
      <c r="R2" s="25" t="str">
        <f aca="false">Timeline!R2</f>
        <v>Feb-28</v>
      </c>
      <c r="S2" s="25" t="str">
        <f aca="false">Timeline!S2</f>
        <v>Mar-28</v>
      </c>
      <c r="T2" s="25" t="str">
        <f aca="false">Timeline!T2</f>
        <v>Apr-28</v>
      </c>
      <c r="U2" s="25" t="str">
        <f aca="false">Timeline!U2</f>
        <v>May-28</v>
      </c>
      <c r="V2" s="25" t="str">
        <f aca="false">Timeline!V2</f>
        <v>Jun-28</v>
      </c>
      <c r="W2" s="25" t="str">
        <f aca="false">Timeline!W2</f>
        <v>Jul-28</v>
      </c>
      <c r="X2" s="25" t="str">
        <f aca="false">Timeline!X2</f>
        <v>Aug-28</v>
      </c>
      <c r="Y2" s="25" t="str">
        <f aca="false">Timeline!Y2</f>
        <v>Sep-28</v>
      </c>
      <c r="Z2" s="25" t="str">
        <f aca="false">Timeline!Z2</f>
        <v>Oct-28</v>
      </c>
      <c r="AA2" s="25" t="str">
        <f aca="false">Timeline!AA2</f>
        <v>Nov-28</v>
      </c>
      <c r="AB2" s="25" t="str">
        <f aca="false">Timeline!AB2</f>
        <v>Dec-28</v>
      </c>
      <c r="AC2" s="25" t="str">
        <f aca="false">Timeline!AC2</f>
        <v>FY2029</v>
      </c>
      <c r="AD2" s="25" t="str">
        <f aca="false">Timeline!AD2</f>
        <v>FY2030</v>
      </c>
      <c r="AE2" s="25" t="str">
        <f aca="false">Timeline!AE2</f>
        <v>FY2031</v>
      </c>
    </row>
    <row r="3" customFormat="false" ht="15" hidden="false" customHeight="false" outlineLevel="0" collapsed="false">
      <c r="A3" s="13" t="s">
        <v>387</v>
      </c>
      <c r="C3" s="24" t="n">
        <f aca="false">Timeline!C3</f>
        <v>2026</v>
      </c>
      <c r="D3" s="24" t="n">
        <f aca="false">Timeline!D3</f>
        <v>2026</v>
      </c>
      <c r="E3" s="24" t="n">
        <f aca="false">Timeline!E3</f>
        <v>2027</v>
      </c>
      <c r="F3" s="24" t="n">
        <f aca="false">Timeline!F3</f>
        <v>2027</v>
      </c>
      <c r="G3" s="24" t="n">
        <f aca="false">Timeline!G3</f>
        <v>2027</v>
      </c>
      <c r="H3" s="24" t="n">
        <f aca="false">Timeline!H3</f>
        <v>2027</v>
      </c>
      <c r="I3" s="24" t="n">
        <f aca="false">Timeline!I3</f>
        <v>2027</v>
      </c>
      <c r="J3" s="24" t="n">
        <f aca="false">Timeline!J3</f>
        <v>2027</v>
      </c>
      <c r="K3" s="24" t="n">
        <f aca="false">Timeline!K3</f>
        <v>2027</v>
      </c>
      <c r="L3" s="24" t="n">
        <f aca="false">Timeline!L3</f>
        <v>2027</v>
      </c>
      <c r="M3" s="24" t="n">
        <f aca="false">Timeline!M3</f>
        <v>2027</v>
      </c>
      <c r="N3" s="24" t="n">
        <f aca="false">Timeline!N3</f>
        <v>2027</v>
      </c>
      <c r="O3" s="24" t="n">
        <f aca="false">Timeline!O3</f>
        <v>2027</v>
      </c>
      <c r="P3" s="24" t="n">
        <f aca="false">Timeline!P3</f>
        <v>2027</v>
      </c>
      <c r="Q3" s="24" t="n">
        <f aca="false">Timeline!Q3</f>
        <v>2028</v>
      </c>
      <c r="R3" s="24" t="n">
        <f aca="false">Timeline!R3</f>
        <v>2028</v>
      </c>
      <c r="S3" s="24" t="n">
        <f aca="false">Timeline!S3</f>
        <v>2028</v>
      </c>
      <c r="T3" s="24" t="n">
        <f aca="false">Timeline!T3</f>
        <v>2028</v>
      </c>
      <c r="U3" s="24" t="n">
        <f aca="false">Timeline!U3</f>
        <v>2028</v>
      </c>
      <c r="V3" s="24" t="n">
        <f aca="false">Timeline!V3</f>
        <v>2028</v>
      </c>
      <c r="W3" s="24" t="n">
        <f aca="false">Timeline!W3</f>
        <v>2028</v>
      </c>
      <c r="X3" s="24" t="n">
        <f aca="false">Timeline!X3</f>
        <v>2028</v>
      </c>
      <c r="Y3" s="24" t="n">
        <f aca="false">Timeline!Y3</f>
        <v>2028</v>
      </c>
      <c r="Z3" s="24" t="n">
        <f aca="false">Timeline!Z3</f>
        <v>2028</v>
      </c>
      <c r="AA3" s="24" t="n">
        <f aca="false">Timeline!AA3</f>
        <v>2028</v>
      </c>
      <c r="AB3" s="24" t="n">
        <f aca="false">Timeline!AB3</f>
        <v>2028</v>
      </c>
      <c r="AC3" s="24" t="n">
        <f aca="false">Timeline!AC3</f>
        <v>2029</v>
      </c>
      <c r="AD3" s="24" t="n">
        <f aca="false">Timeline!AD3</f>
        <v>2030</v>
      </c>
      <c r="AE3" s="24" t="n">
        <f aca="false">Timeline!AE3</f>
        <v>2031</v>
      </c>
    </row>
    <row r="4" customFormat="false" ht="15" hidden="false" customHeight="false" outlineLevel="0" collapsed="false">
      <c r="A4" s="13" t="s">
        <v>388</v>
      </c>
      <c r="C4" s="24" t="n">
        <f aca="false">Timeline!C4</f>
        <v>1</v>
      </c>
      <c r="D4" s="24" t="n">
        <f aca="false">Timeline!D4</f>
        <v>1</v>
      </c>
      <c r="E4" s="24" t="n">
        <f aca="false">Timeline!E4</f>
        <v>1</v>
      </c>
      <c r="F4" s="24" t="n">
        <f aca="false">Timeline!F4</f>
        <v>1</v>
      </c>
      <c r="G4" s="24" t="n">
        <f aca="false">Timeline!G4</f>
        <v>1</v>
      </c>
      <c r="H4" s="24" t="n">
        <f aca="false">Timeline!H4</f>
        <v>1</v>
      </c>
      <c r="I4" s="24" t="n">
        <f aca="false">Timeline!I4</f>
        <v>1</v>
      </c>
      <c r="J4" s="24" t="n">
        <f aca="false">Timeline!J4</f>
        <v>1</v>
      </c>
      <c r="K4" s="24" t="n">
        <f aca="false">Timeline!K4</f>
        <v>1</v>
      </c>
      <c r="L4" s="24" t="n">
        <f aca="false">Timeline!L4</f>
        <v>1</v>
      </c>
      <c r="M4" s="24" t="n">
        <f aca="false">Timeline!M4</f>
        <v>1</v>
      </c>
      <c r="N4" s="24" t="n">
        <f aca="false">Timeline!N4</f>
        <v>1</v>
      </c>
      <c r="O4" s="24" t="n">
        <f aca="false">Timeline!O4</f>
        <v>1</v>
      </c>
      <c r="P4" s="24" t="n">
        <f aca="false">Timeline!P4</f>
        <v>1</v>
      </c>
      <c r="Q4" s="24" t="n">
        <f aca="false">Timeline!Q4</f>
        <v>1</v>
      </c>
      <c r="R4" s="24" t="n">
        <f aca="false">Timeline!R4</f>
        <v>1</v>
      </c>
      <c r="S4" s="24" t="n">
        <f aca="false">Timeline!S4</f>
        <v>1</v>
      </c>
      <c r="T4" s="24" t="n">
        <f aca="false">Timeline!T4</f>
        <v>1</v>
      </c>
      <c r="U4" s="24" t="n">
        <f aca="false">Timeline!U4</f>
        <v>1</v>
      </c>
      <c r="V4" s="24" t="n">
        <f aca="false">Timeline!V4</f>
        <v>1</v>
      </c>
      <c r="W4" s="24" t="n">
        <f aca="false">Timeline!W4</f>
        <v>1</v>
      </c>
      <c r="X4" s="24" t="n">
        <f aca="false">Timeline!X4</f>
        <v>1</v>
      </c>
      <c r="Y4" s="24" t="n">
        <f aca="false">Timeline!Y4</f>
        <v>1</v>
      </c>
      <c r="Z4" s="24" t="n">
        <f aca="false">Timeline!Z4</f>
        <v>1</v>
      </c>
      <c r="AA4" s="24" t="n">
        <f aca="false">Timeline!AA4</f>
        <v>1</v>
      </c>
      <c r="AB4" s="24" t="n">
        <f aca="false">Timeline!AB4</f>
        <v>1</v>
      </c>
      <c r="AC4" s="24" t="n">
        <f aca="false">Timeline!AC4</f>
        <v>12</v>
      </c>
      <c r="AD4" s="24" t="n">
        <f aca="false">Timeline!AD4</f>
        <v>12</v>
      </c>
      <c r="AE4" s="24" t="n">
        <f aca="false">Timeline!AE4</f>
        <v>12</v>
      </c>
    </row>
    <row r="5" customFormat="false" ht="15" hidden="false" customHeight="false" outlineLevel="0" collapsed="false">
      <c r="A5" s="13" t="s">
        <v>389</v>
      </c>
      <c r="C5" s="27" t="n">
        <f aca="false">Timeline!C5</f>
        <v>46327</v>
      </c>
      <c r="D5" s="27" t="n">
        <f aca="false">Timeline!D5</f>
        <v>46357</v>
      </c>
      <c r="E5" s="27" t="n">
        <f aca="false">Timeline!E5</f>
        <v>46388</v>
      </c>
      <c r="F5" s="27" t="n">
        <f aca="false">Timeline!F5</f>
        <v>46419</v>
      </c>
      <c r="G5" s="27" t="n">
        <f aca="false">Timeline!G5</f>
        <v>46447</v>
      </c>
      <c r="H5" s="27" t="n">
        <f aca="false">Timeline!H5</f>
        <v>46478</v>
      </c>
      <c r="I5" s="27" t="n">
        <f aca="false">Timeline!I5</f>
        <v>46508</v>
      </c>
      <c r="J5" s="27" t="n">
        <f aca="false">Timeline!J5</f>
        <v>46539</v>
      </c>
      <c r="K5" s="27" t="n">
        <f aca="false">Timeline!K5</f>
        <v>46569</v>
      </c>
      <c r="L5" s="27" t="n">
        <f aca="false">Timeline!L5</f>
        <v>46600</v>
      </c>
      <c r="M5" s="27" t="n">
        <f aca="false">Timeline!M5</f>
        <v>46631</v>
      </c>
      <c r="N5" s="27" t="n">
        <f aca="false">Timeline!N5</f>
        <v>46661</v>
      </c>
      <c r="O5" s="27" t="n">
        <f aca="false">Timeline!O5</f>
        <v>46692</v>
      </c>
      <c r="P5" s="27" t="n">
        <f aca="false">Timeline!P5</f>
        <v>46722</v>
      </c>
      <c r="Q5" s="27" t="n">
        <f aca="false">Timeline!Q5</f>
        <v>46753</v>
      </c>
      <c r="R5" s="27" t="n">
        <f aca="false">Timeline!R5</f>
        <v>46784</v>
      </c>
      <c r="S5" s="27" t="n">
        <f aca="false">Timeline!S5</f>
        <v>46813</v>
      </c>
      <c r="T5" s="27" t="n">
        <f aca="false">Timeline!T5</f>
        <v>46844</v>
      </c>
      <c r="U5" s="27" t="n">
        <f aca="false">Timeline!U5</f>
        <v>46874</v>
      </c>
      <c r="V5" s="27" t="n">
        <f aca="false">Timeline!V5</f>
        <v>46905</v>
      </c>
      <c r="W5" s="27" t="n">
        <f aca="false">Timeline!W5</f>
        <v>46935</v>
      </c>
      <c r="X5" s="27" t="n">
        <f aca="false">Timeline!X5</f>
        <v>46966</v>
      </c>
      <c r="Y5" s="27" t="n">
        <f aca="false">Timeline!Y5</f>
        <v>46997</v>
      </c>
      <c r="Z5" s="27" t="n">
        <f aca="false">Timeline!Z5</f>
        <v>47027</v>
      </c>
      <c r="AA5" s="27" t="n">
        <f aca="false">Timeline!AA5</f>
        <v>47058</v>
      </c>
      <c r="AB5" s="27" t="n">
        <f aca="false">Timeline!AB5</f>
        <v>47088</v>
      </c>
      <c r="AC5" s="27" t="n">
        <f aca="false">Timeline!AC5</f>
        <v>47119</v>
      </c>
      <c r="AD5" s="27" t="n">
        <f aca="false">Timeline!AD5</f>
        <v>47484</v>
      </c>
      <c r="AE5" s="27" t="n">
        <f aca="false">Timeline!AE5</f>
        <v>47849</v>
      </c>
    </row>
    <row r="6" customFormat="false" ht="15" hidden="false" customHeight="false" outlineLevel="0" collapsed="false">
      <c r="A6" s="13" t="s">
        <v>390</v>
      </c>
      <c r="C6" s="24" t="n">
        <f aca="false">Timeline!C6</f>
        <v>202611</v>
      </c>
      <c r="D6" s="24" t="n">
        <f aca="false">Timeline!D6</f>
        <v>202612</v>
      </c>
      <c r="E6" s="24" t="n">
        <f aca="false">Timeline!E6</f>
        <v>202701</v>
      </c>
      <c r="F6" s="24" t="n">
        <f aca="false">Timeline!F6</f>
        <v>202702</v>
      </c>
      <c r="G6" s="24" t="n">
        <f aca="false">Timeline!G6</f>
        <v>202703</v>
      </c>
      <c r="H6" s="24" t="n">
        <f aca="false">Timeline!H6</f>
        <v>202704</v>
      </c>
      <c r="I6" s="24" t="n">
        <f aca="false">Timeline!I6</f>
        <v>202705</v>
      </c>
      <c r="J6" s="24" t="n">
        <f aca="false">Timeline!J6</f>
        <v>202706</v>
      </c>
      <c r="K6" s="24" t="n">
        <f aca="false">Timeline!K6</f>
        <v>202707</v>
      </c>
      <c r="L6" s="24" t="n">
        <f aca="false">Timeline!L6</f>
        <v>202708</v>
      </c>
      <c r="M6" s="24" t="n">
        <f aca="false">Timeline!M6</f>
        <v>202709</v>
      </c>
      <c r="N6" s="24" t="n">
        <f aca="false">Timeline!N6</f>
        <v>202710</v>
      </c>
      <c r="O6" s="24" t="n">
        <f aca="false">Timeline!O6</f>
        <v>202711</v>
      </c>
      <c r="P6" s="24" t="n">
        <f aca="false">Timeline!P6</f>
        <v>202712</v>
      </c>
      <c r="Q6" s="24" t="n">
        <f aca="false">Timeline!Q6</f>
        <v>202801</v>
      </c>
      <c r="R6" s="24" t="n">
        <f aca="false">Timeline!R6</f>
        <v>202802</v>
      </c>
      <c r="S6" s="24" t="n">
        <f aca="false">Timeline!S6</f>
        <v>202803</v>
      </c>
      <c r="T6" s="24" t="n">
        <f aca="false">Timeline!T6</f>
        <v>202804</v>
      </c>
      <c r="U6" s="24" t="n">
        <f aca="false">Timeline!U6</f>
        <v>202805</v>
      </c>
      <c r="V6" s="24" t="n">
        <f aca="false">Timeline!V6</f>
        <v>202806</v>
      </c>
      <c r="W6" s="24" t="n">
        <f aca="false">Timeline!W6</f>
        <v>202807</v>
      </c>
      <c r="X6" s="24" t="n">
        <f aca="false">Timeline!X6</f>
        <v>202808</v>
      </c>
      <c r="Y6" s="24" t="n">
        <f aca="false">Timeline!Y6</f>
        <v>202809</v>
      </c>
      <c r="Z6" s="24" t="n">
        <f aca="false">Timeline!Z6</f>
        <v>202810</v>
      </c>
      <c r="AA6" s="24" t="n">
        <f aca="false">Timeline!AA6</f>
        <v>202811</v>
      </c>
      <c r="AB6" s="24" t="n">
        <f aca="false">Timeline!AB6</f>
        <v>202812</v>
      </c>
      <c r="AC6" s="24" t="n">
        <f aca="false">Timeline!AC6</f>
        <v>2029</v>
      </c>
      <c r="AD6" s="24" t="n">
        <f aca="false">Timeline!AD6</f>
        <v>2030</v>
      </c>
      <c r="AE6" s="24" t="n">
        <f aca="false">Timeline!AE6</f>
        <v>2031</v>
      </c>
    </row>
    <row r="8" customFormat="false" ht="15" hidden="false" customHeight="false" outlineLevel="0" collapsed="false">
      <c r="A8" s="0" t="s">
        <v>21</v>
      </c>
      <c r="B8" s="2"/>
      <c r="C8" s="4" t="n">
        <f aca="false">'Cash Flow'!C28</f>
        <v>1424000</v>
      </c>
      <c r="D8" s="4" t="n">
        <f aca="false">'Cash Flow'!D28</f>
        <v>1305486.66666667</v>
      </c>
      <c r="E8" s="4" t="n">
        <f aca="false">'Cash Flow'!E28</f>
        <v>1144856.83611111</v>
      </c>
      <c r="F8" s="4" t="n">
        <f aca="false">'Cash Flow'!F28</f>
        <v>943862.668549769</v>
      </c>
      <c r="G8" s="4" t="n">
        <f aca="false">'Cash Flow'!G28</f>
        <v>774469.767999705</v>
      </c>
      <c r="H8" s="4" t="n">
        <f aca="false">'Cash Flow'!H28</f>
        <v>602582.804823038</v>
      </c>
      <c r="I8" s="4" t="n">
        <f aca="false">'Cash Flow'!I28</f>
        <v>420194.504670439</v>
      </c>
      <c r="J8" s="4" t="n">
        <f aca="false">'Cash Flow'!J28</f>
        <v>1075344.98646848</v>
      </c>
      <c r="K8" s="4" t="n">
        <f aca="false">'Cash Flow'!K28</f>
        <v>694277.497751478</v>
      </c>
      <c r="L8" s="4" t="n">
        <f aca="false">'Cash Flow'!L28</f>
        <v>6178556.35594238</v>
      </c>
      <c r="M8" s="4" t="n">
        <f aca="false">'Cash Flow'!M28</f>
        <v>5477359.50109468</v>
      </c>
      <c r="N8" s="4" t="n">
        <f aca="false">'Cash Flow'!N28</f>
        <v>4316869.89467034</v>
      </c>
      <c r="O8" s="4" t="n">
        <f aca="false">'Cash Flow'!O28</f>
        <v>3429592.01124146</v>
      </c>
      <c r="P8" s="4" t="n">
        <f aca="false">'Cash Flow'!P28</f>
        <v>2556526.39024591</v>
      </c>
      <c r="Q8" s="4" t="n">
        <f aca="false">'Cash Flow'!Q28</f>
        <v>2002588.21544746</v>
      </c>
      <c r="R8" s="4" t="n">
        <f aca="false">'Cash Flow'!R28</f>
        <v>1416259.77579359</v>
      </c>
      <c r="S8" s="4" t="n">
        <f aca="false">'Cash Flow'!S28</f>
        <v>3832399.93640845</v>
      </c>
      <c r="T8" s="4" t="n">
        <f aca="false">'Cash Flow'!T28</f>
        <v>3325103.5525305</v>
      </c>
      <c r="U8" s="4" t="n">
        <f aca="false">'Cash Flow'!U28</f>
        <v>2815594.70456833</v>
      </c>
      <c r="V8" s="4" t="n">
        <f aca="false">'Cash Flow'!V28</f>
        <v>2349393.53782173</v>
      </c>
      <c r="W8" s="4" t="n">
        <f aca="false">'Cash Flow'!W28</f>
        <v>1804803.71047901</v>
      </c>
      <c r="X8" s="4" t="n">
        <f aca="false">'Cash Flow'!X28</f>
        <v>1355890.70890603</v>
      </c>
      <c r="Y8" s="4" t="n">
        <f aca="false">'Cash Flow'!Y28</f>
        <v>25740655.9066488</v>
      </c>
      <c r="Z8" s="4" t="n">
        <f aca="false">'Cash Flow'!Z28</f>
        <v>24958906.8354195</v>
      </c>
      <c r="AA8" s="4" t="n">
        <f aca="false">'Cash Flow'!AA28</f>
        <v>24099763.3960195</v>
      </c>
      <c r="AB8" s="4" t="n">
        <f aca="false">'Cash Flow'!AB28</f>
        <v>23250148.921424</v>
      </c>
      <c r="AC8" s="4" t="n">
        <f aca="false">'Cash Flow'!AC28</f>
        <v>14378505.2468431</v>
      </c>
      <c r="AD8" s="4" t="n">
        <f aca="false">'Cash Flow'!AD28</f>
        <v>38382308.0431785</v>
      </c>
      <c r="AE8" s="4" t="n">
        <f aca="false">'Cash Flow'!AE28</f>
        <v>33426497.8882027</v>
      </c>
    </row>
    <row r="9" customFormat="false" ht="15" hidden="false" customHeight="false" outlineLevel="0" collapsed="false">
      <c r="A9" s="0" t="s">
        <v>725</v>
      </c>
      <c r="B9" s="2"/>
      <c r="C9" s="4" t="n">
        <f aca="false">'Cash Flow'!C29</f>
        <v>76000</v>
      </c>
      <c r="D9" s="4" t="n">
        <f aca="false">'Cash Flow'!D29</f>
        <v>118513.333333333</v>
      </c>
      <c r="E9" s="4" t="n">
        <f aca="false">'Cash Flow'!E29</f>
        <v>160629.830555556</v>
      </c>
      <c r="F9" s="4" t="n">
        <f aca="false">'Cash Flow'!F29</f>
        <v>200994.167561343</v>
      </c>
      <c r="G9" s="4" t="n">
        <f aca="false">'Cash Flow'!G29</f>
        <v>169392.900550063</v>
      </c>
      <c r="H9" s="4" t="n">
        <f aca="false">'Cash Flow'!H29</f>
        <v>171886.963176668</v>
      </c>
      <c r="I9" s="4" t="n">
        <f aca="false">'Cash Flow'!I29</f>
        <v>182388.300152599</v>
      </c>
      <c r="J9" s="4" t="n">
        <f aca="false">'Cash Flow'!J29</f>
        <v>-655150.481798043</v>
      </c>
      <c r="K9" s="4" t="n">
        <f aca="false">'Cash Flow'!K29</f>
        <v>381067.488717003</v>
      </c>
      <c r="L9" s="4" t="n">
        <f aca="false">'Cash Flow'!L29</f>
        <v>515721.141809094</v>
      </c>
      <c r="M9" s="4" t="n">
        <f aca="false">'Cash Flow'!M29</f>
        <v>701196.854847704</v>
      </c>
      <c r="N9" s="4" t="n">
        <f aca="false">'Cash Flow'!N29</f>
        <v>1160489.60642434</v>
      </c>
      <c r="O9" s="4" t="n">
        <f aca="false">'Cash Flow'!O29</f>
        <v>887277.883428878</v>
      </c>
      <c r="P9" s="4" t="n">
        <f aca="false">'Cash Flow'!P29</f>
        <v>873065.620995546</v>
      </c>
      <c r="Q9" s="4" t="n">
        <f aca="false">'Cash Flow'!Q29</f>
        <v>553938.17479845</v>
      </c>
      <c r="R9" s="4" t="n">
        <f aca="false">'Cash Flow'!R29</f>
        <v>586328.439653868</v>
      </c>
      <c r="S9" s="4" t="n">
        <f aca="false">'Cash Flow'!S29</f>
        <v>583859.839385146</v>
      </c>
      <c r="T9" s="4" t="n">
        <f aca="false">'Cash Flow'!T29</f>
        <v>507296.383877947</v>
      </c>
      <c r="U9" s="4" t="n">
        <f aca="false">'Cash Flow'!U29</f>
        <v>509508.847962172</v>
      </c>
      <c r="V9" s="4" t="n">
        <f aca="false">'Cash Flow'!V29</f>
        <v>466201.166746603</v>
      </c>
      <c r="W9" s="4" t="n">
        <f aca="false">'Cash Flow'!W29</f>
        <v>544589.827342713</v>
      </c>
      <c r="X9" s="4" t="n">
        <f aca="false">'Cash Flow'!X29</f>
        <v>448913.001572987</v>
      </c>
      <c r="Y9" s="4" t="n">
        <f aca="false">'Cash Flow'!Y29</f>
        <v>615234.80225723</v>
      </c>
      <c r="Z9" s="4" t="n">
        <f aca="false">'Cash Flow'!Z29</f>
        <v>781749.071229285</v>
      </c>
      <c r="AA9" s="4" t="n">
        <f aca="false">'Cash Flow'!AA29</f>
        <v>859143.439400007</v>
      </c>
      <c r="AB9" s="4" t="n">
        <f aca="false">'Cash Flow'!AB29</f>
        <v>849614.474595525</v>
      </c>
      <c r="AC9" s="4" t="n">
        <f aca="false">'Cash Flow'!AC29</f>
        <v>8871643.67458089</v>
      </c>
      <c r="AD9" s="4" t="n">
        <f aca="false">'Cash Flow'!AD29</f>
        <v>10996197.2036646</v>
      </c>
      <c r="AE9" s="4" t="n">
        <f aca="false">'Cash Flow'!AE29</f>
        <v>4955810.1549758</v>
      </c>
    </row>
    <row r="10" customFormat="false" ht="15" hidden="false" customHeight="false" outlineLevel="0" collapsed="false">
      <c r="A10" s="0" t="s">
        <v>726</v>
      </c>
      <c r="B10" s="2"/>
      <c r="C10" s="4" t="n">
        <f aca="false">AVERAGE(Runway!C9:C9)</f>
        <v>76000</v>
      </c>
      <c r="D10" s="4" t="n">
        <f aca="false">AVERAGE(Runway!C9:D9)</f>
        <v>97256.6666666667</v>
      </c>
      <c r="E10" s="4" t="n">
        <f aca="false">AVERAGE(Runway!C9:E9)</f>
        <v>118381.05462963</v>
      </c>
      <c r="F10" s="4" t="n">
        <f aca="false">AVERAGE(Runway!D9:F9)</f>
        <v>160045.777150077</v>
      </c>
      <c r="G10" s="4" t="n">
        <f aca="false">AVERAGE(Runway!E9:G9)</f>
        <v>177005.632888987</v>
      </c>
      <c r="H10" s="4" t="n">
        <f aca="false">AVERAGE(Runway!F9:H9)</f>
        <v>180758.010429358</v>
      </c>
      <c r="I10" s="4" t="n">
        <f aca="false">AVERAGE(Runway!G9:I9)</f>
        <v>174556.054626443</v>
      </c>
      <c r="J10" s="4" t="n">
        <f aca="false">AVERAGE(Runway!H9:J9)</f>
        <v>-100291.739489592</v>
      </c>
      <c r="K10" s="4" t="n">
        <f aca="false">AVERAGE(Runway!I9:K9)</f>
        <v>-30564.8976428133</v>
      </c>
      <c r="L10" s="4" t="n">
        <f aca="false">AVERAGE(Runway!J9:L9)</f>
        <v>80546.0495760183</v>
      </c>
      <c r="M10" s="4" t="n">
        <f aca="false">AVERAGE(Runway!K9:M9)</f>
        <v>532661.828457934</v>
      </c>
      <c r="N10" s="4" t="n">
        <f aca="false">AVERAGE(Runway!L9:N9)</f>
        <v>792469.201027047</v>
      </c>
      <c r="O10" s="4" t="n">
        <f aca="false">AVERAGE(Runway!M9:O9)</f>
        <v>916321.448233642</v>
      </c>
      <c r="P10" s="4" t="n">
        <f aca="false">AVERAGE(Runway!N9:P9)</f>
        <v>973611.036949589</v>
      </c>
      <c r="Q10" s="4" t="n">
        <f aca="false">AVERAGE(Runway!O9:Q9)</f>
        <v>771427.226407624</v>
      </c>
      <c r="R10" s="4" t="n">
        <f aca="false">AVERAGE(Runway!P9:R9)</f>
        <v>671110.745149288</v>
      </c>
      <c r="S10" s="4" t="n">
        <f aca="false">AVERAGE(Runway!Q9:S9)</f>
        <v>574708.817945821</v>
      </c>
      <c r="T10" s="4" t="n">
        <f aca="false">AVERAGE(Runway!R9:T9)</f>
        <v>559161.554305654</v>
      </c>
      <c r="U10" s="4" t="n">
        <f aca="false">AVERAGE(Runway!S9:U9)</f>
        <v>533555.023741755</v>
      </c>
      <c r="V10" s="4" t="n">
        <f aca="false">AVERAGE(Runway!T9:V9)</f>
        <v>494335.466195574</v>
      </c>
      <c r="W10" s="4" t="n">
        <f aca="false">AVERAGE(Runway!U9:W9)</f>
        <v>506766.614017163</v>
      </c>
      <c r="X10" s="4" t="n">
        <f aca="false">AVERAGE(Runway!V9:X9)</f>
        <v>486567.998554101</v>
      </c>
      <c r="Y10" s="4" t="n">
        <f aca="false">AVERAGE(Runway!W9:Y9)</f>
        <v>536245.877057643</v>
      </c>
      <c r="Z10" s="4" t="n">
        <f aca="false">AVERAGE(Runway!X9:Z9)</f>
        <v>615298.958353168</v>
      </c>
      <c r="AA10" s="4" t="n">
        <f aca="false">AVERAGE(Runway!Y9:AA9)</f>
        <v>752042.437628841</v>
      </c>
      <c r="AB10" s="4" t="n">
        <f aca="false">AVERAGE(Runway!Z9:AB9)</f>
        <v>830168.995074939</v>
      </c>
      <c r="AC10" s="4" t="n">
        <f aca="false">Runway!AC9/12</f>
        <v>739303.639548408</v>
      </c>
      <c r="AD10" s="4" t="n">
        <f aca="false">Runway!AD9/12</f>
        <v>916349.766972052</v>
      </c>
      <c r="AE10" s="4" t="n">
        <f aca="false">Runway!AE9/12</f>
        <v>412984.179581317</v>
      </c>
    </row>
    <row r="11" customFormat="false" ht="15" hidden="false" customHeight="false" outlineLevel="0" collapsed="false">
      <c r="A11" s="0" t="s">
        <v>727</v>
      </c>
      <c r="B11" s="2" t="s">
        <v>183</v>
      </c>
      <c r="C11" s="32" t="n">
        <f aca="false">IF(Runway!C10&gt;0,Runway!C8/Runway!C10,999)</f>
        <v>18.7368421052632</v>
      </c>
      <c r="D11" s="32" t="n">
        <f aca="false">IF(Runway!D10&gt;0,Runway!D8/Runway!D10,999)</f>
        <v>13.4231072420057</v>
      </c>
      <c r="E11" s="32" t="n">
        <f aca="false">IF(Runway!E10&gt;0,Runway!E8/Runway!E10,999)</f>
        <v>9.67094641700011</v>
      </c>
      <c r="F11" s="32" t="n">
        <f aca="false">IF(Runway!F10&gt;0,Runway!F8/Runway!F10,999)</f>
        <v>5.89745437434875</v>
      </c>
      <c r="G11" s="32" t="n">
        <f aca="false">IF(Runway!G10&gt;0,Runway!G8/Runway!G10,999)</f>
        <v>4.37539616880685</v>
      </c>
      <c r="H11" s="32" t="n">
        <f aca="false">IF(Runway!H10&gt;0,Runway!H8/Runway!H10,999)</f>
        <v>3.33364371178745</v>
      </c>
      <c r="I11" s="32" t="n">
        <f aca="false">IF(Runway!I10&gt;0,Runway!I8/Runway!I10,999)</f>
        <v>2.40721816020459</v>
      </c>
      <c r="J11" s="32" t="n">
        <f aca="false">IF(Runway!J10&gt;0,Runway!J8/Runway!J10,999)</f>
        <v>999</v>
      </c>
      <c r="K11" s="32" t="n">
        <f aca="false">IF(Runway!K10&gt;0,Runway!K8/Runway!K10,999)</f>
        <v>999</v>
      </c>
      <c r="L11" s="32" t="n">
        <f aca="false">IF(Runway!L10&gt;0,Runway!L8/Runway!L10,999)</f>
        <v>76.7083722723253</v>
      </c>
      <c r="M11" s="32" t="n">
        <f aca="false">IF(Runway!M10&gt;0,Runway!M8/Runway!M10,999)</f>
        <v>10.282996093322</v>
      </c>
      <c r="N11" s="32" t="n">
        <f aca="false">IF(Runway!N10&gt;0,Runway!N8/Runway!N10,999)</f>
        <v>5.44736614252722</v>
      </c>
      <c r="O11" s="32" t="n">
        <f aca="false">IF(Runway!O10&gt;0,Runway!O8/Runway!O10,999)</f>
        <v>3.7427826423277</v>
      </c>
      <c r="P11" s="32" t="n">
        <f aca="false">IF(Runway!P10&gt;0,Runway!P8/Runway!P10,999)</f>
        <v>2.62581903164917</v>
      </c>
      <c r="Q11" s="32" t="n">
        <f aca="false">IF(Runway!Q10&gt;0,Runway!Q8/Runway!Q10,999)</f>
        <v>2.5959522128524</v>
      </c>
      <c r="R11" s="32" t="n">
        <f aca="false">IF(Runway!R10&gt;0,Runway!R8/Runway!R10,999)</f>
        <v>2.1103220087447</v>
      </c>
      <c r="S11" s="32" t="n">
        <f aca="false">IF(Runway!S10&gt;0,Runway!S8/Runway!S10,999)</f>
        <v>6.66842027951925</v>
      </c>
      <c r="T11" s="32" t="n">
        <f aca="false">IF(Runway!T10&gt;0,Runway!T8/Runway!T10,999)</f>
        <v>5.94658829264379</v>
      </c>
      <c r="U11" s="32" t="n">
        <f aca="false">IF(Runway!U10&gt;0,Runway!U8/Runway!U10,999)</f>
        <v>5.27704656367569</v>
      </c>
      <c r="V11" s="32" t="n">
        <f aca="false">IF(Runway!V10&gt;0,Runway!V8/Runway!V10,999)</f>
        <v>4.75262994157137</v>
      </c>
      <c r="W11" s="32" t="n">
        <f aca="false">IF(Runway!W10&gt;0,Runway!W8/Runway!W10,999)</f>
        <v>3.56141004667267</v>
      </c>
      <c r="X11" s="32" t="n">
        <f aca="false">IF(Runway!X10&gt;0,Runway!X8/Runway!X10,999)</f>
        <v>2.78664177039022</v>
      </c>
      <c r="Y11" s="32" t="n">
        <f aca="false">IF(Runway!Y10&gt;0,Runway!Y8/Runway!Y10,999)</f>
        <v>48.0015921947719</v>
      </c>
      <c r="Z11" s="32" t="n">
        <f aca="false">IF(Runway!Z10&gt;0,Runway!Z8/Runway!Z10,999)</f>
        <v>40.5638698011474</v>
      </c>
      <c r="AA11" s="32" t="n">
        <f aca="false">IF(Runway!AA10&gt;0,Runway!AA8/Runway!AA10,999)</f>
        <v>32.045749269157</v>
      </c>
      <c r="AB11" s="32" t="n">
        <f aca="false">IF(Runway!AB10&gt;0,Runway!AB8/Runway!AB10,999)</f>
        <v>28.0065252489045</v>
      </c>
      <c r="AC11" s="32" t="n">
        <f aca="false">IF(Runway!AC10&gt;0,Runway!AC8/Runway!AC10,999)</f>
        <v>19.4487142733749</v>
      </c>
      <c r="AD11" s="32" t="n">
        <f aca="false">IF(Runway!AD10&gt;0,Runway!AD8/Runway!AD10,999)</f>
        <v>41.8860891622283</v>
      </c>
      <c r="AE11" s="32" t="n">
        <f aca="false">IF(Runway!AE10&gt;0,Runway!AE8/Runway!AE10,999)</f>
        <v>80.938930692431</v>
      </c>
    </row>
    <row r="12" customFormat="false" ht="15" hidden="false" customHeight="false" outlineLevel="0" collapsed="false">
      <c r="A12" s="0" t="s">
        <v>728</v>
      </c>
      <c r="B12" s="2"/>
      <c r="C12" s="4" t="n">
        <f aca="false">'Cash Flow'!C22</f>
        <v>1500000</v>
      </c>
      <c r="D12" s="4" t="n">
        <f aca="false">'Cash Flow'!D22</f>
        <v>0</v>
      </c>
      <c r="E12" s="4" t="n">
        <f aca="false">'Cash Flow'!E22</f>
        <v>0</v>
      </c>
      <c r="F12" s="4" t="n">
        <f aca="false">'Cash Flow'!F22</f>
        <v>0</v>
      </c>
      <c r="G12" s="4" t="n">
        <f aca="false">'Cash Flow'!G22</f>
        <v>0</v>
      </c>
      <c r="H12" s="4" t="n">
        <f aca="false">'Cash Flow'!H22</f>
        <v>0</v>
      </c>
      <c r="I12" s="4" t="n">
        <f aca="false">'Cash Flow'!I22</f>
        <v>0</v>
      </c>
      <c r="J12" s="4" t="n">
        <f aca="false">'Cash Flow'!J22</f>
        <v>0</v>
      </c>
      <c r="K12" s="4" t="n">
        <f aca="false">'Cash Flow'!K22</f>
        <v>0</v>
      </c>
      <c r="L12" s="4" t="n">
        <f aca="false">'Cash Flow'!L22</f>
        <v>6000000</v>
      </c>
      <c r="M12" s="4" t="n">
        <f aca="false">'Cash Flow'!M22</f>
        <v>0</v>
      </c>
      <c r="N12" s="4" t="n">
        <f aca="false">'Cash Flow'!N22</f>
        <v>0</v>
      </c>
      <c r="O12" s="4" t="n">
        <f aca="false">'Cash Flow'!O22</f>
        <v>0</v>
      </c>
      <c r="P12" s="4" t="n">
        <f aca="false">'Cash Flow'!P22</f>
        <v>0</v>
      </c>
      <c r="Q12" s="4" t="n">
        <f aca="false">'Cash Flow'!Q22</f>
        <v>0</v>
      </c>
      <c r="R12" s="4" t="n">
        <f aca="false">'Cash Flow'!R22</f>
        <v>0</v>
      </c>
      <c r="S12" s="4" t="n">
        <f aca="false">'Cash Flow'!S22</f>
        <v>3000000</v>
      </c>
      <c r="T12" s="4" t="n">
        <f aca="false">'Cash Flow'!T22</f>
        <v>0</v>
      </c>
      <c r="U12" s="4" t="n">
        <f aca="false">'Cash Flow'!U22</f>
        <v>0</v>
      </c>
      <c r="V12" s="4" t="n">
        <f aca="false">'Cash Flow'!V22</f>
        <v>0</v>
      </c>
      <c r="W12" s="4" t="n">
        <f aca="false">'Cash Flow'!W22</f>
        <v>0</v>
      </c>
      <c r="X12" s="4" t="n">
        <f aca="false">'Cash Flow'!X22</f>
        <v>0</v>
      </c>
      <c r="Y12" s="4" t="n">
        <f aca="false">'Cash Flow'!Y22</f>
        <v>25000000</v>
      </c>
      <c r="Z12" s="4" t="n">
        <f aca="false">'Cash Flow'!Z22</f>
        <v>0</v>
      </c>
      <c r="AA12" s="4" t="n">
        <f aca="false">'Cash Flow'!AA22</f>
        <v>0</v>
      </c>
      <c r="AB12" s="4" t="n">
        <f aca="false">'Cash Flow'!AB22</f>
        <v>0</v>
      </c>
      <c r="AC12" s="4" t="n">
        <f aca="false">'Cash Flow'!AC22</f>
        <v>0</v>
      </c>
      <c r="AD12" s="4" t="n">
        <f aca="false">'Cash Flow'!AD22</f>
        <v>35000000</v>
      </c>
      <c r="AE12" s="4" t="n">
        <f aca="false">'Cash Flow'!AE22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6" t="s">
        <v>729</v>
      </c>
    </row>
    <row r="3" customFormat="false" ht="15" hidden="false" customHeight="false" outlineLevel="0" collapsed="false">
      <c r="A3" s="0" t="s">
        <v>730</v>
      </c>
      <c r="B3" s="10" t="n">
        <v>9000000</v>
      </c>
    </row>
    <row r="4" customFormat="false" ht="15" hidden="false" customHeight="false" outlineLevel="0" collapsed="false">
      <c r="A4" s="0" t="s">
        <v>731</v>
      </c>
      <c r="B4" s="10" t="n">
        <v>1000000</v>
      </c>
    </row>
    <row r="5" customFormat="false" ht="15" hidden="false" customHeight="false" outlineLevel="0" collapsed="false">
      <c r="A5" s="0" t="s">
        <v>732</v>
      </c>
      <c r="B5" s="11" t="n">
        <v>0.12</v>
      </c>
    </row>
    <row r="6" customFormat="false" ht="15" hidden="false" customHeight="false" outlineLevel="0" collapsed="false">
      <c r="A6" s="0" t="s">
        <v>733</v>
      </c>
      <c r="B6" s="11" t="n">
        <v>0.13</v>
      </c>
    </row>
    <row r="7" customFormat="false" ht="15" hidden="false" customHeight="false" outlineLevel="0" collapsed="false">
      <c r="A7" s="0" t="s">
        <v>734</v>
      </c>
      <c r="B7" s="11" t="n">
        <v>0.12</v>
      </c>
    </row>
    <row r="10" customFormat="false" ht="15" hidden="false" customHeight="false" outlineLevel="0" collapsed="false">
      <c r="A10" s="13" t="s">
        <v>735</v>
      </c>
    </row>
    <row r="11" customFormat="false" ht="15" hidden="false" customHeight="false" outlineLevel="0" collapsed="false">
      <c r="A11" s="0" t="s">
        <v>736</v>
      </c>
      <c r="B11" s="40" t="n">
        <f aca="false">'Funding &amp; Runway'!$D$4/'Funding &amp; Runway'!$F$4</f>
        <v>0.125</v>
      </c>
    </row>
    <row r="12" customFormat="false" ht="15" hidden="false" customHeight="false" outlineLevel="0" collapsed="false">
      <c r="A12" s="0" t="s">
        <v>737</v>
      </c>
      <c r="B12" s="22" t="n">
        <f aca="false">(ct_founder+ct_pool0)/(1-ct_safe_pct)</f>
        <v>11428571.4285714</v>
      </c>
    </row>
    <row r="13" customFormat="false" ht="15" hidden="false" customHeight="false" outlineLevel="0" collapsed="false">
      <c r="A13" s="0" t="s">
        <v>738</v>
      </c>
      <c r="B13" s="22" t="n">
        <f aca="false">ct_cap_safe*ct_safe_pct</f>
        <v>1428571.42857143</v>
      </c>
    </row>
    <row r="14" customFormat="false" ht="15" hidden="false" customHeight="false" outlineLevel="0" collapsed="false">
      <c r="A14" s="0" t="s">
        <v>739</v>
      </c>
      <c r="B14" s="40" t="n">
        <f aca="false">'Funding &amp; Runway'!$D$5/('Funding &amp; Runway'!$E$5+'Funding &amp; Runway'!$D$5)</f>
        <v>0.214285714285714</v>
      </c>
    </row>
    <row r="15" customFormat="false" ht="15" hidden="false" customHeight="false" outlineLevel="0" collapsed="false">
      <c r="A15" s="0" t="s">
        <v>740</v>
      </c>
      <c r="B15" s="22" t="n">
        <f aca="false">(ct_founder+ct_safe_sh)/(1-ct_seed_pct-ct_pool_seed)</f>
        <v>15665236.0515021</v>
      </c>
    </row>
    <row r="16" customFormat="false" ht="15" hidden="false" customHeight="false" outlineLevel="0" collapsed="false">
      <c r="A16" s="0" t="s">
        <v>741</v>
      </c>
      <c r="B16" s="22" t="n">
        <f aca="false">ct_post_seed*ct_seed_pct</f>
        <v>3356836.29675046</v>
      </c>
    </row>
    <row r="17" customFormat="false" ht="15" hidden="false" customHeight="false" outlineLevel="0" collapsed="false">
      <c r="A17" s="0" t="s">
        <v>742</v>
      </c>
      <c r="B17" s="22" t="n">
        <f aca="false">ct_post_seed*ct_pool_seed-ct_pool0</f>
        <v>879828.326180258</v>
      </c>
    </row>
    <row r="18" customFormat="false" ht="15" hidden="false" customHeight="false" outlineLevel="0" collapsed="false">
      <c r="A18" s="0" t="s">
        <v>743</v>
      </c>
      <c r="B18" s="41" t="n">
        <f aca="false">'Funding &amp; Runway'!$D$5/ct_seed_sh</f>
        <v>1.78739726027397</v>
      </c>
    </row>
    <row r="19" customFormat="false" ht="15" hidden="false" customHeight="false" outlineLevel="0" collapsed="false">
      <c r="A19" s="0" t="s">
        <v>744</v>
      </c>
      <c r="B19" s="41" t="n">
        <f aca="false">'Funding &amp; Runway'!$D$4/ct_safe_sh</f>
        <v>1.05</v>
      </c>
    </row>
    <row r="20" customFormat="false" ht="15" hidden="false" customHeight="false" outlineLevel="0" collapsed="false">
      <c r="A20" s="0" t="s">
        <v>745</v>
      </c>
      <c r="B20" s="41" t="n">
        <f aca="false">'Funding &amp; Runway'!$E$6/ct_post_seed</f>
        <v>2.29808219178082</v>
      </c>
    </row>
    <row r="21" customFormat="false" ht="15" hidden="false" customHeight="false" outlineLevel="0" collapsed="false">
      <c r="A21" s="0" t="s">
        <v>746</v>
      </c>
      <c r="B21" s="22" t="n">
        <f aca="false">'Funding &amp; Runway'!$D$6/ct_x_px</f>
        <v>1305436.33762518</v>
      </c>
    </row>
    <row r="22" customFormat="false" ht="15" hidden="false" customHeight="false" outlineLevel="0" collapsed="false">
      <c r="A22" s="0" t="s">
        <v>747</v>
      </c>
      <c r="B22" s="40" t="n">
        <f aca="false">'Funding &amp; Runway'!$D$7/('Funding &amp; Runway'!$E$7+'Funding &amp; Runway'!$D$7)</f>
        <v>0.238095238095238</v>
      </c>
    </row>
    <row r="23" customFormat="false" ht="15" hidden="false" customHeight="false" outlineLevel="0" collapsed="false">
      <c r="A23" s="0" t="s">
        <v>748</v>
      </c>
      <c r="B23" s="22" t="n">
        <f aca="false">(ct_founder+ct_safe_sh+ct_seed_sh+ct_x_sh)/(1-ct_A_pct-ct_pool_A)</f>
        <v>23881516.6030059</v>
      </c>
    </row>
    <row r="24" customFormat="false" ht="15" hidden="false" customHeight="false" outlineLevel="0" collapsed="false">
      <c r="A24" s="0" t="s">
        <v>749</v>
      </c>
      <c r="B24" s="22" t="n">
        <f aca="false">ct_post_A*ct_A_pct</f>
        <v>5686075.38166807</v>
      </c>
    </row>
    <row r="25" customFormat="false" ht="15" hidden="false" customHeight="false" outlineLevel="0" collapsed="false">
      <c r="A25" s="0" t="s">
        <v>750</v>
      </c>
      <c r="B25" s="22" t="n">
        <f aca="false">ct_post_A*ct_pool_A-ct_post_seed*ct_pool_seed</f>
        <v>1224768.83221051</v>
      </c>
    </row>
    <row r="26" customFormat="false" ht="15" hidden="false" customHeight="false" outlineLevel="0" collapsed="false">
      <c r="A26" s="0" t="s">
        <v>751</v>
      </c>
      <c r="B26" s="41" t="n">
        <f aca="false">'Funding &amp; Runway'!$D$7/ct_A_sh</f>
        <v>4.39670569275252</v>
      </c>
    </row>
    <row r="27" customFormat="false" ht="15" hidden="false" customHeight="false" outlineLevel="0" collapsed="false">
      <c r="A27" s="0" t="s">
        <v>752</v>
      </c>
      <c r="B27" s="40" t="n">
        <f aca="false">IF('Funding &amp; Runway'!$D$8&gt;0,'Funding &amp; Runway'!$D$8/('Funding &amp; Runway'!$E$8+'Funding &amp; Runway'!$D$8),0)</f>
        <v>0.12280701754386</v>
      </c>
    </row>
    <row r="28" customFormat="false" ht="15" hidden="false" customHeight="false" outlineLevel="0" collapsed="false">
      <c r="A28" s="0" t="s">
        <v>753</v>
      </c>
      <c r="B28" s="22" t="n">
        <f aca="false">(ct_founder+ct_safe_sh+ct_seed_sh+ct_x_sh+ct_A_sh)/(1-ct_B_pct-ct_pool_B)</f>
        <v>27439397.7836669</v>
      </c>
    </row>
    <row r="29" customFormat="false" ht="15" hidden="false" customHeight="false" outlineLevel="0" collapsed="false">
      <c r="A29" s="0" t="s">
        <v>754</v>
      </c>
      <c r="B29" s="22" t="n">
        <f aca="false">ct_post_B*ct_B_pct</f>
        <v>3369750.60501172</v>
      </c>
    </row>
    <row r="30" customFormat="false" ht="15" hidden="false" customHeight="false" outlineLevel="0" collapsed="false">
      <c r="A30" s="0" t="s">
        <v>755</v>
      </c>
      <c r="B30" s="22" t="n">
        <f aca="false">ct_post_B*ct_pool_B-ct_post_A*ct_pool_A</f>
        <v>188130.575649258</v>
      </c>
    </row>
    <row r="31" customFormat="false" ht="15" hidden="false" customHeight="false" outlineLevel="0" collapsed="false">
      <c r="A31" s="0" t="s">
        <v>756</v>
      </c>
      <c r="B31" s="41" t="n">
        <f aca="false">IF(ct_B_sh&gt;0,'Funding &amp; Runway'!$D$8/ct_B_sh,0)</f>
        <v>10.3865253256267</v>
      </c>
    </row>
    <row r="34" customFormat="false" ht="15" hidden="false" customHeight="false" outlineLevel="0" collapsed="false">
      <c r="A34" s="13" t="s">
        <v>757</v>
      </c>
    </row>
    <row r="35" customFormat="false" ht="15" hidden="false" customHeight="false" outlineLevel="0" collapsed="false">
      <c r="B35" s="3" t="s">
        <v>758</v>
      </c>
      <c r="D35" s="3" t="s">
        <v>759</v>
      </c>
      <c r="F35" s="3" t="s">
        <v>760</v>
      </c>
      <c r="H35" s="3" t="s">
        <v>761</v>
      </c>
      <c r="J35" s="3" t="s">
        <v>762</v>
      </c>
    </row>
    <row r="36" customFormat="false" ht="15" hidden="false" customHeight="false" outlineLevel="0" collapsed="false">
      <c r="B36" s="13" t="s">
        <v>763</v>
      </c>
      <c r="C36" s="13" t="s">
        <v>58</v>
      </c>
      <c r="D36" s="13" t="s">
        <v>763</v>
      </c>
      <c r="E36" s="13" t="s">
        <v>58</v>
      </c>
      <c r="F36" s="13" t="s">
        <v>763</v>
      </c>
      <c r="G36" s="13" t="s">
        <v>58</v>
      </c>
      <c r="H36" s="13" t="s">
        <v>763</v>
      </c>
      <c r="I36" s="13" t="s">
        <v>58</v>
      </c>
      <c r="J36" s="13" t="s">
        <v>763</v>
      </c>
      <c r="K36" s="13" t="s">
        <v>58</v>
      </c>
    </row>
    <row r="37" customFormat="false" ht="15" hidden="false" customHeight="false" outlineLevel="0" collapsed="false">
      <c r="A37" s="0" t="s">
        <v>764</v>
      </c>
      <c r="B37" s="22" t="n">
        <f aca="false">ct_founder</f>
        <v>9000000</v>
      </c>
      <c r="C37" s="23" t="n">
        <f aca="false">IF(B$44&gt;0,B37/B$44,0)</f>
        <v>0.9</v>
      </c>
      <c r="D37" s="22" t="n">
        <f aca="false">ct_founder</f>
        <v>9000000</v>
      </c>
      <c r="E37" s="23" t="n">
        <f aca="false">IF(D$44&gt;0,D37/D$44,0)</f>
        <v>0.7875</v>
      </c>
      <c r="F37" s="22" t="n">
        <f aca="false">ct_founder</f>
        <v>9000000</v>
      </c>
      <c r="G37" s="23" t="n">
        <f aca="false">IF(F$44&gt;0,F37/F$44,0)</f>
        <v>0.574520547945206</v>
      </c>
      <c r="H37" s="22" t="n">
        <f aca="false">ct_founder</f>
        <v>9000000</v>
      </c>
      <c r="I37" s="23" t="n">
        <f aca="false">IF(H$44&gt;0,H37/H$44,0)</f>
        <v>0.376860487950216</v>
      </c>
      <c r="J37" s="22" t="n">
        <f aca="false">ct_founder</f>
        <v>9000000</v>
      </c>
      <c r="K37" s="23" t="n">
        <f aca="false">IF(J$44&gt;0,J37/J$44,0)</f>
        <v>0.327995536598736</v>
      </c>
    </row>
    <row r="38" customFormat="false" ht="15" hidden="false" customHeight="false" outlineLevel="0" collapsed="false">
      <c r="A38" s="0" t="s">
        <v>765</v>
      </c>
      <c r="B38" s="22" t="n">
        <f aca="false">ct_pool0</f>
        <v>1000000</v>
      </c>
      <c r="C38" s="23" t="n">
        <f aca="false">IF(B$44&gt;0,B38/B$44,0)</f>
        <v>0.1</v>
      </c>
      <c r="D38" s="22" t="n">
        <f aca="false">ct_pool0</f>
        <v>1000000</v>
      </c>
      <c r="E38" s="23" t="n">
        <f aca="false">IF(D$44&gt;0,D38/D$44,0)</f>
        <v>0.0875</v>
      </c>
      <c r="F38" s="22" t="n">
        <f aca="false">ct_post_seed*ct_pool_seed</f>
        <v>1879828.32618026</v>
      </c>
      <c r="G38" s="23" t="n">
        <f aca="false">IF(F$44&gt;0,F38/F$44,0)</f>
        <v>0.12</v>
      </c>
      <c r="H38" s="22" t="n">
        <f aca="false">ct_post_A*ct_pool_A</f>
        <v>3104597.15839077</v>
      </c>
      <c r="I38" s="23" t="n">
        <f aca="false">IF(H$44&gt;0,H38/H$44,0)</f>
        <v>0.13</v>
      </c>
      <c r="J38" s="22" t="n">
        <f aca="false">ct_post_B*ct_pool_B</f>
        <v>3292727.73404003</v>
      </c>
      <c r="K38" s="23" t="n">
        <f aca="false">IF(J$44&gt;0,J38/J$44,0)</f>
        <v>0.12</v>
      </c>
    </row>
    <row r="39" customFormat="false" ht="15" hidden="false" customHeight="false" outlineLevel="0" collapsed="false">
      <c r="A39" s="0" t="s">
        <v>766</v>
      </c>
      <c r="B39" s="22" t="n">
        <f aca="false">0</f>
        <v>0</v>
      </c>
      <c r="C39" s="23" t="n">
        <f aca="false">IF(B$44&gt;0,B39/B$44,0)</f>
        <v>0</v>
      </c>
      <c r="D39" s="22" t="n">
        <f aca="false">ct_safe_sh</f>
        <v>1428571.42857143</v>
      </c>
      <c r="E39" s="23" t="n">
        <f aca="false">IF(D$44&gt;0,D39/D$44,0)</f>
        <v>0.125</v>
      </c>
      <c r="F39" s="22" t="n">
        <f aca="false">ct_safe_sh</f>
        <v>1428571.42857143</v>
      </c>
      <c r="G39" s="23" t="n">
        <f aca="false">IF(F$44&gt;0,F39/F$44,0)</f>
        <v>0.0911937377690802</v>
      </c>
      <c r="H39" s="22" t="n">
        <f aca="false">ct_safe_sh</f>
        <v>1428571.42857143</v>
      </c>
      <c r="I39" s="23" t="n">
        <f aca="false">IF(H$44&gt;0,H39/H$44,0)</f>
        <v>0.0598191250714629</v>
      </c>
      <c r="J39" s="22" t="n">
        <f aca="false">ct_safe_sh</f>
        <v>1428571.42857143</v>
      </c>
      <c r="K39" s="23" t="n">
        <f aca="false">IF(J$44&gt;0,J39/J$44,0)</f>
        <v>0.052062783587101</v>
      </c>
    </row>
    <row r="40" customFormat="false" ht="15" hidden="false" customHeight="false" outlineLevel="0" collapsed="false">
      <c r="A40" s="0" t="s">
        <v>767</v>
      </c>
      <c r="B40" s="22" t="n">
        <f aca="false">0</f>
        <v>0</v>
      </c>
      <c r="C40" s="23" t="n">
        <f aca="false">IF(B$44&gt;0,B40/B$44,0)</f>
        <v>0</v>
      </c>
      <c r="D40" s="22" t="n">
        <f aca="false">0</f>
        <v>0</v>
      </c>
      <c r="E40" s="23" t="n">
        <f aca="false">IF(D$44&gt;0,D40/D$44,0)</f>
        <v>0</v>
      </c>
      <c r="F40" s="22" t="n">
        <f aca="false">ct_seed_sh</f>
        <v>3356836.29675046</v>
      </c>
      <c r="G40" s="23" t="n">
        <f aca="false">IF(F$44&gt;0,F40/F$44,0)</f>
        <v>0.214285714285714</v>
      </c>
      <c r="H40" s="22" t="n">
        <f aca="false">ct_seed_sh</f>
        <v>3356836.29675046</v>
      </c>
      <c r="I40" s="23" t="n">
        <f aca="false">IF(H$44&gt;0,H40/H$44,0)</f>
        <v>0.14056210719582</v>
      </c>
      <c r="J40" s="22" t="n">
        <f aca="false">ct_seed_sh</f>
        <v>3356836.29675046</v>
      </c>
      <c r="K40" s="23" t="n">
        <f aca="false">IF(J$44&gt;0,J40/J$44,0)</f>
        <v>0.122336369158531</v>
      </c>
    </row>
    <row r="41" customFormat="false" ht="15" hidden="false" customHeight="false" outlineLevel="0" collapsed="false">
      <c r="A41" s="0" t="s">
        <v>768</v>
      </c>
      <c r="B41" s="22" t="n">
        <f aca="false">0</f>
        <v>0</v>
      </c>
      <c r="C41" s="23" t="n">
        <f aca="false">IF(B$44&gt;0,B41/B$44,0)</f>
        <v>0</v>
      </c>
      <c r="D41" s="22" t="n">
        <f aca="false">0</f>
        <v>0</v>
      </c>
      <c r="E41" s="23" t="n">
        <f aca="false">IF(D$44&gt;0,D41/D$44,0)</f>
        <v>0</v>
      </c>
      <c r="F41" s="22" t="n">
        <f aca="false">0</f>
        <v>0</v>
      </c>
      <c r="G41" s="23" t="n">
        <f aca="false">IF(F$44&gt;0,F41/F$44,0)</f>
        <v>0</v>
      </c>
      <c r="H41" s="22" t="n">
        <f aca="false">ct_x_sh</f>
        <v>1305436.33762518</v>
      </c>
      <c r="I41" s="23" t="n">
        <f aca="false">IF(H$44&gt;0,H41/H$44,0)</f>
        <v>0.0546630416872631</v>
      </c>
      <c r="J41" s="22" t="n">
        <f aca="false">ct_x_sh</f>
        <v>1305436.33762518</v>
      </c>
      <c r="K41" s="23" t="n">
        <f aca="false">IF(J$44&gt;0,J41/J$44,0)</f>
        <v>0.0475752546727622</v>
      </c>
    </row>
    <row r="42" customFormat="false" ht="15" hidden="false" customHeight="false" outlineLevel="0" collapsed="false">
      <c r="A42" s="0" t="s">
        <v>769</v>
      </c>
      <c r="B42" s="22" t="n">
        <f aca="false">0</f>
        <v>0</v>
      </c>
      <c r="C42" s="23" t="n">
        <f aca="false">IF(B$44&gt;0,B42/B$44,0)</f>
        <v>0</v>
      </c>
      <c r="D42" s="22" t="n">
        <f aca="false">0</f>
        <v>0</v>
      </c>
      <c r="E42" s="23" t="n">
        <f aca="false">IF(D$44&gt;0,D42/D$44,0)</f>
        <v>0</v>
      </c>
      <c r="F42" s="22" t="n">
        <f aca="false">0</f>
        <v>0</v>
      </c>
      <c r="G42" s="23" t="n">
        <f aca="false">IF(F$44&gt;0,F42/F$44,0)</f>
        <v>0</v>
      </c>
      <c r="H42" s="22" t="n">
        <f aca="false">ct_A_sh</f>
        <v>5686075.38166807</v>
      </c>
      <c r="I42" s="23" t="n">
        <f aca="false">IF(H$44&gt;0,H42/H$44,0)</f>
        <v>0.238095238095238</v>
      </c>
      <c r="J42" s="22" t="n">
        <f aca="false">ct_A_sh</f>
        <v>5686075.38166807</v>
      </c>
      <c r="K42" s="23" t="n">
        <f aca="false">IF(J$44&gt;0,J42/J$44,0)</f>
        <v>0.207223038439009</v>
      </c>
    </row>
    <row r="43" customFormat="false" ht="15" hidden="false" customHeight="false" outlineLevel="0" collapsed="false">
      <c r="A43" s="0" t="s">
        <v>770</v>
      </c>
      <c r="B43" s="22" t="n">
        <f aca="false">0</f>
        <v>0</v>
      </c>
      <c r="C43" s="23" t="n">
        <f aca="false">IF(B$44&gt;0,B43/B$44,0)</f>
        <v>0</v>
      </c>
      <c r="D43" s="22" t="n">
        <f aca="false">0</f>
        <v>0</v>
      </c>
      <c r="E43" s="23" t="n">
        <f aca="false">IF(D$44&gt;0,D43/D$44,0)</f>
        <v>0</v>
      </c>
      <c r="F43" s="22" t="n">
        <f aca="false">0</f>
        <v>0</v>
      </c>
      <c r="G43" s="23" t="n">
        <f aca="false">IF(F$44&gt;0,F43/F$44,0)</f>
        <v>0</v>
      </c>
      <c r="H43" s="22" t="n">
        <f aca="false">0</f>
        <v>0</v>
      </c>
      <c r="I43" s="23" t="n">
        <f aca="false">IF(H$44&gt;0,H43/H$44,0)</f>
        <v>0</v>
      </c>
      <c r="J43" s="22" t="n">
        <f aca="false">ct_B_sh</f>
        <v>3369750.60501172</v>
      </c>
      <c r="K43" s="23" t="n">
        <f aca="false">IF(J$44&gt;0,J43/J$44,0)</f>
        <v>0.12280701754386</v>
      </c>
    </row>
    <row r="44" customFormat="false" ht="15" hidden="false" customHeight="false" outlineLevel="0" collapsed="false">
      <c r="A44" s="13" t="s">
        <v>771</v>
      </c>
      <c r="B44" s="42" t="n">
        <f aca="false">SUM(B37:B43)</f>
        <v>10000000</v>
      </c>
      <c r="C44" s="23" t="n">
        <f aca="false">IF(B$44&gt;0,B44/B$44,0)</f>
        <v>1</v>
      </c>
      <c r="D44" s="42" t="n">
        <f aca="false">SUM(D37:D43)</f>
        <v>11428571.4285714</v>
      </c>
      <c r="E44" s="23" t="n">
        <f aca="false">IF(D$44&gt;0,D44/D$44,0)</f>
        <v>1</v>
      </c>
      <c r="F44" s="42" t="n">
        <f aca="false">SUM(F37:F43)</f>
        <v>15665236.0515021</v>
      </c>
      <c r="G44" s="23" t="n">
        <f aca="false">IF(F$44&gt;0,F44/F$44,0)</f>
        <v>1</v>
      </c>
      <c r="H44" s="42" t="n">
        <f aca="false">SUM(H37:H43)</f>
        <v>23881516.6030059</v>
      </c>
      <c r="I44" s="23" t="n">
        <f aca="false">IF(H$44&gt;0,H44/H$44,0)</f>
        <v>1</v>
      </c>
      <c r="J44" s="42" t="n">
        <f aca="false">SUM(J37:J43)</f>
        <v>27439397.7836669</v>
      </c>
      <c r="K44" s="23" t="n">
        <f aca="false">IF(J$44&gt;0,J44/J$44,0)</f>
        <v>1</v>
      </c>
    </row>
    <row r="46" customFormat="false" ht="15" hidden="false" customHeight="false" outlineLevel="0" collapsed="false">
      <c r="A46" s="13" t="s">
        <v>772</v>
      </c>
      <c r="D46" s="22" t="n">
        <f aca="false">'Funding &amp; Runway'!$F$4</f>
        <v>12000000</v>
      </c>
      <c r="F46" s="22" t="n">
        <f aca="false">'Funding &amp; Runway'!$E$5+'Funding &amp; Runway'!$D$5</f>
        <v>28000000</v>
      </c>
      <c r="H46" s="22" t="n">
        <f aca="false">'Funding &amp; Runway'!$E$7+'Funding &amp; Runway'!$D$7</f>
        <v>105000000</v>
      </c>
      <c r="J46" s="22" t="n">
        <f aca="false">'Funding &amp; Runway'!$E$8+'Funding &amp; Runway'!$D$8</f>
        <v>285000000</v>
      </c>
    </row>
    <row r="47" customFormat="false" ht="15" hidden="false" customHeight="false" outlineLevel="0" collapsed="false">
      <c r="A47" s="13" t="s">
        <v>773</v>
      </c>
      <c r="D47" s="22" t="n">
        <f aca="false">E37*D46</f>
        <v>9450000</v>
      </c>
      <c r="F47" s="22" t="n">
        <f aca="false">G37*F46</f>
        <v>16086575.3424658</v>
      </c>
      <c r="H47" s="22" t="n">
        <f aca="false">I37*H46</f>
        <v>39570351.2347727</v>
      </c>
      <c r="J47" s="22" t="n">
        <f aca="false">K37*J46</f>
        <v>93478727.9306399</v>
      </c>
    </row>
    <row r="49" customFormat="false" ht="15" hidden="false" customHeight="false" outlineLevel="0" collapsed="false">
      <c r="A49" s="2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</cols>
  <sheetData>
    <row r="1" customFormat="false" ht="17.35" hidden="false" customHeight="false" outlineLevel="0" collapsed="false">
      <c r="A1" s="6" t="s">
        <v>775</v>
      </c>
    </row>
    <row r="2" customFormat="false" ht="15" hidden="false" customHeight="false" outlineLevel="0" collapsed="false">
      <c r="A2" s="13" t="s">
        <v>291</v>
      </c>
      <c r="C2" s="24" t="s">
        <v>776</v>
      </c>
      <c r="D2" s="24" t="s">
        <v>777</v>
      </c>
      <c r="E2" s="24" t="s">
        <v>778</v>
      </c>
      <c r="F2" s="24" t="s">
        <v>779</v>
      </c>
      <c r="G2" s="24" t="s">
        <v>780</v>
      </c>
      <c r="H2" s="24" t="s">
        <v>781</v>
      </c>
      <c r="I2" s="24" t="s">
        <v>782</v>
      </c>
      <c r="J2" s="24" t="s">
        <v>783</v>
      </c>
      <c r="K2" s="24" t="s">
        <v>784</v>
      </c>
      <c r="L2" s="24" t="s">
        <v>785</v>
      </c>
      <c r="M2" s="24" t="s">
        <v>786</v>
      </c>
      <c r="N2" s="24" t="s">
        <v>787</v>
      </c>
      <c r="O2" s="24" t="s">
        <v>788</v>
      </c>
      <c r="P2" s="24" t="s">
        <v>789</v>
      </c>
      <c r="Q2" s="24" t="s">
        <v>790</v>
      </c>
      <c r="R2" s="24" t="s">
        <v>791</v>
      </c>
      <c r="S2" s="24" t="s">
        <v>792</v>
      </c>
      <c r="T2" s="24" t="s">
        <v>793</v>
      </c>
      <c r="U2" s="24" t="s">
        <v>794</v>
      </c>
      <c r="V2" s="24" t="s">
        <v>795</v>
      </c>
      <c r="W2" s="24" t="s">
        <v>796</v>
      </c>
      <c r="X2" s="24" t="s">
        <v>797</v>
      </c>
      <c r="Y2" s="24" t="s">
        <v>798</v>
      </c>
      <c r="Z2" s="24" t="s">
        <v>799</v>
      </c>
      <c r="AA2" s="24" t="s">
        <v>800</v>
      </c>
      <c r="AB2" s="24" t="s">
        <v>801</v>
      </c>
      <c r="AC2" s="24" t="s">
        <v>4</v>
      </c>
      <c r="AD2" s="24" t="s">
        <v>5</v>
      </c>
      <c r="AE2" s="24" t="s">
        <v>6</v>
      </c>
    </row>
    <row r="3" customFormat="false" ht="15" hidden="false" customHeight="false" outlineLevel="0" collapsed="false">
      <c r="A3" s="13" t="s">
        <v>387</v>
      </c>
      <c r="C3" s="0" t="n">
        <v>2026</v>
      </c>
      <c r="D3" s="0" t="n">
        <v>2026</v>
      </c>
      <c r="E3" s="0" t="n">
        <v>2027</v>
      </c>
      <c r="F3" s="0" t="n">
        <v>2027</v>
      </c>
      <c r="G3" s="0" t="n">
        <v>2027</v>
      </c>
      <c r="H3" s="0" t="n">
        <v>2027</v>
      </c>
      <c r="I3" s="0" t="n">
        <v>2027</v>
      </c>
      <c r="J3" s="0" t="n">
        <v>2027</v>
      </c>
      <c r="K3" s="0" t="n">
        <v>2027</v>
      </c>
      <c r="L3" s="0" t="n">
        <v>2027</v>
      </c>
      <c r="M3" s="0" t="n">
        <v>2027</v>
      </c>
      <c r="N3" s="0" t="n">
        <v>2027</v>
      </c>
      <c r="O3" s="0" t="n">
        <v>2027</v>
      </c>
      <c r="P3" s="0" t="n">
        <v>2027</v>
      </c>
      <c r="Q3" s="0" t="n">
        <v>2028</v>
      </c>
      <c r="R3" s="0" t="n">
        <v>2028</v>
      </c>
      <c r="S3" s="0" t="n">
        <v>2028</v>
      </c>
      <c r="T3" s="0" t="n">
        <v>2028</v>
      </c>
      <c r="U3" s="0" t="n">
        <v>2028</v>
      </c>
      <c r="V3" s="0" t="n">
        <v>2028</v>
      </c>
      <c r="W3" s="0" t="n">
        <v>2028</v>
      </c>
      <c r="X3" s="0" t="n">
        <v>2028</v>
      </c>
      <c r="Y3" s="0" t="n">
        <v>2028</v>
      </c>
      <c r="Z3" s="0" t="n">
        <v>2028</v>
      </c>
      <c r="AA3" s="0" t="n">
        <v>2028</v>
      </c>
      <c r="AB3" s="0" t="n">
        <v>2028</v>
      </c>
      <c r="AC3" s="0" t="n">
        <v>2029</v>
      </c>
      <c r="AD3" s="0" t="n">
        <v>2030</v>
      </c>
      <c r="AE3" s="0" t="n">
        <v>2031</v>
      </c>
    </row>
    <row r="4" customFormat="false" ht="15" hidden="false" customHeight="false" outlineLevel="0" collapsed="false">
      <c r="A4" s="13" t="s">
        <v>388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12</v>
      </c>
      <c r="AD4" s="0" t="n">
        <v>12</v>
      </c>
      <c r="AE4" s="0" t="n">
        <v>12</v>
      </c>
    </row>
    <row r="5" customFormat="false" ht="15" hidden="false" customHeight="false" outlineLevel="0" collapsed="false">
      <c r="A5" s="13" t="s">
        <v>389</v>
      </c>
      <c r="C5" s="27" t="n">
        <v>46327</v>
      </c>
      <c r="D5" s="27" t="n">
        <v>46357</v>
      </c>
      <c r="E5" s="27" t="n">
        <v>46388</v>
      </c>
      <c r="F5" s="27" t="n">
        <v>46419</v>
      </c>
      <c r="G5" s="27" t="n">
        <v>46447</v>
      </c>
      <c r="H5" s="27" t="n">
        <v>46478</v>
      </c>
      <c r="I5" s="27" t="n">
        <v>46508</v>
      </c>
      <c r="J5" s="27" t="n">
        <v>46539</v>
      </c>
      <c r="K5" s="27" t="n">
        <v>46569</v>
      </c>
      <c r="L5" s="27" t="n">
        <v>46600</v>
      </c>
      <c r="M5" s="27" t="n">
        <v>46631</v>
      </c>
      <c r="N5" s="27" t="n">
        <v>46661</v>
      </c>
      <c r="O5" s="27" t="n">
        <v>46692</v>
      </c>
      <c r="P5" s="27" t="n">
        <v>46722</v>
      </c>
      <c r="Q5" s="27" t="n">
        <v>46753</v>
      </c>
      <c r="R5" s="27" t="n">
        <v>46784</v>
      </c>
      <c r="S5" s="27" t="n">
        <v>46813</v>
      </c>
      <c r="T5" s="27" t="n">
        <v>46844</v>
      </c>
      <c r="U5" s="27" t="n">
        <v>46874</v>
      </c>
      <c r="V5" s="27" t="n">
        <v>46905</v>
      </c>
      <c r="W5" s="27" t="n">
        <v>46935</v>
      </c>
      <c r="X5" s="27" t="n">
        <v>46966</v>
      </c>
      <c r="Y5" s="27" t="n">
        <v>46997</v>
      </c>
      <c r="Z5" s="27" t="n">
        <v>47027</v>
      </c>
      <c r="AA5" s="27" t="n">
        <v>47058</v>
      </c>
      <c r="AB5" s="27" t="n">
        <v>47088</v>
      </c>
      <c r="AC5" s="27" t="n">
        <v>47119</v>
      </c>
      <c r="AD5" s="27" t="n">
        <v>47484</v>
      </c>
      <c r="AE5" s="27" t="n">
        <v>47849</v>
      </c>
    </row>
    <row r="6" customFormat="false" ht="15" hidden="false" customHeight="false" outlineLevel="0" collapsed="false">
      <c r="A6" s="13" t="s">
        <v>390</v>
      </c>
      <c r="C6" s="0" t="n">
        <v>202611</v>
      </c>
      <c r="D6" s="0" t="n">
        <v>202612</v>
      </c>
      <c r="E6" s="0" t="n">
        <v>202701</v>
      </c>
      <c r="F6" s="0" t="n">
        <v>202702</v>
      </c>
      <c r="G6" s="0" t="n">
        <v>202703</v>
      </c>
      <c r="H6" s="0" t="n">
        <v>202704</v>
      </c>
      <c r="I6" s="0" t="n">
        <v>202705</v>
      </c>
      <c r="J6" s="0" t="n">
        <v>202706</v>
      </c>
      <c r="K6" s="0" t="n">
        <v>202707</v>
      </c>
      <c r="L6" s="0" t="n">
        <v>202708</v>
      </c>
      <c r="M6" s="0" t="n">
        <v>202709</v>
      </c>
      <c r="N6" s="0" t="n">
        <v>202710</v>
      </c>
      <c r="O6" s="0" t="n">
        <v>202711</v>
      </c>
      <c r="P6" s="0" t="n">
        <v>202712</v>
      </c>
      <c r="Q6" s="0" t="n">
        <v>202801</v>
      </c>
      <c r="R6" s="0" t="n">
        <v>202802</v>
      </c>
      <c r="S6" s="0" t="n">
        <v>202803</v>
      </c>
      <c r="T6" s="0" t="n">
        <v>202804</v>
      </c>
      <c r="U6" s="0" t="n">
        <v>202805</v>
      </c>
      <c r="V6" s="0" t="n">
        <v>202806</v>
      </c>
      <c r="W6" s="0" t="n">
        <v>202807</v>
      </c>
      <c r="X6" s="0" t="n">
        <v>202808</v>
      </c>
      <c r="Y6" s="0" t="n">
        <v>202809</v>
      </c>
      <c r="Z6" s="0" t="n">
        <v>202810</v>
      </c>
      <c r="AA6" s="0" t="n">
        <v>202811</v>
      </c>
      <c r="AB6" s="0" t="n">
        <v>202812</v>
      </c>
      <c r="AC6" s="0" t="n">
        <v>2029</v>
      </c>
      <c r="AD6" s="0" t="n">
        <v>2030</v>
      </c>
      <c r="AE6" s="0" t="n">
        <v>2031</v>
      </c>
    </row>
    <row r="7" customFormat="false" ht="15" hidden="false" customHeight="false" outlineLevel="0" collapsed="false">
      <c r="A7" s="13" t="s">
        <v>802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2026-10-31T05:23:17Z</dcterms:created>
  <dc:creator>openpyxl</dc:creator>
  <dc:description/>
  <dc:language>en-US</dc:language>
  <cp:lastModifiedBy/>
  <dcterms:modified xsi:type="dcterms:W3CDTF">2026-10-31T05:23:31Z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